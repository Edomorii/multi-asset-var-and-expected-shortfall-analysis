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edoardomori/Desktop/GitHub/RM_2/"/>
    </mc:Choice>
  </mc:AlternateContent>
  <xr:revisionPtr revIDLastSave="0" documentId="13_ncr:1_{3DF3FA69-54E1-1B4E-9561-C839AC82AE3E}" xr6:coauthVersionLast="47" xr6:coauthVersionMax="47" xr10:uidLastSave="{00000000-0000-0000-0000-000000000000}"/>
  <bookViews>
    <workbookView xWindow="0" yWindow="760" windowWidth="19620" windowHeight="20060" activeTab="3" xr2:uid="{00000000-000D-0000-FFFF-FFFF00000000}"/>
  </bookViews>
  <sheets>
    <sheet name="Option_Portfolio" sheetId="3" r:id="rId1"/>
    <sheet name="Underlying_Assets" sheetId="4" r:id="rId2"/>
    <sheet name="FI_Portfolio" sheetId="5" r:id="rId3"/>
    <sheet name="TSIR" sheetId="1" r:id="rId4"/>
    <sheet name="Delta-Normal VaR" sheetId="6" r:id="rId5"/>
    <sheet name="Fixed Income VaR" sheetId="7" r:id="rId6"/>
    <sheet name="Total Fund Risk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" l="1" a="1"/>
  <c r="I6" i="7" s="1"/>
  <c r="D10" i="7"/>
  <c r="E10" i="7" s="1"/>
  <c r="I3" i="7" s="1"/>
  <c r="O18" i="8"/>
  <c r="J82" i="8"/>
  <c r="J81" i="8"/>
  <c r="I268" i="8"/>
  <c r="J268" i="8" s="1"/>
  <c r="I267" i="8"/>
  <c r="J267" i="8" s="1"/>
  <c r="I266" i="8"/>
  <c r="J266" i="8" s="1"/>
  <c r="I265" i="8"/>
  <c r="J265" i="8" s="1"/>
  <c r="I264" i="8"/>
  <c r="J264" i="8" s="1"/>
  <c r="I263" i="8"/>
  <c r="J263" i="8" s="1"/>
  <c r="I262" i="8"/>
  <c r="J262" i="8" s="1"/>
  <c r="I261" i="8"/>
  <c r="J261" i="8" s="1"/>
  <c r="I260" i="8"/>
  <c r="J260" i="8" s="1"/>
  <c r="I259" i="8"/>
  <c r="J259" i="8" s="1"/>
  <c r="I258" i="8"/>
  <c r="J258" i="8" s="1"/>
  <c r="I257" i="8"/>
  <c r="J257" i="8" s="1"/>
  <c r="I256" i="8"/>
  <c r="J256" i="8" s="1"/>
  <c r="I255" i="8"/>
  <c r="J255" i="8" s="1"/>
  <c r="I254" i="8"/>
  <c r="J254" i="8" s="1"/>
  <c r="I253" i="8"/>
  <c r="J253" i="8" s="1"/>
  <c r="I252" i="8"/>
  <c r="J252" i="8" s="1"/>
  <c r="I251" i="8"/>
  <c r="J251" i="8" s="1"/>
  <c r="I250" i="8"/>
  <c r="J250" i="8" s="1"/>
  <c r="I249" i="8"/>
  <c r="J249" i="8" s="1"/>
  <c r="I248" i="8"/>
  <c r="J248" i="8" s="1"/>
  <c r="I247" i="8"/>
  <c r="J247" i="8" s="1"/>
  <c r="I246" i="8"/>
  <c r="J246" i="8" s="1"/>
  <c r="I245" i="8"/>
  <c r="J245" i="8" s="1"/>
  <c r="I244" i="8"/>
  <c r="J244" i="8" s="1"/>
  <c r="I243" i="8"/>
  <c r="J243" i="8" s="1"/>
  <c r="I242" i="8"/>
  <c r="J242" i="8" s="1"/>
  <c r="I241" i="8"/>
  <c r="J241" i="8" s="1"/>
  <c r="I240" i="8"/>
  <c r="J240" i="8" s="1"/>
  <c r="I239" i="8"/>
  <c r="J239" i="8" s="1"/>
  <c r="I238" i="8"/>
  <c r="J238" i="8" s="1"/>
  <c r="I237" i="8"/>
  <c r="J237" i="8" s="1"/>
  <c r="I236" i="8"/>
  <c r="J236" i="8" s="1"/>
  <c r="I235" i="8"/>
  <c r="J235" i="8" s="1"/>
  <c r="I234" i="8"/>
  <c r="J234" i="8" s="1"/>
  <c r="I233" i="8"/>
  <c r="J233" i="8" s="1"/>
  <c r="I232" i="8"/>
  <c r="J232" i="8" s="1"/>
  <c r="I231" i="8"/>
  <c r="J231" i="8" s="1"/>
  <c r="I230" i="8"/>
  <c r="J230" i="8" s="1"/>
  <c r="I229" i="8"/>
  <c r="J229" i="8" s="1"/>
  <c r="I228" i="8"/>
  <c r="J228" i="8" s="1"/>
  <c r="I227" i="8"/>
  <c r="J227" i="8" s="1"/>
  <c r="I226" i="8"/>
  <c r="J226" i="8" s="1"/>
  <c r="I225" i="8"/>
  <c r="J225" i="8" s="1"/>
  <c r="I224" i="8"/>
  <c r="J224" i="8" s="1"/>
  <c r="I223" i="8"/>
  <c r="J223" i="8" s="1"/>
  <c r="I222" i="8"/>
  <c r="J222" i="8" s="1"/>
  <c r="I221" i="8"/>
  <c r="J221" i="8" s="1"/>
  <c r="I220" i="8"/>
  <c r="J220" i="8" s="1"/>
  <c r="I219" i="8"/>
  <c r="J219" i="8" s="1"/>
  <c r="I218" i="8"/>
  <c r="J218" i="8" s="1"/>
  <c r="I217" i="8"/>
  <c r="J217" i="8" s="1"/>
  <c r="I216" i="8"/>
  <c r="J216" i="8" s="1"/>
  <c r="I215" i="8"/>
  <c r="J215" i="8" s="1"/>
  <c r="I214" i="8"/>
  <c r="J214" i="8" s="1"/>
  <c r="I213" i="8"/>
  <c r="J213" i="8" s="1"/>
  <c r="I212" i="8"/>
  <c r="J212" i="8" s="1"/>
  <c r="I211" i="8"/>
  <c r="J211" i="8" s="1"/>
  <c r="I210" i="8"/>
  <c r="J210" i="8" s="1"/>
  <c r="I209" i="8"/>
  <c r="J209" i="8" s="1"/>
  <c r="I208" i="8"/>
  <c r="J208" i="8" s="1"/>
  <c r="I207" i="8"/>
  <c r="J207" i="8" s="1"/>
  <c r="I206" i="8"/>
  <c r="J206" i="8" s="1"/>
  <c r="I205" i="8"/>
  <c r="J205" i="8" s="1"/>
  <c r="I204" i="8"/>
  <c r="J204" i="8" s="1"/>
  <c r="I203" i="8"/>
  <c r="J203" i="8" s="1"/>
  <c r="I202" i="8"/>
  <c r="J202" i="8" s="1"/>
  <c r="I201" i="8"/>
  <c r="J201" i="8" s="1"/>
  <c r="I200" i="8"/>
  <c r="J200" i="8" s="1"/>
  <c r="I199" i="8"/>
  <c r="J199" i="8" s="1"/>
  <c r="I198" i="8"/>
  <c r="J198" i="8" s="1"/>
  <c r="I197" i="8"/>
  <c r="J197" i="8" s="1"/>
  <c r="I196" i="8"/>
  <c r="J196" i="8" s="1"/>
  <c r="I195" i="8"/>
  <c r="J195" i="8" s="1"/>
  <c r="I194" i="8"/>
  <c r="J194" i="8" s="1"/>
  <c r="I193" i="8"/>
  <c r="J193" i="8" s="1"/>
  <c r="I192" i="8"/>
  <c r="J192" i="8" s="1"/>
  <c r="I191" i="8"/>
  <c r="J191" i="8" s="1"/>
  <c r="I190" i="8"/>
  <c r="J190" i="8" s="1"/>
  <c r="I189" i="8"/>
  <c r="J189" i="8" s="1"/>
  <c r="I188" i="8"/>
  <c r="J188" i="8" s="1"/>
  <c r="I187" i="8"/>
  <c r="J187" i="8" s="1"/>
  <c r="I186" i="8"/>
  <c r="J186" i="8" s="1"/>
  <c r="I185" i="8"/>
  <c r="J185" i="8" s="1"/>
  <c r="I184" i="8"/>
  <c r="J184" i="8" s="1"/>
  <c r="I183" i="8"/>
  <c r="J183" i="8" s="1"/>
  <c r="I182" i="8"/>
  <c r="J182" i="8" s="1"/>
  <c r="I181" i="8"/>
  <c r="J181" i="8" s="1"/>
  <c r="I180" i="8"/>
  <c r="J180" i="8" s="1"/>
  <c r="I179" i="8"/>
  <c r="J179" i="8" s="1"/>
  <c r="I178" i="8"/>
  <c r="J178" i="8" s="1"/>
  <c r="I177" i="8"/>
  <c r="J177" i="8" s="1"/>
  <c r="I176" i="8"/>
  <c r="J176" i="8" s="1"/>
  <c r="I175" i="8"/>
  <c r="J175" i="8" s="1"/>
  <c r="I174" i="8"/>
  <c r="J174" i="8" s="1"/>
  <c r="I173" i="8"/>
  <c r="J173" i="8" s="1"/>
  <c r="I172" i="8"/>
  <c r="J172" i="8" s="1"/>
  <c r="I171" i="8"/>
  <c r="J171" i="8" s="1"/>
  <c r="I170" i="8"/>
  <c r="J170" i="8" s="1"/>
  <c r="I169" i="8"/>
  <c r="J169" i="8" s="1"/>
  <c r="I168" i="8"/>
  <c r="J168" i="8" s="1"/>
  <c r="I167" i="8"/>
  <c r="J167" i="8" s="1"/>
  <c r="I166" i="8"/>
  <c r="J166" i="8" s="1"/>
  <c r="I165" i="8"/>
  <c r="J165" i="8" s="1"/>
  <c r="I164" i="8"/>
  <c r="J164" i="8" s="1"/>
  <c r="I163" i="8"/>
  <c r="J163" i="8" s="1"/>
  <c r="I162" i="8"/>
  <c r="J162" i="8" s="1"/>
  <c r="I161" i="8"/>
  <c r="J161" i="8" s="1"/>
  <c r="I160" i="8"/>
  <c r="J160" i="8" s="1"/>
  <c r="I159" i="8"/>
  <c r="J159" i="8" s="1"/>
  <c r="I158" i="8"/>
  <c r="J158" i="8" s="1"/>
  <c r="I157" i="8"/>
  <c r="J157" i="8" s="1"/>
  <c r="I156" i="8"/>
  <c r="J156" i="8" s="1"/>
  <c r="I155" i="8"/>
  <c r="J155" i="8" s="1"/>
  <c r="I154" i="8"/>
  <c r="J154" i="8" s="1"/>
  <c r="I153" i="8"/>
  <c r="J153" i="8" s="1"/>
  <c r="I152" i="8"/>
  <c r="J152" i="8" s="1"/>
  <c r="I151" i="8"/>
  <c r="J151" i="8" s="1"/>
  <c r="I150" i="8"/>
  <c r="J150" i="8" s="1"/>
  <c r="I149" i="8"/>
  <c r="J149" i="8" s="1"/>
  <c r="I148" i="8"/>
  <c r="J148" i="8" s="1"/>
  <c r="I147" i="8"/>
  <c r="J147" i="8" s="1"/>
  <c r="I146" i="8"/>
  <c r="J146" i="8" s="1"/>
  <c r="I145" i="8"/>
  <c r="J145" i="8" s="1"/>
  <c r="I144" i="8"/>
  <c r="J144" i="8" s="1"/>
  <c r="I143" i="8"/>
  <c r="J143" i="8" s="1"/>
  <c r="I142" i="8"/>
  <c r="J142" i="8" s="1"/>
  <c r="I141" i="8"/>
  <c r="J141" i="8" s="1"/>
  <c r="I140" i="8"/>
  <c r="J140" i="8" s="1"/>
  <c r="I139" i="8"/>
  <c r="J139" i="8" s="1"/>
  <c r="I138" i="8"/>
  <c r="J138" i="8" s="1"/>
  <c r="I137" i="8"/>
  <c r="J137" i="8" s="1"/>
  <c r="I136" i="8"/>
  <c r="J136" i="8" s="1"/>
  <c r="I135" i="8"/>
  <c r="J135" i="8" s="1"/>
  <c r="I134" i="8"/>
  <c r="J134" i="8" s="1"/>
  <c r="I133" i="8"/>
  <c r="J133" i="8" s="1"/>
  <c r="I132" i="8"/>
  <c r="J132" i="8" s="1"/>
  <c r="I131" i="8"/>
  <c r="J131" i="8" s="1"/>
  <c r="I130" i="8"/>
  <c r="J130" i="8" s="1"/>
  <c r="I129" i="8"/>
  <c r="J129" i="8" s="1"/>
  <c r="I128" i="8"/>
  <c r="J128" i="8" s="1"/>
  <c r="I127" i="8"/>
  <c r="J127" i="8" s="1"/>
  <c r="I126" i="8"/>
  <c r="J126" i="8" s="1"/>
  <c r="I125" i="8"/>
  <c r="J125" i="8" s="1"/>
  <c r="I124" i="8"/>
  <c r="J124" i="8" s="1"/>
  <c r="I123" i="8"/>
  <c r="J123" i="8" s="1"/>
  <c r="I122" i="8"/>
  <c r="J122" i="8" s="1"/>
  <c r="I121" i="8"/>
  <c r="J121" i="8" s="1"/>
  <c r="I120" i="8"/>
  <c r="J120" i="8" s="1"/>
  <c r="I119" i="8"/>
  <c r="J119" i="8" s="1"/>
  <c r="I118" i="8"/>
  <c r="J118" i="8" s="1"/>
  <c r="I117" i="8"/>
  <c r="J117" i="8" s="1"/>
  <c r="I116" i="8"/>
  <c r="J116" i="8" s="1"/>
  <c r="I115" i="8"/>
  <c r="J115" i="8" s="1"/>
  <c r="I114" i="8"/>
  <c r="J114" i="8" s="1"/>
  <c r="I113" i="8"/>
  <c r="J113" i="8" s="1"/>
  <c r="I112" i="8"/>
  <c r="J112" i="8" s="1"/>
  <c r="I111" i="8"/>
  <c r="J111" i="8" s="1"/>
  <c r="I110" i="8"/>
  <c r="J110" i="8" s="1"/>
  <c r="I109" i="8"/>
  <c r="J109" i="8" s="1"/>
  <c r="I108" i="8"/>
  <c r="J108" i="8" s="1"/>
  <c r="I107" i="8"/>
  <c r="J107" i="8" s="1"/>
  <c r="I106" i="8"/>
  <c r="J106" i="8" s="1"/>
  <c r="I105" i="8"/>
  <c r="J105" i="8" s="1"/>
  <c r="I104" i="8"/>
  <c r="J104" i="8" s="1"/>
  <c r="I103" i="8"/>
  <c r="J103" i="8" s="1"/>
  <c r="I102" i="8"/>
  <c r="J102" i="8" s="1"/>
  <c r="I101" i="8"/>
  <c r="J101" i="8" s="1"/>
  <c r="I100" i="8"/>
  <c r="J100" i="8" s="1"/>
  <c r="I99" i="8"/>
  <c r="J99" i="8" s="1"/>
  <c r="I98" i="8"/>
  <c r="J98" i="8" s="1"/>
  <c r="I97" i="8"/>
  <c r="J97" i="8" s="1"/>
  <c r="I96" i="8"/>
  <c r="J96" i="8" s="1"/>
  <c r="I95" i="8"/>
  <c r="J95" i="8" s="1"/>
  <c r="I94" i="8"/>
  <c r="J94" i="8" s="1"/>
  <c r="I93" i="8"/>
  <c r="J93" i="8" s="1"/>
  <c r="I92" i="8"/>
  <c r="J92" i="8" s="1"/>
  <c r="I91" i="8"/>
  <c r="J91" i="8" s="1"/>
  <c r="I90" i="8"/>
  <c r="J90" i="8" s="1"/>
  <c r="I89" i="8"/>
  <c r="J89" i="8" s="1"/>
  <c r="I88" i="8"/>
  <c r="J88" i="8" s="1"/>
  <c r="I87" i="8"/>
  <c r="J87" i="8" s="1"/>
  <c r="I86" i="8"/>
  <c r="J86" i="8" s="1"/>
  <c r="I85" i="8"/>
  <c r="J85" i="8" s="1"/>
  <c r="I84" i="8"/>
  <c r="J84" i="8" s="1"/>
  <c r="I83" i="8"/>
  <c r="J83" i="8" s="1"/>
  <c r="I82" i="8"/>
  <c r="I81" i="8"/>
  <c r="I80" i="8"/>
  <c r="J80" i="8" s="1"/>
  <c r="I79" i="8"/>
  <c r="J79" i="8" s="1"/>
  <c r="I78" i="8"/>
  <c r="J78" i="8" s="1"/>
  <c r="I77" i="8"/>
  <c r="J77" i="8" s="1"/>
  <c r="I76" i="8"/>
  <c r="J76" i="8" s="1"/>
  <c r="I75" i="8"/>
  <c r="J75" i="8" s="1"/>
  <c r="I74" i="8"/>
  <c r="J74" i="8" s="1"/>
  <c r="I73" i="8"/>
  <c r="J73" i="8" s="1"/>
  <c r="I72" i="8"/>
  <c r="J72" i="8" s="1"/>
  <c r="I71" i="8"/>
  <c r="J71" i="8" s="1"/>
  <c r="I70" i="8"/>
  <c r="J70" i="8" s="1"/>
  <c r="I69" i="8"/>
  <c r="J69" i="8" s="1"/>
  <c r="I68" i="8"/>
  <c r="J68" i="8" s="1"/>
  <c r="I67" i="8"/>
  <c r="J67" i="8" s="1"/>
  <c r="I66" i="8"/>
  <c r="J66" i="8" s="1"/>
  <c r="I65" i="8"/>
  <c r="J65" i="8" s="1"/>
  <c r="I64" i="8"/>
  <c r="J64" i="8" s="1"/>
  <c r="I63" i="8"/>
  <c r="J63" i="8" s="1"/>
  <c r="I62" i="8"/>
  <c r="J62" i="8" s="1"/>
  <c r="I61" i="8"/>
  <c r="J61" i="8" s="1"/>
  <c r="I60" i="8"/>
  <c r="J60" i="8" s="1"/>
  <c r="I59" i="8"/>
  <c r="J59" i="8" s="1"/>
  <c r="I58" i="8"/>
  <c r="J58" i="8" s="1"/>
  <c r="I57" i="8"/>
  <c r="J57" i="8" s="1"/>
  <c r="I56" i="8"/>
  <c r="J56" i="8" s="1"/>
  <c r="I55" i="8"/>
  <c r="J55" i="8" s="1"/>
  <c r="I54" i="8"/>
  <c r="J54" i="8" s="1"/>
  <c r="I53" i="8"/>
  <c r="J53" i="8" s="1"/>
  <c r="I52" i="8"/>
  <c r="J52" i="8" s="1"/>
  <c r="I51" i="8"/>
  <c r="J51" i="8" s="1"/>
  <c r="I50" i="8"/>
  <c r="J50" i="8" s="1"/>
  <c r="I49" i="8"/>
  <c r="J49" i="8" s="1"/>
  <c r="I48" i="8"/>
  <c r="J48" i="8" s="1"/>
  <c r="I47" i="8"/>
  <c r="J47" i="8" s="1"/>
  <c r="I46" i="8"/>
  <c r="J46" i="8" s="1"/>
  <c r="I45" i="8"/>
  <c r="J45" i="8" s="1"/>
  <c r="I44" i="8"/>
  <c r="J44" i="8" s="1"/>
  <c r="I43" i="8"/>
  <c r="J43" i="8" s="1"/>
  <c r="I42" i="8"/>
  <c r="J42" i="8" s="1"/>
  <c r="I41" i="8"/>
  <c r="J41" i="8" s="1"/>
  <c r="I40" i="8"/>
  <c r="J40" i="8" s="1"/>
  <c r="I39" i="8"/>
  <c r="J39" i="8" s="1"/>
  <c r="I38" i="8"/>
  <c r="J38" i="8" s="1"/>
  <c r="I37" i="8"/>
  <c r="J37" i="8" s="1"/>
  <c r="I36" i="8"/>
  <c r="J36" i="8" s="1"/>
  <c r="I35" i="8"/>
  <c r="J35" i="8" s="1"/>
  <c r="I34" i="8"/>
  <c r="J34" i="8" s="1"/>
  <c r="I33" i="8"/>
  <c r="J33" i="8" s="1"/>
  <c r="I32" i="8"/>
  <c r="J32" i="8" s="1"/>
  <c r="I31" i="8"/>
  <c r="J31" i="8" s="1"/>
  <c r="I30" i="8"/>
  <c r="J30" i="8" s="1"/>
  <c r="I29" i="8"/>
  <c r="J29" i="8" s="1"/>
  <c r="I28" i="8"/>
  <c r="J28" i="8" s="1"/>
  <c r="I27" i="8"/>
  <c r="J27" i="8" s="1"/>
  <c r="I26" i="8"/>
  <c r="J26" i="8" s="1"/>
  <c r="I25" i="8"/>
  <c r="J25" i="8" s="1"/>
  <c r="I24" i="8"/>
  <c r="J24" i="8" s="1"/>
  <c r="I23" i="8"/>
  <c r="J23" i="8" s="1"/>
  <c r="I22" i="8"/>
  <c r="J22" i="8" s="1"/>
  <c r="I21" i="8"/>
  <c r="J21" i="8" s="1"/>
  <c r="I20" i="8"/>
  <c r="J20" i="8" s="1"/>
  <c r="I19" i="8"/>
  <c r="J19" i="8" s="1"/>
  <c r="I18" i="8"/>
  <c r="J18" i="8" s="1"/>
  <c r="E268" i="8"/>
  <c r="E267" i="8"/>
  <c r="E266" i="8"/>
  <c r="E265" i="8"/>
  <c r="E264" i="8"/>
  <c r="E263" i="8"/>
  <c r="E262" i="8"/>
  <c r="F263" i="8" s="1"/>
  <c r="E261" i="8"/>
  <c r="F262" i="8" s="1"/>
  <c r="E260" i="8"/>
  <c r="E259" i="8"/>
  <c r="F260" i="8" s="1"/>
  <c r="E258" i="8"/>
  <c r="E257" i="8"/>
  <c r="E256" i="8"/>
  <c r="E255" i="8"/>
  <c r="E254" i="8"/>
  <c r="E253" i="8"/>
  <c r="E252" i="8"/>
  <c r="E251" i="8"/>
  <c r="E250" i="8"/>
  <c r="F251" i="8" s="1"/>
  <c r="E249" i="8"/>
  <c r="E248" i="8"/>
  <c r="E247" i="8"/>
  <c r="E246" i="8"/>
  <c r="E245" i="8"/>
  <c r="E244" i="8"/>
  <c r="E243" i="8"/>
  <c r="E242" i="8"/>
  <c r="E241" i="8"/>
  <c r="E240" i="8"/>
  <c r="E239" i="8"/>
  <c r="E238" i="8"/>
  <c r="F239" i="8" s="1"/>
  <c r="E237" i="8"/>
  <c r="E236" i="8"/>
  <c r="E235" i="8"/>
  <c r="F236" i="8" s="1"/>
  <c r="E234" i="8"/>
  <c r="E233" i="8"/>
  <c r="E232" i="8"/>
  <c r="E231" i="8"/>
  <c r="E230" i="8"/>
  <c r="E229" i="8"/>
  <c r="E228" i="8"/>
  <c r="E227" i="8"/>
  <c r="E226" i="8"/>
  <c r="F227" i="8" s="1"/>
  <c r="E225" i="8"/>
  <c r="F226" i="8" s="1"/>
  <c r="E224" i="8"/>
  <c r="E223" i="8"/>
  <c r="F224" i="8" s="1"/>
  <c r="E222" i="8"/>
  <c r="E221" i="8"/>
  <c r="E220" i="8"/>
  <c r="E219" i="8"/>
  <c r="E218" i="8"/>
  <c r="E217" i="8"/>
  <c r="E216" i="8"/>
  <c r="E215" i="8"/>
  <c r="E214" i="8"/>
  <c r="F215" i="8" s="1"/>
  <c r="E213" i="8"/>
  <c r="E212" i="8"/>
  <c r="E211" i="8"/>
  <c r="F212" i="8" s="1"/>
  <c r="E210" i="8"/>
  <c r="E209" i="8"/>
  <c r="E208" i="8"/>
  <c r="E207" i="8"/>
  <c r="E206" i="8"/>
  <c r="E205" i="8"/>
  <c r="E204" i="8"/>
  <c r="E203" i="8"/>
  <c r="E202" i="8"/>
  <c r="F203" i="8" s="1"/>
  <c r="E201" i="8"/>
  <c r="E200" i="8"/>
  <c r="E199" i="8"/>
  <c r="F200" i="8" s="1"/>
  <c r="E198" i="8"/>
  <c r="E197" i="8"/>
  <c r="E196" i="8"/>
  <c r="E195" i="8"/>
  <c r="E194" i="8"/>
  <c r="E193" i="8"/>
  <c r="E192" i="8"/>
  <c r="E191" i="8"/>
  <c r="E190" i="8"/>
  <c r="F191" i="8" s="1"/>
  <c r="E189" i="8"/>
  <c r="F190" i="8" s="1"/>
  <c r="E188" i="8"/>
  <c r="E187" i="8"/>
  <c r="E186" i="8"/>
  <c r="E185" i="8"/>
  <c r="E184" i="8"/>
  <c r="E183" i="8"/>
  <c r="E182" i="8"/>
  <c r="E181" i="8"/>
  <c r="E180" i="8"/>
  <c r="E179" i="8"/>
  <c r="E178" i="8"/>
  <c r="F179" i="8" s="1"/>
  <c r="E177" i="8"/>
  <c r="F178" i="8" s="1"/>
  <c r="E176" i="8"/>
  <c r="E175" i="8"/>
  <c r="F176" i="8" s="1"/>
  <c r="E174" i="8"/>
  <c r="E173" i="8"/>
  <c r="E172" i="8"/>
  <c r="E171" i="8"/>
  <c r="E170" i="8"/>
  <c r="E169" i="8"/>
  <c r="E168" i="8"/>
  <c r="E167" i="8"/>
  <c r="E166" i="8"/>
  <c r="F167" i="8" s="1"/>
  <c r="E165" i="8"/>
  <c r="F166" i="8" s="1"/>
  <c r="E164" i="8"/>
  <c r="E163" i="8"/>
  <c r="F164" i="8" s="1"/>
  <c r="E162" i="8"/>
  <c r="E161" i="8"/>
  <c r="E160" i="8"/>
  <c r="E159" i="8"/>
  <c r="E158" i="8"/>
  <c r="E157" i="8"/>
  <c r="E156" i="8"/>
  <c r="E155" i="8"/>
  <c r="E154" i="8"/>
  <c r="F155" i="8" s="1"/>
  <c r="E153" i="8"/>
  <c r="F154" i="8" s="1"/>
  <c r="E152" i="8"/>
  <c r="E151" i="8"/>
  <c r="F152" i="8" s="1"/>
  <c r="E150" i="8"/>
  <c r="E149" i="8"/>
  <c r="E148" i="8"/>
  <c r="E147" i="8"/>
  <c r="E146" i="8"/>
  <c r="E145" i="8"/>
  <c r="E144" i="8"/>
  <c r="E143" i="8"/>
  <c r="E142" i="8"/>
  <c r="F143" i="8" s="1"/>
  <c r="E141" i="8"/>
  <c r="F142" i="8" s="1"/>
  <c r="E140" i="8"/>
  <c r="E139" i="8"/>
  <c r="F140" i="8" s="1"/>
  <c r="E138" i="8"/>
  <c r="E137" i="8"/>
  <c r="E136" i="8"/>
  <c r="E135" i="8"/>
  <c r="E134" i="8"/>
  <c r="E133" i="8"/>
  <c r="E132" i="8"/>
  <c r="E131" i="8"/>
  <c r="E130" i="8"/>
  <c r="F131" i="8" s="1"/>
  <c r="E129" i="8"/>
  <c r="F130" i="8" s="1"/>
  <c r="E128" i="8"/>
  <c r="E127" i="8"/>
  <c r="F128" i="8" s="1"/>
  <c r="E126" i="8"/>
  <c r="E125" i="8"/>
  <c r="E124" i="8"/>
  <c r="E123" i="8"/>
  <c r="E122" i="8"/>
  <c r="E121" i="8"/>
  <c r="E120" i="8"/>
  <c r="E119" i="8"/>
  <c r="E118" i="8"/>
  <c r="F119" i="8" s="1"/>
  <c r="E117" i="8"/>
  <c r="F118" i="8" s="1"/>
  <c r="E116" i="8"/>
  <c r="E115" i="8"/>
  <c r="F116" i="8" s="1"/>
  <c r="E114" i="8"/>
  <c r="E113" i="8"/>
  <c r="E112" i="8"/>
  <c r="E111" i="8"/>
  <c r="E110" i="8"/>
  <c r="E109" i="8"/>
  <c r="E108" i="8"/>
  <c r="E107" i="8"/>
  <c r="E106" i="8"/>
  <c r="F107" i="8" s="1"/>
  <c r="E105" i="8"/>
  <c r="F106" i="8" s="1"/>
  <c r="E104" i="8"/>
  <c r="E103" i="8"/>
  <c r="F104" i="8" s="1"/>
  <c r="E102" i="8"/>
  <c r="E101" i="8"/>
  <c r="E100" i="8"/>
  <c r="E99" i="8"/>
  <c r="E98" i="8"/>
  <c r="E97" i="8"/>
  <c r="E96" i="8"/>
  <c r="E95" i="8"/>
  <c r="E94" i="8"/>
  <c r="F95" i="8" s="1"/>
  <c r="E93" i="8"/>
  <c r="F94" i="8" s="1"/>
  <c r="E92" i="8"/>
  <c r="E91" i="8"/>
  <c r="F92" i="8" s="1"/>
  <c r="E90" i="8"/>
  <c r="E89" i="8"/>
  <c r="E88" i="8"/>
  <c r="E87" i="8"/>
  <c r="E86" i="8"/>
  <c r="E85" i="8"/>
  <c r="E84" i="8"/>
  <c r="E83" i="8"/>
  <c r="E82" i="8"/>
  <c r="F83" i="8" s="1"/>
  <c r="E81" i="8"/>
  <c r="F82" i="8" s="1"/>
  <c r="E80" i="8"/>
  <c r="E79" i="8"/>
  <c r="F80" i="8" s="1"/>
  <c r="E78" i="8"/>
  <c r="E77" i="8"/>
  <c r="E76" i="8"/>
  <c r="E75" i="8"/>
  <c r="E74" i="8"/>
  <c r="E73" i="8"/>
  <c r="E72" i="8"/>
  <c r="E71" i="8"/>
  <c r="E70" i="8"/>
  <c r="F71" i="8" s="1"/>
  <c r="E69" i="8"/>
  <c r="F70" i="8" s="1"/>
  <c r="E68" i="8"/>
  <c r="E67" i="8"/>
  <c r="F68" i="8" s="1"/>
  <c r="E66" i="8"/>
  <c r="E65" i="8"/>
  <c r="E64" i="8"/>
  <c r="E63" i="8"/>
  <c r="E62" i="8"/>
  <c r="E61" i="8"/>
  <c r="E60" i="8"/>
  <c r="E59" i="8"/>
  <c r="E58" i="8"/>
  <c r="F59" i="8" s="1"/>
  <c r="E57" i="8"/>
  <c r="F58" i="8" s="1"/>
  <c r="E56" i="8"/>
  <c r="E55" i="8"/>
  <c r="F56" i="8" s="1"/>
  <c r="E54" i="8"/>
  <c r="E53" i="8"/>
  <c r="E52" i="8"/>
  <c r="E51" i="8"/>
  <c r="E50" i="8"/>
  <c r="E49" i="8"/>
  <c r="E48" i="8"/>
  <c r="E47" i="8"/>
  <c r="E46" i="8"/>
  <c r="F47" i="8" s="1"/>
  <c r="E45" i="8"/>
  <c r="F46" i="8" s="1"/>
  <c r="E44" i="8"/>
  <c r="E43" i="8"/>
  <c r="F44" i="8" s="1"/>
  <c r="E42" i="8"/>
  <c r="E41" i="8"/>
  <c r="E40" i="8"/>
  <c r="E39" i="8"/>
  <c r="E38" i="8"/>
  <c r="E37" i="8"/>
  <c r="E36" i="8"/>
  <c r="E35" i="8"/>
  <c r="E34" i="8"/>
  <c r="F35" i="8" s="1"/>
  <c r="E33" i="8"/>
  <c r="F34" i="8" s="1"/>
  <c r="E32" i="8"/>
  <c r="E31" i="8"/>
  <c r="F32" i="8" s="1"/>
  <c r="E30" i="8"/>
  <c r="E29" i="8"/>
  <c r="E28" i="8"/>
  <c r="E27" i="8"/>
  <c r="E26" i="8"/>
  <c r="E25" i="8"/>
  <c r="E24" i="8"/>
  <c r="E23" i="8"/>
  <c r="E22" i="8"/>
  <c r="F23" i="8" s="1"/>
  <c r="E21" i="8"/>
  <c r="F22" i="8" s="1"/>
  <c r="E20" i="8"/>
  <c r="E19" i="8"/>
  <c r="F20" i="8" s="1"/>
  <c r="E18" i="8"/>
  <c r="C21" i="7"/>
  <c r="I12" i="7"/>
  <c r="I13" i="7"/>
  <c r="I11" i="7"/>
  <c r="I14" i="7"/>
  <c r="E11" i="7"/>
  <c r="E12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Q18" i="7"/>
  <c r="R267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46" i="7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Q20" i="7"/>
  <c r="Q19" i="7"/>
  <c r="Q17" i="7"/>
  <c r="R18" i="7"/>
  <c r="Q267" i="7"/>
  <c r="Q266" i="7"/>
  <c r="Q265" i="7"/>
  <c r="Q264" i="7"/>
  <c r="Q263" i="7"/>
  <c r="Q262" i="7"/>
  <c r="Q261" i="7"/>
  <c r="Q260" i="7"/>
  <c r="Q259" i="7"/>
  <c r="Q258" i="7"/>
  <c r="Q257" i="7"/>
  <c r="Q256" i="7"/>
  <c r="Q255" i="7"/>
  <c r="Q254" i="7"/>
  <c r="Q253" i="7"/>
  <c r="Q252" i="7"/>
  <c r="Q251" i="7"/>
  <c r="Q250" i="7"/>
  <c r="Q249" i="7"/>
  <c r="Q248" i="7"/>
  <c r="Q247" i="7"/>
  <c r="Q246" i="7"/>
  <c r="Q245" i="7"/>
  <c r="Q244" i="7"/>
  <c r="Q243" i="7"/>
  <c r="Q242" i="7"/>
  <c r="Q241" i="7"/>
  <c r="Q240" i="7"/>
  <c r="Q239" i="7"/>
  <c r="Q238" i="7"/>
  <c r="Q237" i="7"/>
  <c r="Q236" i="7"/>
  <c r="Q235" i="7"/>
  <c r="Q234" i="7"/>
  <c r="Q233" i="7"/>
  <c r="Q232" i="7"/>
  <c r="Q231" i="7"/>
  <c r="Q230" i="7"/>
  <c r="Q229" i="7"/>
  <c r="Q228" i="7"/>
  <c r="Q227" i="7"/>
  <c r="Q226" i="7"/>
  <c r="Q225" i="7"/>
  <c r="Q224" i="7"/>
  <c r="Q223" i="7"/>
  <c r="Q222" i="7"/>
  <c r="Q221" i="7"/>
  <c r="Q220" i="7"/>
  <c r="Q219" i="7"/>
  <c r="Q218" i="7"/>
  <c r="Q217" i="7"/>
  <c r="Q216" i="7"/>
  <c r="Q215" i="7"/>
  <c r="Q214" i="7"/>
  <c r="Q213" i="7"/>
  <c r="Q212" i="7"/>
  <c r="Q211" i="7"/>
  <c r="Q210" i="7"/>
  <c r="Q209" i="7"/>
  <c r="Q208" i="7"/>
  <c r="Q207" i="7"/>
  <c r="Q206" i="7"/>
  <c r="Q205" i="7"/>
  <c r="Q204" i="7"/>
  <c r="Q203" i="7"/>
  <c r="Q202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4" i="7"/>
  <c r="Q163" i="7"/>
  <c r="Q162" i="7"/>
  <c r="Q161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6" i="7"/>
  <c r="Q145" i="7"/>
  <c r="Q144" i="7"/>
  <c r="Q143" i="7"/>
  <c r="Q142" i="7"/>
  <c r="Q141" i="7"/>
  <c r="Q140" i="7"/>
  <c r="Q139" i="7"/>
  <c r="Q138" i="7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R17" i="7"/>
  <c r="M251" i="7"/>
  <c r="K18" i="7"/>
  <c r="P263" i="7"/>
  <c r="P262" i="7"/>
  <c r="P261" i="7"/>
  <c r="P260" i="7"/>
  <c r="P259" i="7"/>
  <c r="P252" i="7"/>
  <c r="P251" i="7"/>
  <c r="P250" i="7"/>
  <c r="P249" i="7"/>
  <c r="P248" i="7"/>
  <c r="P247" i="7"/>
  <c r="P240" i="7"/>
  <c r="P239" i="7"/>
  <c r="P238" i="7"/>
  <c r="P237" i="7"/>
  <c r="P236" i="7"/>
  <c r="P235" i="7"/>
  <c r="P228" i="7"/>
  <c r="P227" i="7"/>
  <c r="P226" i="7"/>
  <c r="P225" i="7"/>
  <c r="P224" i="7"/>
  <c r="P223" i="7"/>
  <c r="P216" i="7"/>
  <c r="P215" i="7"/>
  <c r="P214" i="7"/>
  <c r="P213" i="7"/>
  <c r="P212" i="7"/>
  <c r="P211" i="7"/>
  <c r="P204" i="7"/>
  <c r="P203" i="7"/>
  <c r="P202" i="7"/>
  <c r="P201" i="7"/>
  <c r="P200" i="7"/>
  <c r="P199" i="7"/>
  <c r="P192" i="7"/>
  <c r="P191" i="7"/>
  <c r="P190" i="7"/>
  <c r="P189" i="7"/>
  <c r="P188" i="7"/>
  <c r="P187" i="7"/>
  <c r="P180" i="7"/>
  <c r="P179" i="7"/>
  <c r="P178" i="7"/>
  <c r="P177" i="7"/>
  <c r="P176" i="7"/>
  <c r="P175" i="7"/>
  <c r="P168" i="7"/>
  <c r="P167" i="7"/>
  <c r="P166" i="7"/>
  <c r="P165" i="7"/>
  <c r="P164" i="7"/>
  <c r="P163" i="7"/>
  <c r="P156" i="7"/>
  <c r="P155" i="7"/>
  <c r="P154" i="7"/>
  <c r="P153" i="7"/>
  <c r="P152" i="7"/>
  <c r="P151" i="7"/>
  <c r="P144" i="7"/>
  <c r="P143" i="7"/>
  <c r="P142" i="7"/>
  <c r="P141" i="7"/>
  <c r="P140" i="7"/>
  <c r="P139" i="7"/>
  <c r="P132" i="7"/>
  <c r="P131" i="7"/>
  <c r="P130" i="7"/>
  <c r="P129" i="7"/>
  <c r="P128" i="7"/>
  <c r="P127" i="7"/>
  <c r="P120" i="7"/>
  <c r="P119" i="7"/>
  <c r="P118" i="7"/>
  <c r="P117" i="7"/>
  <c r="P116" i="7"/>
  <c r="P115" i="7"/>
  <c r="P108" i="7"/>
  <c r="P107" i="7"/>
  <c r="P106" i="7"/>
  <c r="P105" i="7"/>
  <c r="P104" i="7"/>
  <c r="P103" i="7"/>
  <c r="P96" i="7"/>
  <c r="P95" i="7"/>
  <c r="P94" i="7"/>
  <c r="P93" i="7"/>
  <c r="P92" i="7"/>
  <c r="P91" i="7"/>
  <c r="P84" i="7"/>
  <c r="P83" i="7"/>
  <c r="P82" i="7"/>
  <c r="P81" i="7"/>
  <c r="P80" i="7"/>
  <c r="P79" i="7"/>
  <c r="P72" i="7"/>
  <c r="P71" i="7"/>
  <c r="P70" i="7"/>
  <c r="P69" i="7"/>
  <c r="P68" i="7"/>
  <c r="P67" i="7"/>
  <c r="P60" i="7"/>
  <c r="P59" i="7"/>
  <c r="P58" i="7"/>
  <c r="P57" i="7"/>
  <c r="P56" i="7"/>
  <c r="P55" i="7"/>
  <c r="P50" i="7"/>
  <c r="P48" i="7"/>
  <c r="P47" i="7"/>
  <c r="P46" i="7"/>
  <c r="P45" i="7"/>
  <c r="P44" i="7"/>
  <c r="P43" i="7"/>
  <c r="P38" i="7"/>
  <c r="P37" i="7"/>
  <c r="P36" i="7"/>
  <c r="P35" i="7"/>
  <c r="P34" i="7"/>
  <c r="P33" i="7"/>
  <c r="P32" i="7"/>
  <c r="P31" i="7"/>
  <c r="P26" i="7"/>
  <c r="P25" i="7"/>
  <c r="P24" i="7"/>
  <c r="P23" i="7"/>
  <c r="P22" i="7"/>
  <c r="P20" i="7"/>
  <c r="P19" i="7"/>
  <c r="O19" i="7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O91" i="7" s="1"/>
  <c r="O92" i="7" s="1"/>
  <c r="O93" i="7" s="1"/>
  <c r="O94" i="7" s="1"/>
  <c r="O95" i="7" s="1"/>
  <c r="O96" i="7" s="1"/>
  <c r="O97" i="7" s="1"/>
  <c r="O98" i="7" s="1"/>
  <c r="O99" i="7" s="1"/>
  <c r="O100" i="7" s="1"/>
  <c r="O101" i="7" s="1"/>
  <c r="O102" i="7" s="1"/>
  <c r="O103" i="7" s="1"/>
  <c r="O104" i="7" s="1"/>
  <c r="O105" i="7" s="1"/>
  <c r="O106" i="7" s="1"/>
  <c r="O107" i="7" s="1"/>
  <c r="O108" i="7" s="1"/>
  <c r="O109" i="7" s="1"/>
  <c r="O110" i="7" s="1"/>
  <c r="O111" i="7" s="1"/>
  <c r="O112" i="7" s="1"/>
  <c r="O113" i="7" s="1"/>
  <c r="O114" i="7" s="1"/>
  <c r="O115" i="7" s="1"/>
  <c r="O116" i="7" s="1"/>
  <c r="O117" i="7" s="1"/>
  <c r="O118" i="7" s="1"/>
  <c r="O119" i="7" s="1"/>
  <c r="O120" i="7" s="1"/>
  <c r="O121" i="7" s="1"/>
  <c r="O122" i="7" s="1"/>
  <c r="O123" i="7" s="1"/>
  <c r="O124" i="7" s="1"/>
  <c r="O125" i="7" s="1"/>
  <c r="O126" i="7" s="1"/>
  <c r="O127" i="7" s="1"/>
  <c r="O128" i="7" s="1"/>
  <c r="O129" i="7" s="1"/>
  <c r="O130" i="7" s="1"/>
  <c r="O131" i="7" s="1"/>
  <c r="O132" i="7" s="1"/>
  <c r="O133" i="7" s="1"/>
  <c r="O134" i="7" s="1"/>
  <c r="O135" i="7" s="1"/>
  <c r="O136" i="7" s="1"/>
  <c r="O137" i="7" s="1"/>
  <c r="O138" i="7" s="1"/>
  <c r="O139" i="7" s="1"/>
  <c r="O140" i="7" s="1"/>
  <c r="O141" i="7" s="1"/>
  <c r="O142" i="7" s="1"/>
  <c r="O143" i="7" s="1"/>
  <c r="O144" i="7" s="1"/>
  <c r="O145" i="7" s="1"/>
  <c r="O146" i="7" s="1"/>
  <c r="O147" i="7" s="1"/>
  <c r="O148" i="7" s="1"/>
  <c r="O149" i="7" s="1"/>
  <c r="O150" i="7" s="1"/>
  <c r="O151" i="7" s="1"/>
  <c r="O152" i="7" s="1"/>
  <c r="O153" i="7" s="1"/>
  <c r="O154" i="7" s="1"/>
  <c r="O155" i="7" s="1"/>
  <c r="O156" i="7" s="1"/>
  <c r="O157" i="7" s="1"/>
  <c r="O158" i="7" s="1"/>
  <c r="O159" i="7" s="1"/>
  <c r="O160" i="7" s="1"/>
  <c r="O161" i="7" s="1"/>
  <c r="O162" i="7" s="1"/>
  <c r="O163" i="7" s="1"/>
  <c r="O164" i="7" s="1"/>
  <c r="O165" i="7" s="1"/>
  <c r="O166" i="7" s="1"/>
  <c r="O167" i="7" s="1"/>
  <c r="O168" i="7" s="1"/>
  <c r="O169" i="7" s="1"/>
  <c r="O170" i="7" s="1"/>
  <c r="O171" i="7" s="1"/>
  <c r="O172" i="7" s="1"/>
  <c r="O173" i="7" s="1"/>
  <c r="O174" i="7" s="1"/>
  <c r="O175" i="7" s="1"/>
  <c r="O176" i="7" s="1"/>
  <c r="O177" i="7" s="1"/>
  <c r="O178" i="7" s="1"/>
  <c r="O179" i="7" s="1"/>
  <c r="O180" i="7" s="1"/>
  <c r="O181" i="7" s="1"/>
  <c r="O182" i="7" s="1"/>
  <c r="O183" i="7" s="1"/>
  <c r="O184" i="7" s="1"/>
  <c r="O185" i="7" s="1"/>
  <c r="O186" i="7" s="1"/>
  <c r="O187" i="7" s="1"/>
  <c r="O188" i="7" s="1"/>
  <c r="O189" i="7" s="1"/>
  <c r="O190" i="7" s="1"/>
  <c r="O191" i="7" s="1"/>
  <c r="O192" i="7" s="1"/>
  <c r="O193" i="7" s="1"/>
  <c r="O194" i="7" s="1"/>
  <c r="O195" i="7" s="1"/>
  <c r="O196" i="7" s="1"/>
  <c r="O197" i="7" s="1"/>
  <c r="O198" i="7" s="1"/>
  <c r="O199" i="7" s="1"/>
  <c r="O200" i="7" s="1"/>
  <c r="O201" i="7" s="1"/>
  <c r="O202" i="7" s="1"/>
  <c r="O203" i="7" s="1"/>
  <c r="O204" i="7" s="1"/>
  <c r="O205" i="7" s="1"/>
  <c r="O206" i="7" s="1"/>
  <c r="O207" i="7" s="1"/>
  <c r="O208" i="7" s="1"/>
  <c r="O209" i="7" s="1"/>
  <c r="O210" i="7" s="1"/>
  <c r="O211" i="7" s="1"/>
  <c r="O212" i="7" s="1"/>
  <c r="O213" i="7" s="1"/>
  <c r="O214" i="7" s="1"/>
  <c r="O215" i="7" s="1"/>
  <c r="O216" i="7" s="1"/>
  <c r="O217" i="7" s="1"/>
  <c r="O218" i="7" s="1"/>
  <c r="O219" i="7" s="1"/>
  <c r="O220" i="7" s="1"/>
  <c r="O221" i="7" s="1"/>
  <c r="O222" i="7" s="1"/>
  <c r="O223" i="7" s="1"/>
  <c r="O224" i="7" s="1"/>
  <c r="O225" i="7" s="1"/>
  <c r="O226" i="7" s="1"/>
  <c r="O227" i="7" s="1"/>
  <c r="O228" i="7" s="1"/>
  <c r="O229" i="7" s="1"/>
  <c r="O230" i="7" s="1"/>
  <c r="O231" i="7" s="1"/>
  <c r="O232" i="7" s="1"/>
  <c r="O233" i="7" s="1"/>
  <c r="O234" i="7" s="1"/>
  <c r="O235" i="7" s="1"/>
  <c r="O236" i="7" s="1"/>
  <c r="O237" i="7" s="1"/>
  <c r="O238" i="7" s="1"/>
  <c r="O239" i="7" s="1"/>
  <c r="O240" i="7" s="1"/>
  <c r="O241" i="7" s="1"/>
  <c r="O242" i="7" s="1"/>
  <c r="O243" i="7" s="1"/>
  <c r="O244" i="7" s="1"/>
  <c r="O245" i="7" s="1"/>
  <c r="O246" i="7" s="1"/>
  <c r="O247" i="7" s="1"/>
  <c r="O248" i="7" s="1"/>
  <c r="O249" i="7" s="1"/>
  <c r="O250" i="7" s="1"/>
  <c r="O251" i="7" s="1"/>
  <c r="O252" i="7" s="1"/>
  <c r="O253" i="7" s="1"/>
  <c r="O254" i="7" s="1"/>
  <c r="O255" i="7" s="1"/>
  <c r="O256" i="7" s="1"/>
  <c r="O257" i="7" s="1"/>
  <c r="O258" i="7" s="1"/>
  <c r="O259" i="7" s="1"/>
  <c r="O260" i="7" s="1"/>
  <c r="O261" i="7" s="1"/>
  <c r="O262" i="7" s="1"/>
  <c r="O263" i="7" s="1"/>
  <c r="O264" i="7" s="1"/>
  <c r="O265" i="7" s="1"/>
  <c r="O266" i="7" s="1"/>
  <c r="O267" i="7" s="1"/>
  <c r="N19" i="7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N87" i="7" s="1"/>
  <c r="N88" i="7" s="1"/>
  <c r="N89" i="7" s="1"/>
  <c r="N90" i="7" s="1"/>
  <c r="N91" i="7" s="1"/>
  <c r="N92" i="7" s="1"/>
  <c r="N93" i="7" s="1"/>
  <c r="N94" i="7" s="1"/>
  <c r="N95" i="7" s="1"/>
  <c r="N96" i="7" s="1"/>
  <c r="N97" i="7" s="1"/>
  <c r="N98" i="7" s="1"/>
  <c r="N99" i="7" s="1"/>
  <c r="N100" i="7" s="1"/>
  <c r="N101" i="7" s="1"/>
  <c r="N102" i="7" s="1"/>
  <c r="N103" i="7" s="1"/>
  <c r="N104" i="7" s="1"/>
  <c r="N105" i="7" s="1"/>
  <c r="N106" i="7" s="1"/>
  <c r="N107" i="7" s="1"/>
  <c r="N108" i="7" s="1"/>
  <c r="N109" i="7" s="1"/>
  <c r="N110" i="7" s="1"/>
  <c r="N111" i="7" s="1"/>
  <c r="N112" i="7" s="1"/>
  <c r="N113" i="7" s="1"/>
  <c r="N114" i="7" s="1"/>
  <c r="N115" i="7" s="1"/>
  <c r="N116" i="7" s="1"/>
  <c r="N117" i="7" s="1"/>
  <c r="N118" i="7" s="1"/>
  <c r="N119" i="7" s="1"/>
  <c r="N120" i="7" s="1"/>
  <c r="N121" i="7" s="1"/>
  <c r="N122" i="7" s="1"/>
  <c r="N123" i="7" s="1"/>
  <c r="N124" i="7" s="1"/>
  <c r="N125" i="7" s="1"/>
  <c r="N126" i="7" s="1"/>
  <c r="N127" i="7" s="1"/>
  <c r="N128" i="7" s="1"/>
  <c r="N129" i="7" s="1"/>
  <c r="N130" i="7" s="1"/>
  <c r="N131" i="7" s="1"/>
  <c r="N132" i="7" s="1"/>
  <c r="N133" i="7" s="1"/>
  <c r="N134" i="7" s="1"/>
  <c r="N135" i="7" s="1"/>
  <c r="N136" i="7" s="1"/>
  <c r="N137" i="7" s="1"/>
  <c r="N138" i="7" s="1"/>
  <c r="N139" i="7" s="1"/>
  <c r="N140" i="7" s="1"/>
  <c r="N141" i="7" s="1"/>
  <c r="N142" i="7" s="1"/>
  <c r="N143" i="7" s="1"/>
  <c r="N144" i="7" s="1"/>
  <c r="N145" i="7" s="1"/>
  <c r="N146" i="7" s="1"/>
  <c r="N147" i="7" s="1"/>
  <c r="N148" i="7" s="1"/>
  <c r="N149" i="7" s="1"/>
  <c r="N150" i="7" s="1"/>
  <c r="N151" i="7" s="1"/>
  <c r="N152" i="7" s="1"/>
  <c r="N153" i="7" s="1"/>
  <c r="N154" i="7" s="1"/>
  <c r="N155" i="7" s="1"/>
  <c r="N156" i="7" s="1"/>
  <c r="N157" i="7" s="1"/>
  <c r="N158" i="7" s="1"/>
  <c r="N159" i="7" s="1"/>
  <c r="N160" i="7" s="1"/>
  <c r="N161" i="7" s="1"/>
  <c r="N162" i="7" s="1"/>
  <c r="N163" i="7" s="1"/>
  <c r="N164" i="7" s="1"/>
  <c r="N165" i="7" s="1"/>
  <c r="N166" i="7" s="1"/>
  <c r="N167" i="7" s="1"/>
  <c r="N168" i="7" s="1"/>
  <c r="N169" i="7" s="1"/>
  <c r="N170" i="7" s="1"/>
  <c r="N171" i="7" s="1"/>
  <c r="N172" i="7" s="1"/>
  <c r="N173" i="7" s="1"/>
  <c r="N174" i="7" s="1"/>
  <c r="N175" i="7" s="1"/>
  <c r="N176" i="7" s="1"/>
  <c r="N177" i="7" s="1"/>
  <c r="N178" i="7" s="1"/>
  <c r="N179" i="7" s="1"/>
  <c r="N180" i="7" s="1"/>
  <c r="N181" i="7" s="1"/>
  <c r="N182" i="7" s="1"/>
  <c r="N183" i="7" s="1"/>
  <c r="N184" i="7" s="1"/>
  <c r="N185" i="7" s="1"/>
  <c r="N186" i="7" s="1"/>
  <c r="N187" i="7" s="1"/>
  <c r="N188" i="7" s="1"/>
  <c r="N189" i="7" s="1"/>
  <c r="N190" i="7" s="1"/>
  <c r="N191" i="7" s="1"/>
  <c r="N192" i="7" s="1"/>
  <c r="N193" i="7" s="1"/>
  <c r="N194" i="7" s="1"/>
  <c r="N195" i="7" s="1"/>
  <c r="N196" i="7" s="1"/>
  <c r="N197" i="7" s="1"/>
  <c r="N198" i="7" s="1"/>
  <c r="N199" i="7" s="1"/>
  <c r="N200" i="7" s="1"/>
  <c r="N201" i="7" s="1"/>
  <c r="N202" i="7" s="1"/>
  <c r="N203" i="7" s="1"/>
  <c r="N204" i="7" s="1"/>
  <c r="N205" i="7" s="1"/>
  <c r="N206" i="7" s="1"/>
  <c r="N207" i="7" s="1"/>
  <c r="N208" i="7" s="1"/>
  <c r="N209" i="7" s="1"/>
  <c r="N210" i="7" s="1"/>
  <c r="N211" i="7" s="1"/>
  <c r="N212" i="7" s="1"/>
  <c r="N213" i="7" s="1"/>
  <c r="N214" i="7" s="1"/>
  <c r="N215" i="7" s="1"/>
  <c r="N216" i="7" s="1"/>
  <c r="N217" i="7" s="1"/>
  <c r="N218" i="7" s="1"/>
  <c r="N219" i="7" s="1"/>
  <c r="N220" i="7" s="1"/>
  <c r="N221" i="7" s="1"/>
  <c r="N222" i="7" s="1"/>
  <c r="N223" i="7" s="1"/>
  <c r="N224" i="7" s="1"/>
  <c r="N225" i="7" s="1"/>
  <c r="N226" i="7" s="1"/>
  <c r="N227" i="7" s="1"/>
  <c r="N228" i="7" s="1"/>
  <c r="N229" i="7" s="1"/>
  <c r="N230" i="7" s="1"/>
  <c r="N231" i="7" s="1"/>
  <c r="N232" i="7" s="1"/>
  <c r="N233" i="7" s="1"/>
  <c r="N234" i="7" s="1"/>
  <c r="N235" i="7" s="1"/>
  <c r="N236" i="7" s="1"/>
  <c r="N237" i="7" s="1"/>
  <c r="N238" i="7" s="1"/>
  <c r="N239" i="7" s="1"/>
  <c r="N240" i="7" s="1"/>
  <c r="N241" i="7" s="1"/>
  <c r="N242" i="7" s="1"/>
  <c r="N243" i="7" s="1"/>
  <c r="N244" i="7" s="1"/>
  <c r="N245" i="7" s="1"/>
  <c r="N246" i="7" s="1"/>
  <c r="N247" i="7" s="1"/>
  <c r="N248" i="7" s="1"/>
  <c r="N249" i="7" s="1"/>
  <c r="N250" i="7" s="1"/>
  <c r="N251" i="7" s="1"/>
  <c r="N252" i="7" s="1"/>
  <c r="N253" i="7" s="1"/>
  <c r="N254" i="7" s="1"/>
  <c r="N255" i="7" s="1"/>
  <c r="N256" i="7" s="1"/>
  <c r="N257" i="7" s="1"/>
  <c r="N258" i="7" s="1"/>
  <c r="N259" i="7" s="1"/>
  <c r="N260" i="7" s="1"/>
  <c r="N261" i="7" s="1"/>
  <c r="N262" i="7" s="1"/>
  <c r="N263" i="7" s="1"/>
  <c r="N264" i="7" s="1"/>
  <c r="N265" i="7" s="1"/>
  <c r="N266" i="7" s="1"/>
  <c r="N267" i="7" s="1"/>
  <c r="M19" i="7"/>
  <c r="M20" i="7" s="1"/>
  <c r="M21" i="7" s="1"/>
  <c r="L19" i="7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L217" i="7" s="1"/>
  <c r="L218" i="7" s="1"/>
  <c r="L219" i="7" s="1"/>
  <c r="L220" i="7" s="1"/>
  <c r="L221" i="7" s="1"/>
  <c r="L222" i="7" s="1"/>
  <c r="L223" i="7" s="1"/>
  <c r="L224" i="7" s="1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L235" i="7" s="1"/>
  <c r="L236" i="7" s="1"/>
  <c r="L237" i="7" s="1"/>
  <c r="L238" i="7" s="1"/>
  <c r="L239" i="7" s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K19" i="7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K105" i="7" s="1"/>
  <c r="K106" i="7" s="1"/>
  <c r="K107" i="7" s="1"/>
  <c r="K108" i="7" s="1"/>
  <c r="K109" i="7" s="1"/>
  <c r="K110" i="7" s="1"/>
  <c r="K111" i="7" s="1"/>
  <c r="K112" i="7" s="1"/>
  <c r="K113" i="7" s="1"/>
  <c r="K114" i="7" s="1"/>
  <c r="K115" i="7" s="1"/>
  <c r="K116" i="7" s="1"/>
  <c r="K117" i="7" s="1"/>
  <c r="K118" i="7" s="1"/>
  <c r="K119" i="7" s="1"/>
  <c r="K120" i="7" s="1"/>
  <c r="K121" i="7" s="1"/>
  <c r="K122" i="7" s="1"/>
  <c r="K123" i="7" s="1"/>
  <c r="K124" i="7" s="1"/>
  <c r="K125" i="7" s="1"/>
  <c r="K126" i="7" s="1"/>
  <c r="K127" i="7" s="1"/>
  <c r="K128" i="7" s="1"/>
  <c r="K129" i="7" s="1"/>
  <c r="K130" i="7" s="1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K145" i="7" s="1"/>
  <c r="K146" i="7" s="1"/>
  <c r="K147" i="7" s="1"/>
  <c r="K148" i="7" s="1"/>
  <c r="K149" i="7" s="1"/>
  <c r="K150" i="7" s="1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K165" i="7" s="1"/>
  <c r="K166" i="7" s="1"/>
  <c r="K167" i="7" s="1"/>
  <c r="K168" i="7" s="1"/>
  <c r="K169" i="7" s="1"/>
  <c r="K170" i="7" s="1"/>
  <c r="K171" i="7" s="1"/>
  <c r="K172" i="7" s="1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K185" i="7" s="1"/>
  <c r="K186" i="7" s="1"/>
  <c r="K187" i="7" s="1"/>
  <c r="K188" i="7" s="1"/>
  <c r="K189" i="7" s="1"/>
  <c r="K190" i="7" s="1"/>
  <c r="K191" i="7" s="1"/>
  <c r="K192" i="7" s="1"/>
  <c r="K193" i="7" s="1"/>
  <c r="K194" i="7" s="1"/>
  <c r="K195" i="7" s="1"/>
  <c r="K196" i="7" s="1"/>
  <c r="K197" i="7" s="1"/>
  <c r="K198" i="7" s="1"/>
  <c r="K199" i="7" s="1"/>
  <c r="K200" i="7" s="1"/>
  <c r="K201" i="7" s="1"/>
  <c r="K202" i="7" s="1"/>
  <c r="K203" i="7" s="1"/>
  <c r="K204" i="7" s="1"/>
  <c r="K205" i="7" s="1"/>
  <c r="K206" i="7" s="1"/>
  <c r="K207" i="7" s="1"/>
  <c r="K208" i="7" s="1"/>
  <c r="K209" i="7" s="1"/>
  <c r="K210" i="7" s="1"/>
  <c r="K211" i="7" s="1"/>
  <c r="K212" i="7" s="1"/>
  <c r="K213" i="7" s="1"/>
  <c r="K214" i="7" s="1"/>
  <c r="K215" i="7" s="1"/>
  <c r="K216" i="7" s="1"/>
  <c r="K217" i="7" s="1"/>
  <c r="K218" i="7" s="1"/>
  <c r="K219" i="7" s="1"/>
  <c r="K220" i="7" s="1"/>
  <c r="K221" i="7" s="1"/>
  <c r="K222" i="7" s="1"/>
  <c r="K223" i="7" s="1"/>
  <c r="K224" i="7" s="1"/>
  <c r="K225" i="7" s="1"/>
  <c r="K226" i="7" s="1"/>
  <c r="K227" i="7" s="1"/>
  <c r="K228" i="7" s="1"/>
  <c r="K229" i="7" s="1"/>
  <c r="K230" i="7" s="1"/>
  <c r="K231" i="7" s="1"/>
  <c r="K232" i="7" s="1"/>
  <c r="K233" i="7" s="1"/>
  <c r="K234" i="7" s="1"/>
  <c r="K235" i="7" s="1"/>
  <c r="K236" i="7" s="1"/>
  <c r="K237" i="7" s="1"/>
  <c r="K238" i="7" s="1"/>
  <c r="K239" i="7" s="1"/>
  <c r="K240" i="7" s="1"/>
  <c r="K241" i="7" s="1"/>
  <c r="K242" i="7" s="1"/>
  <c r="K243" i="7" s="1"/>
  <c r="K244" i="7" s="1"/>
  <c r="K245" i="7" s="1"/>
  <c r="K246" i="7" s="1"/>
  <c r="K247" i="7" s="1"/>
  <c r="K248" i="7" s="1"/>
  <c r="K249" i="7" s="1"/>
  <c r="K250" i="7" s="1"/>
  <c r="K251" i="7" s="1"/>
  <c r="K252" i="7" s="1"/>
  <c r="K253" i="7" s="1"/>
  <c r="K254" i="7" s="1"/>
  <c r="K255" i="7" s="1"/>
  <c r="K256" i="7" s="1"/>
  <c r="K257" i="7" s="1"/>
  <c r="K258" i="7" s="1"/>
  <c r="K259" i="7" s="1"/>
  <c r="K260" i="7" s="1"/>
  <c r="K261" i="7" s="1"/>
  <c r="K262" i="7" s="1"/>
  <c r="K263" i="7" s="1"/>
  <c r="K264" i="7" s="1"/>
  <c r="K265" i="7" s="1"/>
  <c r="K266" i="7" s="1"/>
  <c r="K267" i="7" s="1"/>
  <c r="P267" i="7" s="1"/>
  <c r="P18" i="7"/>
  <c r="O18" i="7"/>
  <c r="N18" i="7"/>
  <c r="M18" i="7"/>
  <c r="L18" i="7"/>
  <c r="P17" i="7"/>
  <c r="O17" i="7"/>
  <c r="L17" i="7"/>
  <c r="M17" i="7"/>
  <c r="N17" i="7"/>
  <c r="K17" i="7"/>
  <c r="C43" i="7" a="1"/>
  <c r="C43" i="7" s="1"/>
  <c r="G40" i="7"/>
  <c r="F40" i="7"/>
  <c r="E40" i="7"/>
  <c r="D40" i="7"/>
  <c r="C40" i="7"/>
  <c r="G39" i="7"/>
  <c r="F39" i="7"/>
  <c r="E39" i="7"/>
  <c r="D39" i="7"/>
  <c r="C39" i="7"/>
  <c r="G38" i="7"/>
  <c r="F38" i="7"/>
  <c r="E38" i="7"/>
  <c r="D38" i="7"/>
  <c r="C38" i="7"/>
  <c r="G37" i="7"/>
  <c r="F37" i="7"/>
  <c r="D37" i="7"/>
  <c r="E37" i="7"/>
  <c r="C37" i="7"/>
  <c r="D36" i="7"/>
  <c r="E36" i="7"/>
  <c r="F36" i="7"/>
  <c r="G36" i="7"/>
  <c r="C36" i="7"/>
  <c r="E31" i="7"/>
  <c r="D30" i="7"/>
  <c r="C29" i="7"/>
  <c r="B43" i="7" a="1"/>
  <c r="B43" i="7" s="1"/>
  <c r="B36" i="7" a="1"/>
  <c r="B36" i="7" s="1"/>
  <c r="G33" i="7"/>
  <c r="F32" i="7"/>
  <c r="B29" i="7" a="1"/>
  <c r="B29" i="7" s="1"/>
  <c r="D26" i="7"/>
  <c r="E26" i="7"/>
  <c r="F26" i="7"/>
  <c r="F25" i="7"/>
  <c r="G25" i="7"/>
  <c r="D25" i="7"/>
  <c r="E25" i="7"/>
  <c r="C25" i="7"/>
  <c r="D24" i="7"/>
  <c r="E24" i="7"/>
  <c r="F24" i="7"/>
  <c r="G24" i="7"/>
  <c r="G26" i="7" s="1"/>
  <c r="C24" i="7"/>
  <c r="C26" i="7" s="1"/>
  <c r="G23" i="7"/>
  <c r="E22" i="7"/>
  <c r="F23" i="7"/>
  <c r="E23" i="7"/>
  <c r="D23" i="7"/>
  <c r="C23" i="7"/>
  <c r="C22" i="7"/>
  <c r="D22" i="7"/>
  <c r="D20" i="7"/>
  <c r="E20" i="7"/>
  <c r="F20" i="7"/>
  <c r="G20" i="7"/>
  <c r="C20" i="7"/>
  <c r="D19" i="7"/>
  <c r="E19" i="7"/>
  <c r="F19" i="7"/>
  <c r="G19" i="7"/>
  <c r="C19" i="7"/>
  <c r="G18" i="7"/>
  <c r="D18" i="7"/>
  <c r="E18" i="7"/>
  <c r="F18" i="7"/>
  <c r="C18" i="7"/>
  <c r="D17" i="7"/>
  <c r="E17" i="7"/>
  <c r="F17" i="7"/>
  <c r="G17" i="7"/>
  <c r="C17" i="7"/>
  <c r="D12" i="7"/>
  <c r="D11" i="7"/>
  <c r="I7" i="1"/>
  <c r="P1080" i="1"/>
  <c r="O1080" i="1"/>
  <c r="N1080" i="1"/>
  <c r="M1080" i="1"/>
  <c r="L1080" i="1"/>
  <c r="K1080" i="1"/>
  <c r="J1080" i="1"/>
  <c r="I1080" i="1"/>
  <c r="H1080" i="1"/>
  <c r="G1080" i="1"/>
  <c r="P1079" i="1"/>
  <c r="O1079" i="1"/>
  <c r="N1079" i="1"/>
  <c r="M1079" i="1"/>
  <c r="L1079" i="1"/>
  <c r="K1079" i="1"/>
  <c r="J1079" i="1"/>
  <c r="I1079" i="1"/>
  <c r="H1079" i="1"/>
  <c r="G1079" i="1"/>
  <c r="P1078" i="1"/>
  <c r="O1078" i="1"/>
  <c r="N1078" i="1"/>
  <c r="M1078" i="1"/>
  <c r="L1078" i="1"/>
  <c r="K1078" i="1"/>
  <c r="J1078" i="1"/>
  <c r="I1078" i="1"/>
  <c r="H1078" i="1"/>
  <c r="G1078" i="1"/>
  <c r="P1077" i="1"/>
  <c r="O1077" i="1"/>
  <c r="N1077" i="1"/>
  <c r="M1077" i="1"/>
  <c r="L1077" i="1"/>
  <c r="K1077" i="1"/>
  <c r="J1077" i="1"/>
  <c r="I1077" i="1"/>
  <c r="H1077" i="1"/>
  <c r="G1077" i="1"/>
  <c r="P1076" i="1"/>
  <c r="O1076" i="1"/>
  <c r="N1076" i="1"/>
  <c r="M1076" i="1"/>
  <c r="L1076" i="1"/>
  <c r="K1076" i="1"/>
  <c r="J1076" i="1"/>
  <c r="I1076" i="1"/>
  <c r="H1076" i="1"/>
  <c r="G1076" i="1"/>
  <c r="P1075" i="1"/>
  <c r="O1075" i="1"/>
  <c r="N1075" i="1"/>
  <c r="M1075" i="1"/>
  <c r="L1075" i="1"/>
  <c r="K1075" i="1"/>
  <c r="J1075" i="1"/>
  <c r="I1075" i="1"/>
  <c r="H1075" i="1"/>
  <c r="G1075" i="1"/>
  <c r="P1074" i="1"/>
  <c r="O1074" i="1"/>
  <c r="N1074" i="1"/>
  <c r="M1074" i="1"/>
  <c r="L1074" i="1"/>
  <c r="K1074" i="1"/>
  <c r="J1074" i="1"/>
  <c r="I1074" i="1"/>
  <c r="H1074" i="1"/>
  <c r="G1074" i="1"/>
  <c r="P1073" i="1"/>
  <c r="O1073" i="1"/>
  <c r="N1073" i="1"/>
  <c r="M1073" i="1"/>
  <c r="L1073" i="1"/>
  <c r="K1073" i="1"/>
  <c r="J1073" i="1"/>
  <c r="I1073" i="1"/>
  <c r="H1073" i="1"/>
  <c r="G1073" i="1"/>
  <c r="P1072" i="1"/>
  <c r="O1072" i="1"/>
  <c r="N1072" i="1"/>
  <c r="M1072" i="1"/>
  <c r="L1072" i="1"/>
  <c r="K1072" i="1"/>
  <c r="J1072" i="1"/>
  <c r="I1072" i="1"/>
  <c r="H1072" i="1"/>
  <c r="G1072" i="1"/>
  <c r="P1071" i="1"/>
  <c r="O1071" i="1"/>
  <c r="N1071" i="1"/>
  <c r="M1071" i="1"/>
  <c r="L1071" i="1"/>
  <c r="K1071" i="1"/>
  <c r="J1071" i="1"/>
  <c r="I1071" i="1"/>
  <c r="H1071" i="1"/>
  <c r="G1071" i="1"/>
  <c r="P1070" i="1"/>
  <c r="O1070" i="1"/>
  <c r="N1070" i="1"/>
  <c r="M1070" i="1"/>
  <c r="L1070" i="1"/>
  <c r="K1070" i="1"/>
  <c r="J1070" i="1"/>
  <c r="I1070" i="1"/>
  <c r="H1070" i="1"/>
  <c r="G1070" i="1"/>
  <c r="P1069" i="1"/>
  <c r="O1069" i="1"/>
  <c r="N1069" i="1"/>
  <c r="M1069" i="1"/>
  <c r="L1069" i="1"/>
  <c r="K1069" i="1"/>
  <c r="J1069" i="1"/>
  <c r="I1069" i="1"/>
  <c r="H1069" i="1"/>
  <c r="G1069" i="1"/>
  <c r="P1068" i="1"/>
  <c r="O1068" i="1"/>
  <c r="N1068" i="1"/>
  <c r="M1068" i="1"/>
  <c r="L1068" i="1"/>
  <c r="K1068" i="1"/>
  <c r="J1068" i="1"/>
  <c r="I1068" i="1"/>
  <c r="H1068" i="1"/>
  <c r="G1068" i="1"/>
  <c r="P1067" i="1"/>
  <c r="O1067" i="1"/>
  <c r="N1067" i="1"/>
  <c r="M1067" i="1"/>
  <c r="L1067" i="1"/>
  <c r="K1067" i="1"/>
  <c r="J1067" i="1"/>
  <c r="I1067" i="1"/>
  <c r="H1067" i="1"/>
  <c r="G1067" i="1"/>
  <c r="P1066" i="1"/>
  <c r="O1066" i="1"/>
  <c r="N1066" i="1"/>
  <c r="M1066" i="1"/>
  <c r="L1066" i="1"/>
  <c r="K1066" i="1"/>
  <c r="J1066" i="1"/>
  <c r="I1066" i="1"/>
  <c r="H1066" i="1"/>
  <c r="G1066" i="1"/>
  <c r="P1065" i="1"/>
  <c r="O1065" i="1"/>
  <c r="N1065" i="1"/>
  <c r="M1065" i="1"/>
  <c r="L1065" i="1"/>
  <c r="K1065" i="1"/>
  <c r="J1065" i="1"/>
  <c r="I1065" i="1"/>
  <c r="H1065" i="1"/>
  <c r="G1065" i="1"/>
  <c r="P1064" i="1"/>
  <c r="O1064" i="1"/>
  <c r="N1064" i="1"/>
  <c r="M1064" i="1"/>
  <c r="L1064" i="1"/>
  <c r="K1064" i="1"/>
  <c r="J1064" i="1"/>
  <c r="I1064" i="1"/>
  <c r="H1064" i="1"/>
  <c r="G1064" i="1"/>
  <c r="P1063" i="1"/>
  <c r="O1063" i="1"/>
  <c r="N1063" i="1"/>
  <c r="M1063" i="1"/>
  <c r="L1063" i="1"/>
  <c r="K1063" i="1"/>
  <c r="J1063" i="1"/>
  <c r="I1063" i="1"/>
  <c r="H1063" i="1"/>
  <c r="G1063" i="1"/>
  <c r="P1062" i="1"/>
  <c r="O1062" i="1"/>
  <c r="N1062" i="1"/>
  <c r="M1062" i="1"/>
  <c r="L1062" i="1"/>
  <c r="K1062" i="1"/>
  <c r="J1062" i="1"/>
  <c r="I1062" i="1"/>
  <c r="H1062" i="1"/>
  <c r="G1062" i="1"/>
  <c r="P1061" i="1"/>
  <c r="O1061" i="1"/>
  <c r="N1061" i="1"/>
  <c r="M1061" i="1"/>
  <c r="L1061" i="1"/>
  <c r="K1061" i="1"/>
  <c r="J1061" i="1"/>
  <c r="I1061" i="1"/>
  <c r="H1061" i="1"/>
  <c r="G1061" i="1"/>
  <c r="P1060" i="1"/>
  <c r="O1060" i="1"/>
  <c r="N1060" i="1"/>
  <c r="M1060" i="1"/>
  <c r="L1060" i="1"/>
  <c r="K1060" i="1"/>
  <c r="J1060" i="1"/>
  <c r="I1060" i="1"/>
  <c r="H1060" i="1"/>
  <c r="G1060" i="1"/>
  <c r="P1059" i="1"/>
  <c r="O1059" i="1"/>
  <c r="N1059" i="1"/>
  <c r="M1059" i="1"/>
  <c r="L1059" i="1"/>
  <c r="K1059" i="1"/>
  <c r="J1059" i="1"/>
  <c r="I1059" i="1"/>
  <c r="H1059" i="1"/>
  <c r="G1059" i="1"/>
  <c r="P1058" i="1"/>
  <c r="O1058" i="1"/>
  <c r="N1058" i="1"/>
  <c r="M1058" i="1"/>
  <c r="L1058" i="1"/>
  <c r="K1058" i="1"/>
  <c r="J1058" i="1"/>
  <c r="I1058" i="1"/>
  <c r="H1058" i="1"/>
  <c r="G1058" i="1"/>
  <c r="P1057" i="1"/>
  <c r="O1057" i="1"/>
  <c r="N1057" i="1"/>
  <c r="M1057" i="1"/>
  <c r="L1057" i="1"/>
  <c r="K1057" i="1"/>
  <c r="J1057" i="1"/>
  <c r="I1057" i="1"/>
  <c r="H1057" i="1"/>
  <c r="G1057" i="1"/>
  <c r="P1056" i="1"/>
  <c r="O1056" i="1"/>
  <c r="N1056" i="1"/>
  <c r="M1056" i="1"/>
  <c r="L1056" i="1"/>
  <c r="K1056" i="1"/>
  <c r="J1056" i="1"/>
  <c r="I1056" i="1"/>
  <c r="H1056" i="1"/>
  <c r="G1056" i="1"/>
  <c r="P1055" i="1"/>
  <c r="O1055" i="1"/>
  <c r="N1055" i="1"/>
  <c r="M1055" i="1"/>
  <c r="L1055" i="1"/>
  <c r="K1055" i="1"/>
  <c r="J1055" i="1"/>
  <c r="I1055" i="1"/>
  <c r="H1055" i="1"/>
  <c r="G1055" i="1"/>
  <c r="P1054" i="1"/>
  <c r="O1054" i="1"/>
  <c r="N1054" i="1"/>
  <c r="M1054" i="1"/>
  <c r="L1054" i="1"/>
  <c r="K1054" i="1"/>
  <c r="J1054" i="1"/>
  <c r="I1054" i="1"/>
  <c r="H1054" i="1"/>
  <c r="G1054" i="1"/>
  <c r="P1053" i="1"/>
  <c r="O1053" i="1"/>
  <c r="N1053" i="1"/>
  <c r="M1053" i="1"/>
  <c r="L1053" i="1"/>
  <c r="K1053" i="1"/>
  <c r="J1053" i="1"/>
  <c r="I1053" i="1"/>
  <c r="H1053" i="1"/>
  <c r="G1053" i="1"/>
  <c r="P1052" i="1"/>
  <c r="O1052" i="1"/>
  <c r="N1052" i="1"/>
  <c r="M1052" i="1"/>
  <c r="L1052" i="1"/>
  <c r="K1052" i="1"/>
  <c r="J1052" i="1"/>
  <c r="I1052" i="1"/>
  <c r="H1052" i="1"/>
  <c r="G1052" i="1"/>
  <c r="P1051" i="1"/>
  <c r="O1051" i="1"/>
  <c r="N1051" i="1"/>
  <c r="M1051" i="1"/>
  <c r="L1051" i="1"/>
  <c r="K1051" i="1"/>
  <c r="J1051" i="1"/>
  <c r="I1051" i="1"/>
  <c r="H1051" i="1"/>
  <c r="G1051" i="1"/>
  <c r="P1050" i="1"/>
  <c r="O1050" i="1"/>
  <c r="N1050" i="1"/>
  <c r="M1050" i="1"/>
  <c r="L1050" i="1"/>
  <c r="K1050" i="1"/>
  <c r="J1050" i="1"/>
  <c r="I1050" i="1"/>
  <c r="H1050" i="1"/>
  <c r="G1050" i="1"/>
  <c r="P1049" i="1"/>
  <c r="O1049" i="1"/>
  <c r="N1049" i="1"/>
  <c r="M1049" i="1"/>
  <c r="L1049" i="1"/>
  <c r="K1049" i="1"/>
  <c r="J1049" i="1"/>
  <c r="I1049" i="1"/>
  <c r="H1049" i="1"/>
  <c r="G1049" i="1"/>
  <c r="P1048" i="1"/>
  <c r="O1048" i="1"/>
  <c r="N1048" i="1"/>
  <c r="M1048" i="1"/>
  <c r="L1048" i="1"/>
  <c r="K1048" i="1"/>
  <c r="J1048" i="1"/>
  <c r="I1048" i="1"/>
  <c r="H1048" i="1"/>
  <c r="G1048" i="1"/>
  <c r="P1047" i="1"/>
  <c r="O1047" i="1"/>
  <c r="N1047" i="1"/>
  <c r="M1047" i="1"/>
  <c r="L1047" i="1"/>
  <c r="K1047" i="1"/>
  <c r="J1047" i="1"/>
  <c r="I1047" i="1"/>
  <c r="H1047" i="1"/>
  <c r="G1047" i="1"/>
  <c r="P1046" i="1"/>
  <c r="O1046" i="1"/>
  <c r="N1046" i="1"/>
  <c r="M1046" i="1"/>
  <c r="L1046" i="1"/>
  <c r="K1046" i="1"/>
  <c r="J1046" i="1"/>
  <c r="I1046" i="1"/>
  <c r="H1046" i="1"/>
  <c r="G1046" i="1"/>
  <c r="P1045" i="1"/>
  <c r="O1045" i="1"/>
  <c r="N1045" i="1"/>
  <c r="M1045" i="1"/>
  <c r="L1045" i="1"/>
  <c r="K1045" i="1"/>
  <c r="J1045" i="1"/>
  <c r="I1045" i="1"/>
  <c r="H1045" i="1"/>
  <c r="G1045" i="1"/>
  <c r="P1044" i="1"/>
  <c r="O1044" i="1"/>
  <c r="N1044" i="1"/>
  <c r="M1044" i="1"/>
  <c r="L1044" i="1"/>
  <c r="K1044" i="1"/>
  <c r="J1044" i="1"/>
  <c r="I1044" i="1"/>
  <c r="H1044" i="1"/>
  <c r="G1044" i="1"/>
  <c r="P1043" i="1"/>
  <c r="O1043" i="1"/>
  <c r="N1043" i="1"/>
  <c r="M1043" i="1"/>
  <c r="L1043" i="1"/>
  <c r="K1043" i="1"/>
  <c r="J1043" i="1"/>
  <c r="I1043" i="1"/>
  <c r="H1043" i="1"/>
  <c r="G1043" i="1"/>
  <c r="P1042" i="1"/>
  <c r="O1042" i="1"/>
  <c r="N1042" i="1"/>
  <c r="M1042" i="1"/>
  <c r="L1042" i="1"/>
  <c r="K1042" i="1"/>
  <c r="J1042" i="1"/>
  <c r="I1042" i="1"/>
  <c r="H1042" i="1"/>
  <c r="G1042" i="1"/>
  <c r="P1041" i="1"/>
  <c r="O1041" i="1"/>
  <c r="N1041" i="1"/>
  <c r="M1041" i="1"/>
  <c r="L1041" i="1"/>
  <c r="K1041" i="1"/>
  <c r="J1041" i="1"/>
  <c r="I1041" i="1"/>
  <c r="H1041" i="1"/>
  <c r="G1041" i="1"/>
  <c r="P1040" i="1"/>
  <c r="O1040" i="1"/>
  <c r="N1040" i="1"/>
  <c r="M1040" i="1"/>
  <c r="L1040" i="1"/>
  <c r="K1040" i="1"/>
  <c r="J1040" i="1"/>
  <c r="I1040" i="1"/>
  <c r="H1040" i="1"/>
  <c r="G1040" i="1"/>
  <c r="P1039" i="1"/>
  <c r="O1039" i="1"/>
  <c r="N1039" i="1"/>
  <c r="M1039" i="1"/>
  <c r="L1039" i="1"/>
  <c r="K1039" i="1"/>
  <c r="J1039" i="1"/>
  <c r="I1039" i="1"/>
  <c r="H1039" i="1"/>
  <c r="G1039" i="1"/>
  <c r="P1038" i="1"/>
  <c r="O1038" i="1"/>
  <c r="N1038" i="1"/>
  <c r="M1038" i="1"/>
  <c r="L1038" i="1"/>
  <c r="K1038" i="1"/>
  <c r="J1038" i="1"/>
  <c r="I1038" i="1"/>
  <c r="H1038" i="1"/>
  <c r="G1038" i="1"/>
  <c r="P1037" i="1"/>
  <c r="O1037" i="1"/>
  <c r="N1037" i="1"/>
  <c r="M1037" i="1"/>
  <c r="L1037" i="1"/>
  <c r="K1037" i="1"/>
  <c r="J1037" i="1"/>
  <c r="I1037" i="1"/>
  <c r="H1037" i="1"/>
  <c r="G1037" i="1"/>
  <c r="P1036" i="1"/>
  <c r="O1036" i="1"/>
  <c r="N1036" i="1"/>
  <c r="M1036" i="1"/>
  <c r="L1036" i="1"/>
  <c r="K1036" i="1"/>
  <c r="J1036" i="1"/>
  <c r="I1036" i="1"/>
  <c r="H1036" i="1"/>
  <c r="G1036" i="1"/>
  <c r="P1035" i="1"/>
  <c r="O1035" i="1"/>
  <c r="N1035" i="1"/>
  <c r="M1035" i="1"/>
  <c r="L1035" i="1"/>
  <c r="K1035" i="1"/>
  <c r="J1035" i="1"/>
  <c r="I1035" i="1"/>
  <c r="H1035" i="1"/>
  <c r="G1035" i="1"/>
  <c r="P1034" i="1"/>
  <c r="O1034" i="1"/>
  <c r="N1034" i="1"/>
  <c r="M1034" i="1"/>
  <c r="L1034" i="1"/>
  <c r="K1034" i="1"/>
  <c r="J1034" i="1"/>
  <c r="I1034" i="1"/>
  <c r="H1034" i="1"/>
  <c r="G1034" i="1"/>
  <c r="P1033" i="1"/>
  <c r="O1033" i="1"/>
  <c r="N1033" i="1"/>
  <c r="M1033" i="1"/>
  <c r="L1033" i="1"/>
  <c r="K1033" i="1"/>
  <c r="J1033" i="1"/>
  <c r="I1033" i="1"/>
  <c r="H1033" i="1"/>
  <c r="G1033" i="1"/>
  <c r="P1032" i="1"/>
  <c r="O1032" i="1"/>
  <c r="N1032" i="1"/>
  <c r="M1032" i="1"/>
  <c r="L1032" i="1"/>
  <c r="K1032" i="1"/>
  <c r="J1032" i="1"/>
  <c r="I1032" i="1"/>
  <c r="H1032" i="1"/>
  <c r="G1032" i="1"/>
  <c r="P1031" i="1"/>
  <c r="O1031" i="1"/>
  <c r="N1031" i="1"/>
  <c r="M1031" i="1"/>
  <c r="L1031" i="1"/>
  <c r="K1031" i="1"/>
  <c r="J1031" i="1"/>
  <c r="I1031" i="1"/>
  <c r="H1031" i="1"/>
  <c r="G1031" i="1"/>
  <c r="P1030" i="1"/>
  <c r="O1030" i="1"/>
  <c r="N1030" i="1"/>
  <c r="M1030" i="1"/>
  <c r="L1030" i="1"/>
  <c r="K1030" i="1"/>
  <c r="J1030" i="1"/>
  <c r="I1030" i="1"/>
  <c r="H1030" i="1"/>
  <c r="G1030" i="1"/>
  <c r="P1029" i="1"/>
  <c r="O1029" i="1"/>
  <c r="N1029" i="1"/>
  <c r="M1029" i="1"/>
  <c r="L1029" i="1"/>
  <c r="K1029" i="1"/>
  <c r="J1029" i="1"/>
  <c r="I1029" i="1"/>
  <c r="H1029" i="1"/>
  <c r="G1029" i="1"/>
  <c r="P1028" i="1"/>
  <c r="O1028" i="1"/>
  <c r="N1028" i="1"/>
  <c r="M1028" i="1"/>
  <c r="L1028" i="1"/>
  <c r="K1028" i="1"/>
  <c r="J1028" i="1"/>
  <c r="I1028" i="1"/>
  <c r="H1028" i="1"/>
  <c r="G1028" i="1"/>
  <c r="P1027" i="1"/>
  <c r="O1027" i="1"/>
  <c r="N1027" i="1"/>
  <c r="M1027" i="1"/>
  <c r="L1027" i="1"/>
  <c r="K1027" i="1"/>
  <c r="J1027" i="1"/>
  <c r="I1027" i="1"/>
  <c r="H1027" i="1"/>
  <c r="G1027" i="1"/>
  <c r="P1026" i="1"/>
  <c r="O1026" i="1"/>
  <c r="N1026" i="1"/>
  <c r="M1026" i="1"/>
  <c r="L1026" i="1"/>
  <c r="K1026" i="1"/>
  <c r="J1026" i="1"/>
  <c r="I1026" i="1"/>
  <c r="H1026" i="1"/>
  <c r="G1026" i="1"/>
  <c r="P1025" i="1"/>
  <c r="O1025" i="1"/>
  <c r="N1025" i="1"/>
  <c r="M1025" i="1"/>
  <c r="L1025" i="1"/>
  <c r="K1025" i="1"/>
  <c r="J1025" i="1"/>
  <c r="I1025" i="1"/>
  <c r="H1025" i="1"/>
  <c r="G1025" i="1"/>
  <c r="P1024" i="1"/>
  <c r="O1024" i="1"/>
  <c r="N1024" i="1"/>
  <c r="M1024" i="1"/>
  <c r="L1024" i="1"/>
  <c r="K1024" i="1"/>
  <c r="J1024" i="1"/>
  <c r="I1024" i="1"/>
  <c r="H1024" i="1"/>
  <c r="G1024" i="1"/>
  <c r="P1023" i="1"/>
  <c r="O1023" i="1"/>
  <c r="N1023" i="1"/>
  <c r="M1023" i="1"/>
  <c r="L1023" i="1"/>
  <c r="K1023" i="1"/>
  <c r="J1023" i="1"/>
  <c r="I1023" i="1"/>
  <c r="H1023" i="1"/>
  <c r="G1023" i="1"/>
  <c r="P1022" i="1"/>
  <c r="O1022" i="1"/>
  <c r="N1022" i="1"/>
  <c r="M1022" i="1"/>
  <c r="L1022" i="1"/>
  <c r="K1022" i="1"/>
  <c r="J1022" i="1"/>
  <c r="I1022" i="1"/>
  <c r="H1022" i="1"/>
  <c r="G1022" i="1"/>
  <c r="P1021" i="1"/>
  <c r="O1021" i="1"/>
  <c r="N1021" i="1"/>
  <c r="M1021" i="1"/>
  <c r="L1021" i="1"/>
  <c r="K1021" i="1"/>
  <c r="J1021" i="1"/>
  <c r="I1021" i="1"/>
  <c r="H1021" i="1"/>
  <c r="G1021" i="1"/>
  <c r="P1020" i="1"/>
  <c r="O1020" i="1"/>
  <c r="N1020" i="1"/>
  <c r="M1020" i="1"/>
  <c r="L1020" i="1"/>
  <c r="K1020" i="1"/>
  <c r="J1020" i="1"/>
  <c r="I1020" i="1"/>
  <c r="H1020" i="1"/>
  <c r="G1020" i="1"/>
  <c r="P1019" i="1"/>
  <c r="O1019" i="1"/>
  <c r="N1019" i="1"/>
  <c r="M1019" i="1"/>
  <c r="L1019" i="1"/>
  <c r="K1019" i="1"/>
  <c r="J1019" i="1"/>
  <c r="I1019" i="1"/>
  <c r="H1019" i="1"/>
  <c r="G1019" i="1"/>
  <c r="P1018" i="1"/>
  <c r="O1018" i="1"/>
  <c r="N1018" i="1"/>
  <c r="M1018" i="1"/>
  <c r="L1018" i="1"/>
  <c r="K1018" i="1"/>
  <c r="J1018" i="1"/>
  <c r="I1018" i="1"/>
  <c r="H1018" i="1"/>
  <c r="G1018" i="1"/>
  <c r="P1017" i="1"/>
  <c r="O1017" i="1"/>
  <c r="N1017" i="1"/>
  <c r="M1017" i="1"/>
  <c r="L1017" i="1"/>
  <c r="K1017" i="1"/>
  <c r="J1017" i="1"/>
  <c r="I1017" i="1"/>
  <c r="H1017" i="1"/>
  <c r="G1017" i="1"/>
  <c r="P1016" i="1"/>
  <c r="O1016" i="1"/>
  <c r="N1016" i="1"/>
  <c r="M1016" i="1"/>
  <c r="L1016" i="1"/>
  <c r="K1016" i="1"/>
  <c r="J1016" i="1"/>
  <c r="I1016" i="1"/>
  <c r="H1016" i="1"/>
  <c r="G1016" i="1"/>
  <c r="P1015" i="1"/>
  <c r="O1015" i="1"/>
  <c r="N1015" i="1"/>
  <c r="M1015" i="1"/>
  <c r="L1015" i="1"/>
  <c r="K1015" i="1"/>
  <c r="J1015" i="1"/>
  <c r="I1015" i="1"/>
  <c r="H1015" i="1"/>
  <c r="G1015" i="1"/>
  <c r="P1014" i="1"/>
  <c r="O1014" i="1"/>
  <c r="N1014" i="1"/>
  <c r="M1014" i="1"/>
  <c r="L1014" i="1"/>
  <c r="K1014" i="1"/>
  <c r="J1014" i="1"/>
  <c r="I1014" i="1"/>
  <c r="H1014" i="1"/>
  <c r="G1014" i="1"/>
  <c r="P1013" i="1"/>
  <c r="O1013" i="1"/>
  <c r="N1013" i="1"/>
  <c r="M1013" i="1"/>
  <c r="L1013" i="1"/>
  <c r="K1013" i="1"/>
  <c r="J1013" i="1"/>
  <c r="I1013" i="1"/>
  <c r="H1013" i="1"/>
  <c r="G1013" i="1"/>
  <c r="P1012" i="1"/>
  <c r="O1012" i="1"/>
  <c r="N1012" i="1"/>
  <c r="M1012" i="1"/>
  <c r="L1012" i="1"/>
  <c r="K1012" i="1"/>
  <c r="J1012" i="1"/>
  <c r="I1012" i="1"/>
  <c r="H1012" i="1"/>
  <c r="G1012" i="1"/>
  <c r="P1011" i="1"/>
  <c r="O1011" i="1"/>
  <c r="N1011" i="1"/>
  <c r="M1011" i="1"/>
  <c r="L1011" i="1"/>
  <c r="K1011" i="1"/>
  <c r="J1011" i="1"/>
  <c r="I1011" i="1"/>
  <c r="H1011" i="1"/>
  <c r="G1011" i="1"/>
  <c r="P1010" i="1"/>
  <c r="O1010" i="1"/>
  <c r="N1010" i="1"/>
  <c r="M1010" i="1"/>
  <c r="L1010" i="1"/>
  <c r="K1010" i="1"/>
  <c r="J1010" i="1"/>
  <c r="I1010" i="1"/>
  <c r="H1010" i="1"/>
  <c r="G1010" i="1"/>
  <c r="P1009" i="1"/>
  <c r="O1009" i="1"/>
  <c r="N1009" i="1"/>
  <c r="M1009" i="1"/>
  <c r="L1009" i="1"/>
  <c r="K1009" i="1"/>
  <c r="J1009" i="1"/>
  <c r="I1009" i="1"/>
  <c r="H1009" i="1"/>
  <c r="G1009" i="1"/>
  <c r="P1008" i="1"/>
  <c r="O1008" i="1"/>
  <c r="N1008" i="1"/>
  <c r="M1008" i="1"/>
  <c r="L1008" i="1"/>
  <c r="K1008" i="1"/>
  <c r="J1008" i="1"/>
  <c r="I1008" i="1"/>
  <c r="H1008" i="1"/>
  <c r="G1008" i="1"/>
  <c r="P1007" i="1"/>
  <c r="O1007" i="1"/>
  <c r="N1007" i="1"/>
  <c r="M1007" i="1"/>
  <c r="L1007" i="1"/>
  <c r="K1007" i="1"/>
  <c r="J1007" i="1"/>
  <c r="I1007" i="1"/>
  <c r="H1007" i="1"/>
  <c r="G1007" i="1"/>
  <c r="P1006" i="1"/>
  <c r="O1006" i="1"/>
  <c r="N1006" i="1"/>
  <c r="M1006" i="1"/>
  <c r="L1006" i="1"/>
  <c r="K1006" i="1"/>
  <c r="J1006" i="1"/>
  <c r="I1006" i="1"/>
  <c r="H1006" i="1"/>
  <c r="G1006" i="1"/>
  <c r="P1005" i="1"/>
  <c r="O1005" i="1"/>
  <c r="N1005" i="1"/>
  <c r="M1005" i="1"/>
  <c r="L1005" i="1"/>
  <c r="K1005" i="1"/>
  <c r="J1005" i="1"/>
  <c r="I1005" i="1"/>
  <c r="H1005" i="1"/>
  <c r="G1005" i="1"/>
  <c r="P1004" i="1"/>
  <c r="O1004" i="1"/>
  <c r="N1004" i="1"/>
  <c r="M1004" i="1"/>
  <c r="L1004" i="1"/>
  <c r="K1004" i="1"/>
  <c r="J1004" i="1"/>
  <c r="I1004" i="1"/>
  <c r="H1004" i="1"/>
  <c r="G1004" i="1"/>
  <c r="P1003" i="1"/>
  <c r="O1003" i="1"/>
  <c r="N1003" i="1"/>
  <c r="M1003" i="1"/>
  <c r="L1003" i="1"/>
  <c r="K1003" i="1"/>
  <c r="J1003" i="1"/>
  <c r="I1003" i="1"/>
  <c r="H1003" i="1"/>
  <c r="G1003" i="1"/>
  <c r="P1002" i="1"/>
  <c r="O1002" i="1"/>
  <c r="N1002" i="1"/>
  <c r="M1002" i="1"/>
  <c r="L1002" i="1"/>
  <c r="K1002" i="1"/>
  <c r="J1002" i="1"/>
  <c r="I1002" i="1"/>
  <c r="H1002" i="1"/>
  <c r="G1002" i="1"/>
  <c r="P1001" i="1"/>
  <c r="O1001" i="1"/>
  <c r="N1001" i="1"/>
  <c r="M1001" i="1"/>
  <c r="L1001" i="1"/>
  <c r="K1001" i="1"/>
  <c r="J1001" i="1"/>
  <c r="I1001" i="1"/>
  <c r="H1001" i="1"/>
  <c r="G1001" i="1"/>
  <c r="P1000" i="1"/>
  <c r="O1000" i="1"/>
  <c r="N1000" i="1"/>
  <c r="M1000" i="1"/>
  <c r="L1000" i="1"/>
  <c r="K1000" i="1"/>
  <c r="J1000" i="1"/>
  <c r="I1000" i="1"/>
  <c r="H1000" i="1"/>
  <c r="G1000" i="1"/>
  <c r="P999" i="1"/>
  <c r="O999" i="1"/>
  <c r="N999" i="1"/>
  <c r="M999" i="1"/>
  <c r="L999" i="1"/>
  <c r="K999" i="1"/>
  <c r="J999" i="1"/>
  <c r="I999" i="1"/>
  <c r="H999" i="1"/>
  <c r="G999" i="1"/>
  <c r="P998" i="1"/>
  <c r="O998" i="1"/>
  <c r="N998" i="1"/>
  <c r="M998" i="1"/>
  <c r="L998" i="1"/>
  <c r="K998" i="1"/>
  <c r="J998" i="1"/>
  <c r="I998" i="1"/>
  <c r="H998" i="1"/>
  <c r="G998" i="1"/>
  <c r="P997" i="1"/>
  <c r="O997" i="1"/>
  <c r="N997" i="1"/>
  <c r="M997" i="1"/>
  <c r="L997" i="1"/>
  <c r="K997" i="1"/>
  <c r="J997" i="1"/>
  <c r="I997" i="1"/>
  <c r="H997" i="1"/>
  <c r="G997" i="1"/>
  <c r="P996" i="1"/>
  <c r="O996" i="1"/>
  <c r="N996" i="1"/>
  <c r="M996" i="1"/>
  <c r="L996" i="1"/>
  <c r="K996" i="1"/>
  <c r="J996" i="1"/>
  <c r="I996" i="1"/>
  <c r="H996" i="1"/>
  <c r="G996" i="1"/>
  <c r="P995" i="1"/>
  <c r="O995" i="1"/>
  <c r="N995" i="1"/>
  <c r="M995" i="1"/>
  <c r="L995" i="1"/>
  <c r="K995" i="1"/>
  <c r="J995" i="1"/>
  <c r="I995" i="1"/>
  <c r="H995" i="1"/>
  <c r="G995" i="1"/>
  <c r="P994" i="1"/>
  <c r="O994" i="1"/>
  <c r="N994" i="1"/>
  <c r="M994" i="1"/>
  <c r="L994" i="1"/>
  <c r="K994" i="1"/>
  <c r="J994" i="1"/>
  <c r="I994" i="1"/>
  <c r="H994" i="1"/>
  <c r="G994" i="1"/>
  <c r="P993" i="1"/>
  <c r="O993" i="1"/>
  <c r="N993" i="1"/>
  <c r="M993" i="1"/>
  <c r="L993" i="1"/>
  <c r="K993" i="1"/>
  <c r="J993" i="1"/>
  <c r="I993" i="1"/>
  <c r="H993" i="1"/>
  <c r="G993" i="1"/>
  <c r="P992" i="1"/>
  <c r="O992" i="1"/>
  <c r="N992" i="1"/>
  <c r="M992" i="1"/>
  <c r="L992" i="1"/>
  <c r="K992" i="1"/>
  <c r="J992" i="1"/>
  <c r="I992" i="1"/>
  <c r="H992" i="1"/>
  <c r="G992" i="1"/>
  <c r="P991" i="1"/>
  <c r="O991" i="1"/>
  <c r="N991" i="1"/>
  <c r="M991" i="1"/>
  <c r="L991" i="1"/>
  <c r="K991" i="1"/>
  <c r="J991" i="1"/>
  <c r="I991" i="1"/>
  <c r="H991" i="1"/>
  <c r="G991" i="1"/>
  <c r="P990" i="1"/>
  <c r="O990" i="1"/>
  <c r="N990" i="1"/>
  <c r="M990" i="1"/>
  <c r="L990" i="1"/>
  <c r="K990" i="1"/>
  <c r="J990" i="1"/>
  <c r="I990" i="1"/>
  <c r="H990" i="1"/>
  <c r="G990" i="1"/>
  <c r="P989" i="1"/>
  <c r="O989" i="1"/>
  <c r="N989" i="1"/>
  <c r="M989" i="1"/>
  <c r="L989" i="1"/>
  <c r="K989" i="1"/>
  <c r="J989" i="1"/>
  <c r="I989" i="1"/>
  <c r="H989" i="1"/>
  <c r="G989" i="1"/>
  <c r="P988" i="1"/>
  <c r="O988" i="1"/>
  <c r="N988" i="1"/>
  <c r="M988" i="1"/>
  <c r="L988" i="1"/>
  <c r="K988" i="1"/>
  <c r="J988" i="1"/>
  <c r="I988" i="1"/>
  <c r="H988" i="1"/>
  <c r="G988" i="1"/>
  <c r="P987" i="1"/>
  <c r="O987" i="1"/>
  <c r="N987" i="1"/>
  <c r="M987" i="1"/>
  <c r="L987" i="1"/>
  <c r="K987" i="1"/>
  <c r="J987" i="1"/>
  <c r="I987" i="1"/>
  <c r="H987" i="1"/>
  <c r="G987" i="1"/>
  <c r="P986" i="1"/>
  <c r="O986" i="1"/>
  <c r="N986" i="1"/>
  <c r="M986" i="1"/>
  <c r="L986" i="1"/>
  <c r="K986" i="1"/>
  <c r="J986" i="1"/>
  <c r="I986" i="1"/>
  <c r="H986" i="1"/>
  <c r="G986" i="1"/>
  <c r="P985" i="1"/>
  <c r="O985" i="1"/>
  <c r="N985" i="1"/>
  <c r="M985" i="1"/>
  <c r="L985" i="1"/>
  <c r="K985" i="1"/>
  <c r="J985" i="1"/>
  <c r="I985" i="1"/>
  <c r="H985" i="1"/>
  <c r="G985" i="1"/>
  <c r="P984" i="1"/>
  <c r="O984" i="1"/>
  <c r="N984" i="1"/>
  <c r="M984" i="1"/>
  <c r="L984" i="1"/>
  <c r="K984" i="1"/>
  <c r="J984" i="1"/>
  <c r="I984" i="1"/>
  <c r="H984" i="1"/>
  <c r="G984" i="1"/>
  <c r="P983" i="1"/>
  <c r="O983" i="1"/>
  <c r="N983" i="1"/>
  <c r="M983" i="1"/>
  <c r="L983" i="1"/>
  <c r="K983" i="1"/>
  <c r="J983" i="1"/>
  <c r="I983" i="1"/>
  <c r="H983" i="1"/>
  <c r="G983" i="1"/>
  <c r="P982" i="1"/>
  <c r="O982" i="1"/>
  <c r="N982" i="1"/>
  <c r="M982" i="1"/>
  <c r="L982" i="1"/>
  <c r="K982" i="1"/>
  <c r="J982" i="1"/>
  <c r="I982" i="1"/>
  <c r="H982" i="1"/>
  <c r="G982" i="1"/>
  <c r="P981" i="1"/>
  <c r="O981" i="1"/>
  <c r="N981" i="1"/>
  <c r="M981" i="1"/>
  <c r="L981" i="1"/>
  <c r="K981" i="1"/>
  <c r="J981" i="1"/>
  <c r="I981" i="1"/>
  <c r="H981" i="1"/>
  <c r="G981" i="1"/>
  <c r="P980" i="1"/>
  <c r="O980" i="1"/>
  <c r="N980" i="1"/>
  <c r="M980" i="1"/>
  <c r="L980" i="1"/>
  <c r="K980" i="1"/>
  <c r="J980" i="1"/>
  <c r="I980" i="1"/>
  <c r="H980" i="1"/>
  <c r="G980" i="1"/>
  <c r="P979" i="1"/>
  <c r="O979" i="1"/>
  <c r="N979" i="1"/>
  <c r="M979" i="1"/>
  <c r="L979" i="1"/>
  <c r="K979" i="1"/>
  <c r="J979" i="1"/>
  <c r="I979" i="1"/>
  <c r="H979" i="1"/>
  <c r="G979" i="1"/>
  <c r="P978" i="1"/>
  <c r="O978" i="1"/>
  <c r="N978" i="1"/>
  <c r="M978" i="1"/>
  <c r="L978" i="1"/>
  <c r="K978" i="1"/>
  <c r="J978" i="1"/>
  <c r="I978" i="1"/>
  <c r="H978" i="1"/>
  <c r="G978" i="1"/>
  <c r="P977" i="1"/>
  <c r="O977" i="1"/>
  <c r="N977" i="1"/>
  <c r="M977" i="1"/>
  <c r="L977" i="1"/>
  <c r="K977" i="1"/>
  <c r="J977" i="1"/>
  <c r="I977" i="1"/>
  <c r="H977" i="1"/>
  <c r="G977" i="1"/>
  <c r="P976" i="1"/>
  <c r="O976" i="1"/>
  <c r="N976" i="1"/>
  <c r="M976" i="1"/>
  <c r="L976" i="1"/>
  <c r="K976" i="1"/>
  <c r="J976" i="1"/>
  <c r="I976" i="1"/>
  <c r="H976" i="1"/>
  <c r="G976" i="1"/>
  <c r="P975" i="1"/>
  <c r="O975" i="1"/>
  <c r="N975" i="1"/>
  <c r="M975" i="1"/>
  <c r="L975" i="1"/>
  <c r="K975" i="1"/>
  <c r="J975" i="1"/>
  <c r="I975" i="1"/>
  <c r="H975" i="1"/>
  <c r="G975" i="1"/>
  <c r="P974" i="1"/>
  <c r="O974" i="1"/>
  <c r="N974" i="1"/>
  <c r="M974" i="1"/>
  <c r="L974" i="1"/>
  <c r="K974" i="1"/>
  <c r="J974" i="1"/>
  <c r="I974" i="1"/>
  <c r="H974" i="1"/>
  <c r="G974" i="1"/>
  <c r="P973" i="1"/>
  <c r="O973" i="1"/>
  <c r="N973" i="1"/>
  <c r="M973" i="1"/>
  <c r="L973" i="1"/>
  <c r="K973" i="1"/>
  <c r="J973" i="1"/>
  <c r="I973" i="1"/>
  <c r="H973" i="1"/>
  <c r="G973" i="1"/>
  <c r="P972" i="1"/>
  <c r="O972" i="1"/>
  <c r="N972" i="1"/>
  <c r="M972" i="1"/>
  <c r="L972" i="1"/>
  <c r="K972" i="1"/>
  <c r="J972" i="1"/>
  <c r="I972" i="1"/>
  <c r="H972" i="1"/>
  <c r="G972" i="1"/>
  <c r="P971" i="1"/>
  <c r="O971" i="1"/>
  <c r="N971" i="1"/>
  <c r="M971" i="1"/>
  <c r="L971" i="1"/>
  <c r="K971" i="1"/>
  <c r="J971" i="1"/>
  <c r="I971" i="1"/>
  <c r="H971" i="1"/>
  <c r="G971" i="1"/>
  <c r="P970" i="1"/>
  <c r="O970" i="1"/>
  <c r="N970" i="1"/>
  <c r="M970" i="1"/>
  <c r="L970" i="1"/>
  <c r="K970" i="1"/>
  <c r="J970" i="1"/>
  <c r="I970" i="1"/>
  <c r="H970" i="1"/>
  <c r="G970" i="1"/>
  <c r="P969" i="1"/>
  <c r="O969" i="1"/>
  <c r="N969" i="1"/>
  <c r="M969" i="1"/>
  <c r="L969" i="1"/>
  <c r="K969" i="1"/>
  <c r="J969" i="1"/>
  <c r="I969" i="1"/>
  <c r="H969" i="1"/>
  <c r="G969" i="1"/>
  <c r="P968" i="1"/>
  <c r="O968" i="1"/>
  <c r="N968" i="1"/>
  <c r="M968" i="1"/>
  <c r="L968" i="1"/>
  <c r="K968" i="1"/>
  <c r="J968" i="1"/>
  <c r="I968" i="1"/>
  <c r="H968" i="1"/>
  <c r="G968" i="1"/>
  <c r="P967" i="1"/>
  <c r="O967" i="1"/>
  <c r="N967" i="1"/>
  <c r="M967" i="1"/>
  <c r="L967" i="1"/>
  <c r="K967" i="1"/>
  <c r="J967" i="1"/>
  <c r="I967" i="1"/>
  <c r="H967" i="1"/>
  <c r="G967" i="1"/>
  <c r="P966" i="1"/>
  <c r="O966" i="1"/>
  <c r="N966" i="1"/>
  <c r="M966" i="1"/>
  <c r="L966" i="1"/>
  <c r="K966" i="1"/>
  <c r="J966" i="1"/>
  <c r="I966" i="1"/>
  <c r="H966" i="1"/>
  <c r="G966" i="1"/>
  <c r="P965" i="1"/>
  <c r="O965" i="1"/>
  <c r="N965" i="1"/>
  <c r="M965" i="1"/>
  <c r="L965" i="1"/>
  <c r="K965" i="1"/>
  <c r="J965" i="1"/>
  <c r="I965" i="1"/>
  <c r="H965" i="1"/>
  <c r="G965" i="1"/>
  <c r="P964" i="1"/>
  <c r="O964" i="1"/>
  <c r="N964" i="1"/>
  <c r="M964" i="1"/>
  <c r="L964" i="1"/>
  <c r="K964" i="1"/>
  <c r="J964" i="1"/>
  <c r="I964" i="1"/>
  <c r="H964" i="1"/>
  <c r="G964" i="1"/>
  <c r="P963" i="1"/>
  <c r="O963" i="1"/>
  <c r="N963" i="1"/>
  <c r="M963" i="1"/>
  <c r="L963" i="1"/>
  <c r="K963" i="1"/>
  <c r="J963" i="1"/>
  <c r="I963" i="1"/>
  <c r="H963" i="1"/>
  <c r="G963" i="1"/>
  <c r="P962" i="1"/>
  <c r="O962" i="1"/>
  <c r="N962" i="1"/>
  <c r="M962" i="1"/>
  <c r="L962" i="1"/>
  <c r="K962" i="1"/>
  <c r="J962" i="1"/>
  <c r="I962" i="1"/>
  <c r="H962" i="1"/>
  <c r="G962" i="1"/>
  <c r="P961" i="1"/>
  <c r="O961" i="1"/>
  <c r="N961" i="1"/>
  <c r="M961" i="1"/>
  <c r="L961" i="1"/>
  <c r="K961" i="1"/>
  <c r="J961" i="1"/>
  <c r="I961" i="1"/>
  <c r="H961" i="1"/>
  <c r="G961" i="1"/>
  <c r="P960" i="1"/>
  <c r="O960" i="1"/>
  <c r="N960" i="1"/>
  <c r="M960" i="1"/>
  <c r="L960" i="1"/>
  <c r="K960" i="1"/>
  <c r="J960" i="1"/>
  <c r="I960" i="1"/>
  <c r="H960" i="1"/>
  <c r="G960" i="1"/>
  <c r="P959" i="1"/>
  <c r="O959" i="1"/>
  <c r="N959" i="1"/>
  <c r="M959" i="1"/>
  <c r="L959" i="1"/>
  <c r="K959" i="1"/>
  <c r="J959" i="1"/>
  <c r="I959" i="1"/>
  <c r="H959" i="1"/>
  <c r="G959" i="1"/>
  <c r="P958" i="1"/>
  <c r="O958" i="1"/>
  <c r="N958" i="1"/>
  <c r="M958" i="1"/>
  <c r="L958" i="1"/>
  <c r="K958" i="1"/>
  <c r="J958" i="1"/>
  <c r="I958" i="1"/>
  <c r="H958" i="1"/>
  <c r="G958" i="1"/>
  <c r="P957" i="1"/>
  <c r="O957" i="1"/>
  <c r="N957" i="1"/>
  <c r="M957" i="1"/>
  <c r="L957" i="1"/>
  <c r="K957" i="1"/>
  <c r="J957" i="1"/>
  <c r="I957" i="1"/>
  <c r="H957" i="1"/>
  <c r="G957" i="1"/>
  <c r="P956" i="1"/>
  <c r="O956" i="1"/>
  <c r="N956" i="1"/>
  <c r="M956" i="1"/>
  <c r="L956" i="1"/>
  <c r="K956" i="1"/>
  <c r="J956" i="1"/>
  <c r="I956" i="1"/>
  <c r="H956" i="1"/>
  <c r="G956" i="1"/>
  <c r="P955" i="1"/>
  <c r="O955" i="1"/>
  <c r="N955" i="1"/>
  <c r="M955" i="1"/>
  <c r="L955" i="1"/>
  <c r="K955" i="1"/>
  <c r="J955" i="1"/>
  <c r="I955" i="1"/>
  <c r="H955" i="1"/>
  <c r="G955" i="1"/>
  <c r="P954" i="1"/>
  <c r="O954" i="1"/>
  <c r="N954" i="1"/>
  <c r="M954" i="1"/>
  <c r="L954" i="1"/>
  <c r="K954" i="1"/>
  <c r="J954" i="1"/>
  <c r="I954" i="1"/>
  <c r="H954" i="1"/>
  <c r="G954" i="1"/>
  <c r="P953" i="1"/>
  <c r="O953" i="1"/>
  <c r="N953" i="1"/>
  <c r="M953" i="1"/>
  <c r="L953" i="1"/>
  <c r="K953" i="1"/>
  <c r="J953" i="1"/>
  <c r="I953" i="1"/>
  <c r="H953" i="1"/>
  <c r="G953" i="1"/>
  <c r="P952" i="1"/>
  <c r="O952" i="1"/>
  <c r="N952" i="1"/>
  <c r="M952" i="1"/>
  <c r="L952" i="1"/>
  <c r="K952" i="1"/>
  <c r="J952" i="1"/>
  <c r="I952" i="1"/>
  <c r="H952" i="1"/>
  <c r="G952" i="1"/>
  <c r="P951" i="1"/>
  <c r="O951" i="1"/>
  <c r="N951" i="1"/>
  <c r="M951" i="1"/>
  <c r="L951" i="1"/>
  <c r="K951" i="1"/>
  <c r="J951" i="1"/>
  <c r="I951" i="1"/>
  <c r="H951" i="1"/>
  <c r="G951" i="1"/>
  <c r="P950" i="1"/>
  <c r="O950" i="1"/>
  <c r="N950" i="1"/>
  <c r="M950" i="1"/>
  <c r="L950" i="1"/>
  <c r="K950" i="1"/>
  <c r="J950" i="1"/>
  <c r="I950" i="1"/>
  <c r="H950" i="1"/>
  <c r="G950" i="1"/>
  <c r="P949" i="1"/>
  <c r="O949" i="1"/>
  <c r="N949" i="1"/>
  <c r="M949" i="1"/>
  <c r="L949" i="1"/>
  <c r="K949" i="1"/>
  <c r="J949" i="1"/>
  <c r="I949" i="1"/>
  <c r="H949" i="1"/>
  <c r="G949" i="1"/>
  <c r="P948" i="1"/>
  <c r="O948" i="1"/>
  <c r="N948" i="1"/>
  <c r="M948" i="1"/>
  <c r="L948" i="1"/>
  <c r="K948" i="1"/>
  <c r="J948" i="1"/>
  <c r="I948" i="1"/>
  <c r="H948" i="1"/>
  <c r="G948" i="1"/>
  <c r="P947" i="1"/>
  <c r="O947" i="1"/>
  <c r="N947" i="1"/>
  <c r="M947" i="1"/>
  <c r="L947" i="1"/>
  <c r="K947" i="1"/>
  <c r="J947" i="1"/>
  <c r="I947" i="1"/>
  <c r="H947" i="1"/>
  <c r="G947" i="1"/>
  <c r="P946" i="1"/>
  <c r="O946" i="1"/>
  <c r="N946" i="1"/>
  <c r="M946" i="1"/>
  <c r="L946" i="1"/>
  <c r="K946" i="1"/>
  <c r="J946" i="1"/>
  <c r="I946" i="1"/>
  <c r="H946" i="1"/>
  <c r="G946" i="1"/>
  <c r="P945" i="1"/>
  <c r="O945" i="1"/>
  <c r="N945" i="1"/>
  <c r="M945" i="1"/>
  <c r="L945" i="1"/>
  <c r="K945" i="1"/>
  <c r="J945" i="1"/>
  <c r="I945" i="1"/>
  <c r="H945" i="1"/>
  <c r="G945" i="1"/>
  <c r="P944" i="1"/>
  <c r="O944" i="1"/>
  <c r="N944" i="1"/>
  <c r="M944" i="1"/>
  <c r="L944" i="1"/>
  <c r="K944" i="1"/>
  <c r="J944" i="1"/>
  <c r="I944" i="1"/>
  <c r="H944" i="1"/>
  <c r="G944" i="1"/>
  <c r="P943" i="1"/>
  <c r="O943" i="1"/>
  <c r="N943" i="1"/>
  <c r="M943" i="1"/>
  <c r="L943" i="1"/>
  <c r="K943" i="1"/>
  <c r="J943" i="1"/>
  <c r="I943" i="1"/>
  <c r="H943" i="1"/>
  <c r="G943" i="1"/>
  <c r="P942" i="1"/>
  <c r="O942" i="1"/>
  <c r="N942" i="1"/>
  <c r="M942" i="1"/>
  <c r="L942" i="1"/>
  <c r="K942" i="1"/>
  <c r="J942" i="1"/>
  <c r="I942" i="1"/>
  <c r="H942" i="1"/>
  <c r="G942" i="1"/>
  <c r="P941" i="1"/>
  <c r="O941" i="1"/>
  <c r="N941" i="1"/>
  <c r="M941" i="1"/>
  <c r="L941" i="1"/>
  <c r="K941" i="1"/>
  <c r="J941" i="1"/>
  <c r="I941" i="1"/>
  <c r="H941" i="1"/>
  <c r="G941" i="1"/>
  <c r="P940" i="1"/>
  <c r="O940" i="1"/>
  <c r="N940" i="1"/>
  <c r="M940" i="1"/>
  <c r="L940" i="1"/>
  <c r="K940" i="1"/>
  <c r="J940" i="1"/>
  <c r="I940" i="1"/>
  <c r="H940" i="1"/>
  <c r="G940" i="1"/>
  <c r="P939" i="1"/>
  <c r="O939" i="1"/>
  <c r="N939" i="1"/>
  <c r="M939" i="1"/>
  <c r="L939" i="1"/>
  <c r="K939" i="1"/>
  <c r="J939" i="1"/>
  <c r="I939" i="1"/>
  <c r="H939" i="1"/>
  <c r="G939" i="1"/>
  <c r="P938" i="1"/>
  <c r="O938" i="1"/>
  <c r="N938" i="1"/>
  <c r="M938" i="1"/>
  <c r="L938" i="1"/>
  <c r="K938" i="1"/>
  <c r="J938" i="1"/>
  <c r="I938" i="1"/>
  <c r="H938" i="1"/>
  <c r="G938" i="1"/>
  <c r="P937" i="1"/>
  <c r="O937" i="1"/>
  <c r="N937" i="1"/>
  <c r="M937" i="1"/>
  <c r="L937" i="1"/>
  <c r="K937" i="1"/>
  <c r="J937" i="1"/>
  <c r="I937" i="1"/>
  <c r="H937" i="1"/>
  <c r="G937" i="1"/>
  <c r="P936" i="1"/>
  <c r="O936" i="1"/>
  <c r="N936" i="1"/>
  <c r="M936" i="1"/>
  <c r="L936" i="1"/>
  <c r="K936" i="1"/>
  <c r="J936" i="1"/>
  <c r="I936" i="1"/>
  <c r="H936" i="1"/>
  <c r="G936" i="1"/>
  <c r="P935" i="1"/>
  <c r="O935" i="1"/>
  <c r="N935" i="1"/>
  <c r="M935" i="1"/>
  <c r="L935" i="1"/>
  <c r="K935" i="1"/>
  <c r="J935" i="1"/>
  <c r="I935" i="1"/>
  <c r="H935" i="1"/>
  <c r="G935" i="1"/>
  <c r="P934" i="1"/>
  <c r="O934" i="1"/>
  <c r="N934" i="1"/>
  <c r="M934" i="1"/>
  <c r="L934" i="1"/>
  <c r="K934" i="1"/>
  <c r="J934" i="1"/>
  <c r="I934" i="1"/>
  <c r="H934" i="1"/>
  <c r="G934" i="1"/>
  <c r="P933" i="1"/>
  <c r="O933" i="1"/>
  <c r="N933" i="1"/>
  <c r="M933" i="1"/>
  <c r="L933" i="1"/>
  <c r="K933" i="1"/>
  <c r="J933" i="1"/>
  <c r="I933" i="1"/>
  <c r="H933" i="1"/>
  <c r="G933" i="1"/>
  <c r="P932" i="1"/>
  <c r="O932" i="1"/>
  <c r="N932" i="1"/>
  <c r="M932" i="1"/>
  <c r="L932" i="1"/>
  <c r="K932" i="1"/>
  <c r="J932" i="1"/>
  <c r="I932" i="1"/>
  <c r="H932" i="1"/>
  <c r="G932" i="1"/>
  <c r="P931" i="1"/>
  <c r="O931" i="1"/>
  <c r="N931" i="1"/>
  <c r="M931" i="1"/>
  <c r="L931" i="1"/>
  <c r="K931" i="1"/>
  <c r="J931" i="1"/>
  <c r="I931" i="1"/>
  <c r="H931" i="1"/>
  <c r="G931" i="1"/>
  <c r="P930" i="1"/>
  <c r="O930" i="1"/>
  <c r="N930" i="1"/>
  <c r="M930" i="1"/>
  <c r="L930" i="1"/>
  <c r="K930" i="1"/>
  <c r="J930" i="1"/>
  <c r="I930" i="1"/>
  <c r="H930" i="1"/>
  <c r="G930" i="1"/>
  <c r="P929" i="1"/>
  <c r="O929" i="1"/>
  <c r="N929" i="1"/>
  <c r="M929" i="1"/>
  <c r="L929" i="1"/>
  <c r="K929" i="1"/>
  <c r="J929" i="1"/>
  <c r="I929" i="1"/>
  <c r="H929" i="1"/>
  <c r="G929" i="1"/>
  <c r="P928" i="1"/>
  <c r="O928" i="1"/>
  <c r="N928" i="1"/>
  <c r="M928" i="1"/>
  <c r="L928" i="1"/>
  <c r="K928" i="1"/>
  <c r="J928" i="1"/>
  <c r="I928" i="1"/>
  <c r="H928" i="1"/>
  <c r="G928" i="1"/>
  <c r="P927" i="1"/>
  <c r="O927" i="1"/>
  <c r="N927" i="1"/>
  <c r="M927" i="1"/>
  <c r="L927" i="1"/>
  <c r="K927" i="1"/>
  <c r="J927" i="1"/>
  <c r="I927" i="1"/>
  <c r="H927" i="1"/>
  <c r="G927" i="1"/>
  <c r="P926" i="1"/>
  <c r="O926" i="1"/>
  <c r="N926" i="1"/>
  <c r="M926" i="1"/>
  <c r="L926" i="1"/>
  <c r="K926" i="1"/>
  <c r="J926" i="1"/>
  <c r="I926" i="1"/>
  <c r="H926" i="1"/>
  <c r="G926" i="1"/>
  <c r="P925" i="1"/>
  <c r="O925" i="1"/>
  <c r="N925" i="1"/>
  <c r="M925" i="1"/>
  <c r="L925" i="1"/>
  <c r="K925" i="1"/>
  <c r="J925" i="1"/>
  <c r="I925" i="1"/>
  <c r="H925" i="1"/>
  <c r="G925" i="1"/>
  <c r="P924" i="1"/>
  <c r="O924" i="1"/>
  <c r="N924" i="1"/>
  <c r="M924" i="1"/>
  <c r="L924" i="1"/>
  <c r="K924" i="1"/>
  <c r="J924" i="1"/>
  <c r="I924" i="1"/>
  <c r="H924" i="1"/>
  <c r="G924" i="1"/>
  <c r="P923" i="1"/>
  <c r="O923" i="1"/>
  <c r="N923" i="1"/>
  <c r="M923" i="1"/>
  <c r="L923" i="1"/>
  <c r="K923" i="1"/>
  <c r="J923" i="1"/>
  <c r="I923" i="1"/>
  <c r="H923" i="1"/>
  <c r="G923" i="1"/>
  <c r="P922" i="1"/>
  <c r="O922" i="1"/>
  <c r="N922" i="1"/>
  <c r="M922" i="1"/>
  <c r="L922" i="1"/>
  <c r="K922" i="1"/>
  <c r="J922" i="1"/>
  <c r="I922" i="1"/>
  <c r="H922" i="1"/>
  <c r="G922" i="1"/>
  <c r="P921" i="1"/>
  <c r="O921" i="1"/>
  <c r="N921" i="1"/>
  <c r="M921" i="1"/>
  <c r="L921" i="1"/>
  <c r="K921" i="1"/>
  <c r="J921" i="1"/>
  <c r="I921" i="1"/>
  <c r="H921" i="1"/>
  <c r="G921" i="1"/>
  <c r="P920" i="1"/>
  <c r="O920" i="1"/>
  <c r="N920" i="1"/>
  <c r="M920" i="1"/>
  <c r="L920" i="1"/>
  <c r="K920" i="1"/>
  <c r="J920" i="1"/>
  <c r="I920" i="1"/>
  <c r="H920" i="1"/>
  <c r="G920" i="1"/>
  <c r="P919" i="1"/>
  <c r="O919" i="1"/>
  <c r="N919" i="1"/>
  <c r="M919" i="1"/>
  <c r="L919" i="1"/>
  <c r="K919" i="1"/>
  <c r="J919" i="1"/>
  <c r="I919" i="1"/>
  <c r="H919" i="1"/>
  <c r="G919" i="1"/>
  <c r="P918" i="1"/>
  <c r="O918" i="1"/>
  <c r="N918" i="1"/>
  <c r="M918" i="1"/>
  <c r="L918" i="1"/>
  <c r="K918" i="1"/>
  <c r="J918" i="1"/>
  <c r="I918" i="1"/>
  <c r="H918" i="1"/>
  <c r="G918" i="1"/>
  <c r="P917" i="1"/>
  <c r="O917" i="1"/>
  <c r="N917" i="1"/>
  <c r="M917" i="1"/>
  <c r="L917" i="1"/>
  <c r="K917" i="1"/>
  <c r="J917" i="1"/>
  <c r="I917" i="1"/>
  <c r="H917" i="1"/>
  <c r="G917" i="1"/>
  <c r="P916" i="1"/>
  <c r="O916" i="1"/>
  <c r="N916" i="1"/>
  <c r="M916" i="1"/>
  <c r="L916" i="1"/>
  <c r="K916" i="1"/>
  <c r="J916" i="1"/>
  <c r="I916" i="1"/>
  <c r="H916" i="1"/>
  <c r="G916" i="1"/>
  <c r="P915" i="1"/>
  <c r="O915" i="1"/>
  <c r="N915" i="1"/>
  <c r="M915" i="1"/>
  <c r="L915" i="1"/>
  <c r="K915" i="1"/>
  <c r="J915" i="1"/>
  <c r="I915" i="1"/>
  <c r="H915" i="1"/>
  <c r="G915" i="1"/>
  <c r="P914" i="1"/>
  <c r="O914" i="1"/>
  <c r="N914" i="1"/>
  <c r="M914" i="1"/>
  <c r="L914" i="1"/>
  <c r="K914" i="1"/>
  <c r="J914" i="1"/>
  <c r="I914" i="1"/>
  <c r="H914" i="1"/>
  <c r="G914" i="1"/>
  <c r="P913" i="1"/>
  <c r="O913" i="1"/>
  <c r="N913" i="1"/>
  <c r="M913" i="1"/>
  <c r="L913" i="1"/>
  <c r="K913" i="1"/>
  <c r="J913" i="1"/>
  <c r="I913" i="1"/>
  <c r="H913" i="1"/>
  <c r="G913" i="1"/>
  <c r="P912" i="1"/>
  <c r="O912" i="1"/>
  <c r="N912" i="1"/>
  <c r="M912" i="1"/>
  <c r="L912" i="1"/>
  <c r="K912" i="1"/>
  <c r="J912" i="1"/>
  <c r="I912" i="1"/>
  <c r="H912" i="1"/>
  <c r="G912" i="1"/>
  <c r="P911" i="1"/>
  <c r="O911" i="1"/>
  <c r="N911" i="1"/>
  <c r="M911" i="1"/>
  <c r="L911" i="1"/>
  <c r="K911" i="1"/>
  <c r="J911" i="1"/>
  <c r="I911" i="1"/>
  <c r="H911" i="1"/>
  <c r="G911" i="1"/>
  <c r="P910" i="1"/>
  <c r="O910" i="1"/>
  <c r="N910" i="1"/>
  <c r="M910" i="1"/>
  <c r="L910" i="1"/>
  <c r="K910" i="1"/>
  <c r="J910" i="1"/>
  <c r="I910" i="1"/>
  <c r="H910" i="1"/>
  <c r="G910" i="1"/>
  <c r="P909" i="1"/>
  <c r="O909" i="1"/>
  <c r="N909" i="1"/>
  <c r="M909" i="1"/>
  <c r="L909" i="1"/>
  <c r="K909" i="1"/>
  <c r="J909" i="1"/>
  <c r="I909" i="1"/>
  <c r="H909" i="1"/>
  <c r="G909" i="1"/>
  <c r="P908" i="1"/>
  <c r="O908" i="1"/>
  <c r="N908" i="1"/>
  <c r="M908" i="1"/>
  <c r="L908" i="1"/>
  <c r="K908" i="1"/>
  <c r="J908" i="1"/>
  <c r="I908" i="1"/>
  <c r="H908" i="1"/>
  <c r="G908" i="1"/>
  <c r="P907" i="1"/>
  <c r="O907" i="1"/>
  <c r="N907" i="1"/>
  <c r="M907" i="1"/>
  <c r="L907" i="1"/>
  <c r="K907" i="1"/>
  <c r="J907" i="1"/>
  <c r="I907" i="1"/>
  <c r="H907" i="1"/>
  <c r="G907" i="1"/>
  <c r="P906" i="1"/>
  <c r="O906" i="1"/>
  <c r="N906" i="1"/>
  <c r="M906" i="1"/>
  <c r="L906" i="1"/>
  <c r="K906" i="1"/>
  <c r="J906" i="1"/>
  <c r="I906" i="1"/>
  <c r="H906" i="1"/>
  <c r="G906" i="1"/>
  <c r="P905" i="1"/>
  <c r="O905" i="1"/>
  <c r="N905" i="1"/>
  <c r="M905" i="1"/>
  <c r="L905" i="1"/>
  <c r="K905" i="1"/>
  <c r="J905" i="1"/>
  <c r="I905" i="1"/>
  <c r="H905" i="1"/>
  <c r="G905" i="1"/>
  <c r="P904" i="1"/>
  <c r="O904" i="1"/>
  <c r="N904" i="1"/>
  <c r="M904" i="1"/>
  <c r="L904" i="1"/>
  <c r="K904" i="1"/>
  <c r="J904" i="1"/>
  <c r="I904" i="1"/>
  <c r="H904" i="1"/>
  <c r="G904" i="1"/>
  <c r="P903" i="1"/>
  <c r="O903" i="1"/>
  <c r="N903" i="1"/>
  <c r="M903" i="1"/>
  <c r="L903" i="1"/>
  <c r="K903" i="1"/>
  <c r="J903" i="1"/>
  <c r="I903" i="1"/>
  <c r="H903" i="1"/>
  <c r="G903" i="1"/>
  <c r="P902" i="1"/>
  <c r="O902" i="1"/>
  <c r="N902" i="1"/>
  <c r="M902" i="1"/>
  <c r="L902" i="1"/>
  <c r="K902" i="1"/>
  <c r="J902" i="1"/>
  <c r="I902" i="1"/>
  <c r="H902" i="1"/>
  <c r="G902" i="1"/>
  <c r="P901" i="1"/>
  <c r="O901" i="1"/>
  <c r="N901" i="1"/>
  <c r="M901" i="1"/>
  <c r="L901" i="1"/>
  <c r="K901" i="1"/>
  <c r="J901" i="1"/>
  <c r="I901" i="1"/>
  <c r="H901" i="1"/>
  <c r="G901" i="1"/>
  <c r="P900" i="1"/>
  <c r="O900" i="1"/>
  <c r="N900" i="1"/>
  <c r="M900" i="1"/>
  <c r="L900" i="1"/>
  <c r="K900" i="1"/>
  <c r="J900" i="1"/>
  <c r="I900" i="1"/>
  <c r="H900" i="1"/>
  <c r="G900" i="1"/>
  <c r="P899" i="1"/>
  <c r="O899" i="1"/>
  <c r="N899" i="1"/>
  <c r="M899" i="1"/>
  <c r="L899" i="1"/>
  <c r="K899" i="1"/>
  <c r="J899" i="1"/>
  <c r="I899" i="1"/>
  <c r="H899" i="1"/>
  <c r="G899" i="1"/>
  <c r="P898" i="1"/>
  <c r="O898" i="1"/>
  <c r="N898" i="1"/>
  <c r="M898" i="1"/>
  <c r="L898" i="1"/>
  <c r="K898" i="1"/>
  <c r="J898" i="1"/>
  <c r="I898" i="1"/>
  <c r="H898" i="1"/>
  <c r="G898" i="1"/>
  <c r="P897" i="1"/>
  <c r="O897" i="1"/>
  <c r="N897" i="1"/>
  <c r="M897" i="1"/>
  <c r="L897" i="1"/>
  <c r="K897" i="1"/>
  <c r="J897" i="1"/>
  <c r="I897" i="1"/>
  <c r="H897" i="1"/>
  <c r="G897" i="1"/>
  <c r="P896" i="1"/>
  <c r="O896" i="1"/>
  <c r="N896" i="1"/>
  <c r="M896" i="1"/>
  <c r="L896" i="1"/>
  <c r="K896" i="1"/>
  <c r="J896" i="1"/>
  <c r="I896" i="1"/>
  <c r="H896" i="1"/>
  <c r="G896" i="1"/>
  <c r="P895" i="1"/>
  <c r="O895" i="1"/>
  <c r="N895" i="1"/>
  <c r="M895" i="1"/>
  <c r="L895" i="1"/>
  <c r="K895" i="1"/>
  <c r="J895" i="1"/>
  <c r="I895" i="1"/>
  <c r="H895" i="1"/>
  <c r="G895" i="1"/>
  <c r="P894" i="1"/>
  <c r="O894" i="1"/>
  <c r="N894" i="1"/>
  <c r="M894" i="1"/>
  <c r="L894" i="1"/>
  <c r="K894" i="1"/>
  <c r="J894" i="1"/>
  <c r="I894" i="1"/>
  <c r="H894" i="1"/>
  <c r="G894" i="1"/>
  <c r="P893" i="1"/>
  <c r="O893" i="1"/>
  <c r="N893" i="1"/>
  <c r="M893" i="1"/>
  <c r="L893" i="1"/>
  <c r="K893" i="1"/>
  <c r="J893" i="1"/>
  <c r="I893" i="1"/>
  <c r="H893" i="1"/>
  <c r="G893" i="1"/>
  <c r="P892" i="1"/>
  <c r="O892" i="1"/>
  <c r="N892" i="1"/>
  <c r="M892" i="1"/>
  <c r="L892" i="1"/>
  <c r="K892" i="1"/>
  <c r="J892" i="1"/>
  <c r="I892" i="1"/>
  <c r="H892" i="1"/>
  <c r="G892" i="1"/>
  <c r="P891" i="1"/>
  <c r="O891" i="1"/>
  <c r="N891" i="1"/>
  <c r="M891" i="1"/>
  <c r="L891" i="1"/>
  <c r="K891" i="1"/>
  <c r="J891" i="1"/>
  <c r="I891" i="1"/>
  <c r="H891" i="1"/>
  <c r="G891" i="1"/>
  <c r="P890" i="1"/>
  <c r="O890" i="1"/>
  <c r="N890" i="1"/>
  <c r="M890" i="1"/>
  <c r="L890" i="1"/>
  <c r="K890" i="1"/>
  <c r="J890" i="1"/>
  <c r="I890" i="1"/>
  <c r="H890" i="1"/>
  <c r="G890" i="1"/>
  <c r="P889" i="1"/>
  <c r="O889" i="1"/>
  <c r="N889" i="1"/>
  <c r="M889" i="1"/>
  <c r="L889" i="1"/>
  <c r="K889" i="1"/>
  <c r="J889" i="1"/>
  <c r="I889" i="1"/>
  <c r="H889" i="1"/>
  <c r="G889" i="1"/>
  <c r="P888" i="1"/>
  <c r="O888" i="1"/>
  <c r="N888" i="1"/>
  <c r="M888" i="1"/>
  <c r="L888" i="1"/>
  <c r="K888" i="1"/>
  <c r="J888" i="1"/>
  <c r="I888" i="1"/>
  <c r="H888" i="1"/>
  <c r="G888" i="1"/>
  <c r="P887" i="1"/>
  <c r="O887" i="1"/>
  <c r="N887" i="1"/>
  <c r="M887" i="1"/>
  <c r="L887" i="1"/>
  <c r="K887" i="1"/>
  <c r="J887" i="1"/>
  <c r="I887" i="1"/>
  <c r="H887" i="1"/>
  <c r="G887" i="1"/>
  <c r="P886" i="1"/>
  <c r="O886" i="1"/>
  <c r="N886" i="1"/>
  <c r="M886" i="1"/>
  <c r="L886" i="1"/>
  <c r="K886" i="1"/>
  <c r="J886" i="1"/>
  <c r="I886" i="1"/>
  <c r="H886" i="1"/>
  <c r="G886" i="1"/>
  <c r="P885" i="1"/>
  <c r="O885" i="1"/>
  <c r="N885" i="1"/>
  <c r="M885" i="1"/>
  <c r="L885" i="1"/>
  <c r="K885" i="1"/>
  <c r="J885" i="1"/>
  <c r="I885" i="1"/>
  <c r="H885" i="1"/>
  <c r="G885" i="1"/>
  <c r="P884" i="1"/>
  <c r="O884" i="1"/>
  <c r="N884" i="1"/>
  <c r="M884" i="1"/>
  <c r="L884" i="1"/>
  <c r="K884" i="1"/>
  <c r="J884" i="1"/>
  <c r="I884" i="1"/>
  <c r="H884" i="1"/>
  <c r="G884" i="1"/>
  <c r="P883" i="1"/>
  <c r="O883" i="1"/>
  <c r="N883" i="1"/>
  <c r="M883" i="1"/>
  <c r="L883" i="1"/>
  <c r="K883" i="1"/>
  <c r="J883" i="1"/>
  <c r="I883" i="1"/>
  <c r="H883" i="1"/>
  <c r="G883" i="1"/>
  <c r="P882" i="1"/>
  <c r="O882" i="1"/>
  <c r="N882" i="1"/>
  <c r="M882" i="1"/>
  <c r="L882" i="1"/>
  <c r="K882" i="1"/>
  <c r="J882" i="1"/>
  <c r="I882" i="1"/>
  <c r="H882" i="1"/>
  <c r="G882" i="1"/>
  <c r="P881" i="1"/>
  <c r="O881" i="1"/>
  <c r="N881" i="1"/>
  <c r="M881" i="1"/>
  <c r="L881" i="1"/>
  <c r="K881" i="1"/>
  <c r="J881" i="1"/>
  <c r="I881" i="1"/>
  <c r="H881" i="1"/>
  <c r="G881" i="1"/>
  <c r="P880" i="1"/>
  <c r="O880" i="1"/>
  <c r="N880" i="1"/>
  <c r="M880" i="1"/>
  <c r="L880" i="1"/>
  <c r="K880" i="1"/>
  <c r="J880" i="1"/>
  <c r="I880" i="1"/>
  <c r="H880" i="1"/>
  <c r="G880" i="1"/>
  <c r="P879" i="1"/>
  <c r="O879" i="1"/>
  <c r="N879" i="1"/>
  <c r="M879" i="1"/>
  <c r="L879" i="1"/>
  <c r="K879" i="1"/>
  <c r="J879" i="1"/>
  <c r="I879" i="1"/>
  <c r="H879" i="1"/>
  <c r="G879" i="1"/>
  <c r="P878" i="1"/>
  <c r="O878" i="1"/>
  <c r="N878" i="1"/>
  <c r="M878" i="1"/>
  <c r="L878" i="1"/>
  <c r="K878" i="1"/>
  <c r="J878" i="1"/>
  <c r="I878" i="1"/>
  <c r="H878" i="1"/>
  <c r="G878" i="1"/>
  <c r="P877" i="1"/>
  <c r="O877" i="1"/>
  <c r="N877" i="1"/>
  <c r="M877" i="1"/>
  <c r="L877" i="1"/>
  <c r="K877" i="1"/>
  <c r="J877" i="1"/>
  <c r="I877" i="1"/>
  <c r="H877" i="1"/>
  <c r="G877" i="1"/>
  <c r="P876" i="1"/>
  <c r="O876" i="1"/>
  <c r="N876" i="1"/>
  <c r="M876" i="1"/>
  <c r="L876" i="1"/>
  <c r="K876" i="1"/>
  <c r="J876" i="1"/>
  <c r="I876" i="1"/>
  <c r="H876" i="1"/>
  <c r="G876" i="1"/>
  <c r="P875" i="1"/>
  <c r="O875" i="1"/>
  <c r="N875" i="1"/>
  <c r="M875" i="1"/>
  <c r="L875" i="1"/>
  <c r="K875" i="1"/>
  <c r="J875" i="1"/>
  <c r="I875" i="1"/>
  <c r="H875" i="1"/>
  <c r="G875" i="1"/>
  <c r="P874" i="1"/>
  <c r="O874" i="1"/>
  <c r="N874" i="1"/>
  <c r="M874" i="1"/>
  <c r="L874" i="1"/>
  <c r="K874" i="1"/>
  <c r="J874" i="1"/>
  <c r="I874" i="1"/>
  <c r="H874" i="1"/>
  <c r="G874" i="1"/>
  <c r="P873" i="1"/>
  <c r="O873" i="1"/>
  <c r="N873" i="1"/>
  <c r="M873" i="1"/>
  <c r="L873" i="1"/>
  <c r="K873" i="1"/>
  <c r="J873" i="1"/>
  <c r="I873" i="1"/>
  <c r="H873" i="1"/>
  <c r="G873" i="1"/>
  <c r="P872" i="1"/>
  <c r="O872" i="1"/>
  <c r="N872" i="1"/>
  <c r="M872" i="1"/>
  <c r="L872" i="1"/>
  <c r="K872" i="1"/>
  <c r="J872" i="1"/>
  <c r="I872" i="1"/>
  <c r="H872" i="1"/>
  <c r="G872" i="1"/>
  <c r="P871" i="1"/>
  <c r="O871" i="1"/>
  <c r="N871" i="1"/>
  <c r="M871" i="1"/>
  <c r="L871" i="1"/>
  <c r="K871" i="1"/>
  <c r="J871" i="1"/>
  <c r="I871" i="1"/>
  <c r="H871" i="1"/>
  <c r="G871" i="1"/>
  <c r="P870" i="1"/>
  <c r="O870" i="1"/>
  <c r="N870" i="1"/>
  <c r="M870" i="1"/>
  <c r="L870" i="1"/>
  <c r="K870" i="1"/>
  <c r="J870" i="1"/>
  <c r="I870" i="1"/>
  <c r="H870" i="1"/>
  <c r="G870" i="1"/>
  <c r="P869" i="1"/>
  <c r="O869" i="1"/>
  <c r="N869" i="1"/>
  <c r="M869" i="1"/>
  <c r="L869" i="1"/>
  <c r="K869" i="1"/>
  <c r="J869" i="1"/>
  <c r="I869" i="1"/>
  <c r="H869" i="1"/>
  <c r="G869" i="1"/>
  <c r="P868" i="1"/>
  <c r="O868" i="1"/>
  <c r="N868" i="1"/>
  <c r="M868" i="1"/>
  <c r="L868" i="1"/>
  <c r="K868" i="1"/>
  <c r="J868" i="1"/>
  <c r="I868" i="1"/>
  <c r="H868" i="1"/>
  <c r="G868" i="1"/>
  <c r="P867" i="1"/>
  <c r="O867" i="1"/>
  <c r="N867" i="1"/>
  <c r="M867" i="1"/>
  <c r="L867" i="1"/>
  <c r="K867" i="1"/>
  <c r="J867" i="1"/>
  <c r="I867" i="1"/>
  <c r="H867" i="1"/>
  <c r="G867" i="1"/>
  <c r="P866" i="1"/>
  <c r="O866" i="1"/>
  <c r="N866" i="1"/>
  <c r="M866" i="1"/>
  <c r="L866" i="1"/>
  <c r="K866" i="1"/>
  <c r="J866" i="1"/>
  <c r="I866" i="1"/>
  <c r="H866" i="1"/>
  <c r="G866" i="1"/>
  <c r="P865" i="1"/>
  <c r="O865" i="1"/>
  <c r="N865" i="1"/>
  <c r="M865" i="1"/>
  <c r="L865" i="1"/>
  <c r="K865" i="1"/>
  <c r="J865" i="1"/>
  <c r="I865" i="1"/>
  <c r="H865" i="1"/>
  <c r="G865" i="1"/>
  <c r="P864" i="1"/>
  <c r="O864" i="1"/>
  <c r="N864" i="1"/>
  <c r="M864" i="1"/>
  <c r="L864" i="1"/>
  <c r="K864" i="1"/>
  <c r="J864" i="1"/>
  <c r="I864" i="1"/>
  <c r="H864" i="1"/>
  <c r="G864" i="1"/>
  <c r="P863" i="1"/>
  <c r="O863" i="1"/>
  <c r="N863" i="1"/>
  <c r="M863" i="1"/>
  <c r="L863" i="1"/>
  <c r="K863" i="1"/>
  <c r="J863" i="1"/>
  <c r="I863" i="1"/>
  <c r="H863" i="1"/>
  <c r="G863" i="1"/>
  <c r="P862" i="1"/>
  <c r="O862" i="1"/>
  <c r="N862" i="1"/>
  <c r="M862" i="1"/>
  <c r="L862" i="1"/>
  <c r="K862" i="1"/>
  <c r="J862" i="1"/>
  <c r="I862" i="1"/>
  <c r="H862" i="1"/>
  <c r="G862" i="1"/>
  <c r="P861" i="1"/>
  <c r="O861" i="1"/>
  <c r="N861" i="1"/>
  <c r="M861" i="1"/>
  <c r="L861" i="1"/>
  <c r="K861" i="1"/>
  <c r="J861" i="1"/>
  <c r="I861" i="1"/>
  <c r="H861" i="1"/>
  <c r="G861" i="1"/>
  <c r="P860" i="1"/>
  <c r="O860" i="1"/>
  <c r="N860" i="1"/>
  <c r="M860" i="1"/>
  <c r="L860" i="1"/>
  <c r="K860" i="1"/>
  <c r="J860" i="1"/>
  <c r="I860" i="1"/>
  <c r="H860" i="1"/>
  <c r="G860" i="1"/>
  <c r="P859" i="1"/>
  <c r="O859" i="1"/>
  <c r="N859" i="1"/>
  <c r="M859" i="1"/>
  <c r="L859" i="1"/>
  <c r="K859" i="1"/>
  <c r="J859" i="1"/>
  <c r="I859" i="1"/>
  <c r="H859" i="1"/>
  <c r="G859" i="1"/>
  <c r="P858" i="1"/>
  <c r="O858" i="1"/>
  <c r="N858" i="1"/>
  <c r="M858" i="1"/>
  <c r="L858" i="1"/>
  <c r="K858" i="1"/>
  <c r="J858" i="1"/>
  <c r="I858" i="1"/>
  <c r="H858" i="1"/>
  <c r="G858" i="1"/>
  <c r="P857" i="1"/>
  <c r="O857" i="1"/>
  <c r="N857" i="1"/>
  <c r="M857" i="1"/>
  <c r="L857" i="1"/>
  <c r="K857" i="1"/>
  <c r="J857" i="1"/>
  <c r="I857" i="1"/>
  <c r="H857" i="1"/>
  <c r="G857" i="1"/>
  <c r="P856" i="1"/>
  <c r="O856" i="1"/>
  <c r="N856" i="1"/>
  <c r="M856" i="1"/>
  <c r="L856" i="1"/>
  <c r="K856" i="1"/>
  <c r="J856" i="1"/>
  <c r="I856" i="1"/>
  <c r="H856" i="1"/>
  <c r="G856" i="1"/>
  <c r="P855" i="1"/>
  <c r="O855" i="1"/>
  <c r="N855" i="1"/>
  <c r="M855" i="1"/>
  <c r="L855" i="1"/>
  <c r="K855" i="1"/>
  <c r="J855" i="1"/>
  <c r="I855" i="1"/>
  <c r="H855" i="1"/>
  <c r="G855" i="1"/>
  <c r="P854" i="1"/>
  <c r="O854" i="1"/>
  <c r="N854" i="1"/>
  <c r="M854" i="1"/>
  <c r="L854" i="1"/>
  <c r="K854" i="1"/>
  <c r="J854" i="1"/>
  <c r="I854" i="1"/>
  <c r="H854" i="1"/>
  <c r="G854" i="1"/>
  <c r="P853" i="1"/>
  <c r="O853" i="1"/>
  <c r="N853" i="1"/>
  <c r="M853" i="1"/>
  <c r="L853" i="1"/>
  <c r="K853" i="1"/>
  <c r="J853" i="1"/>
  <c r="I853" i="1"/>
  <c r="H853" i="1"/>
  <c r="G853" i="1"/>
  <c r="P852" i="1"/>
  <c r="O852" i="1"/>
  <c r="N852" i="1"/>
  <c r="M852" i="1"/>
  <c r="L852" i="1"/>
  <c r="K852" i="1"/>
  <c r="J852" i="1"/>
  <c r="I852" i="1"/>
  <c r="H852" i="1"/>
  <c r="G852" i="1"/>
  <c r="P851" i="1"/>
  <c r="O851" i="1"/>
  <c r="N851" i="1"/>
  <c r="M851" i="1"/>
  <c r="L851" i="1"/>
  <c r="K851" i="1"/>
  <c r="J851" i="1"/>
  <c r="I851" i="1"/>
  <c r="H851" i="1"/>
  <c r="G851" i="1"/>
  <c r="P850" i="1"/>
  <c r="O850" i="1"/>
  <c r="N850" i="1"/>
  <c r="M850" i="1"/>
  <c r="L850" i="1"/>
  <c r="K850" i="1"/>
  <c r="J850" i="1"/>
  <c r="I850" i="1"/>
  <c r="H850" i="1"/>
  <c r="G850" i="1"/>
  <c r="P849" i="1"/>
  <c r="O849" i="1"/>
  <c r="N849" i="1"/>
  <c r="M849" i="1"/>
  <c r="L849" i="1"/>
  <c r="K849" i="1"/>
  <c r="J849" i="1"/>
  <c r="I849" i="1"/>
  <c r="H849" i="1"/>
  <c r="G849" i="1"/>
  <c r="P848" i="1"/>
  <c r="O848" i="1"/>
  <c r="N848" i="1"/>
  <c r="M848" i="1"/>
  <c r="L848" i="1"/>
  <c r="K848" i="1"/>
  <c r="J848" i="1"/>
  <c r="I848" i="1"/>
  <c r="H848" i="1"/>
  <c r="G848" i="1"/>
  <c r="P847" i="1"/>
  <c r="O847" i="1"/>
  <c r="N847" i="1"/>
  <c r="M847" i="1"/>
  <c r="L847" i="1"/>
  <c r="K847" i="1"/>
  <c r="J847" i="1"/>
  <c r="I847" i="1"/>
  <c r="H847" i="1"/>
  <c r="G847" i="1"/>
  <c r="P846" i="1"/>
  <c r="O846" i="1"/>
  <c r="N846" i="1"/>
  <c r="M846" i="1"/>
  <c r="L846" i="1"/>
  <c r="K846" i="1"/>
  <c r="J846" i="1"/>
  <c r="I846" i="1"/>
  <c r="H846" i="1"/>
  <c r="G846" i="1"/>
  <c r="P845" i="1"/>
  <c r="O845" i="1"/>
  <c r="N845" i="1"/>
  <c r="M845" i="1"/>
  <c r="L845" i="1"/>
  <c r="K845" i="1"/>
  <c r="J845" i="1"/>
  <c r="I845" i="1"/>
  <c r="H845" i="1"/>
  <c r="G845" i="1"/>
  <c r="P844" i="1"/>
  <c r="O844" i="1"/>
  <c r="N844" i="1"/>
  <c r="M844" i="1"/>
  <c r="L844" i="1"/>
  <c r="K844" i="1"/>
  <c r="J844" i="1"/>
  <c r="I844" i="1"/>
  <c r="H844" i="1"/>
  <c r="G844" i="1"/>
  <c r="P843" i="1"/>
  <c r="O843" i="1"/>
  <c r="N843" i="1"/>
  <c r="M843" i="1"/>
  <c r="L843" i="1"/>
  <c r="K843" i="1"/>
  <c r="J843" i="1"/>
  <c r="I843" i="1"/>
  <c r="H843" i="1"/>
  <c r="G843" i="1"/>
  <c r="P842" i="1"/>
  <c r="O842" i="1"/>
  <c r="N842" i="1"/>
  <c r="M842" i="1"/>
  <c r="L842" i="1"/>
  <c r="K842" i="1"/>
  <c r="J842" i="1"/>
  <c r="I842" i="1"/>
  <c r="H842" i="1"/>
  <c r="G842" i="1"/>
  <c r="P841" i="1"/>
  <c r="O841" i="1"/>
  <c r="N841" i="1"/>
  <c r="M841" i="1"/>
  <c r="L841" i="1"/>
  <c r="K841" i="1"/>
  <c r="J841" i="1"/>
  <c r="I841" i="1"/>
  <c r="H841" i="1"/>
  <c r="G841" i="1"/>
  <c r="P840" i="1"/>
  <c r="O840" i="1"/>
  <c r="N840" i="1"/>
  <c r="M840" i="1"/>
  <c r="L840" i="1"/>
  <c r="K840" i="1"/>
  <c r="J840" i="1"/>
  <c r="I840" i="1"/>
  <c r="H840" i="1"/>
  <c r="G840" i="1"/>
  <c r="P839" i="1"/>
  <c r="O839" i="1"/>
  <c r="N839" i="1"/>
  <c r="M839" i="1"/>
  <c r="L839" i="1"/>
  <c r="K839" i="1"/>
  <c r="J839" i="1"/>
  <c r="I839" i="1"/>
  <c r="H839" i="1"/>
  <c r="G839" i="1"/>
  <c r="P838" i="1"/>
  <c r="O838" i="1"/>
  <c r="N838" i="1"/>
  <c r="M838" i="1"/>
  <c r="L838" i="1"/>
  <c r="K838" i="1"/>
  <c r="J838" i="1"/>
  <c r="I838" i="1"/>
  <c r="H838" i="1"/>
  <c r="G838" i="1"/>
  <c r="P837" i="1"/>
  <c r="O837" i="1"/>
  <c r="N837" i="1"/>
  <c r="M837" i="1"/>
  <c r="L837" i="1"/>
  <c r="K837" i="1"/>
  <c r="J837" i="1"/>
  <c r="I837" i="1"/>
  <c r="H837" i="1"/>
  <c r="G837" i="1"/>
  <c r="P836" i="1"/>
  <c r="O836" i="1"/>
  <c r="N836" i="1"/>
  <c r="M836" i="1"/>
  <c r="L836" i="1"/>
  <c r="K836" i="1"/>
  <c r="J836" i="1"/>
  <c r="I836" i="1"/>
  <c r="H836" i="1"/>
  <c r="G836" i="1"/>
  <c r="P835" i="1"/>
  <c r="O835" i="1"/>
  <c r="N835" i="1"/>
  <c r="M835" i="1"/>
  <c r="L835" i="1"/>
  <c r="K835" i="1"/>
  <c r="J835" i="1"/>
  <c r="I835" i="1"/>
  <c r="H835" i="1"/>
  <c r="G835" i="1"/>
  <c r="P834" i="1"/>
  <c r="O834" i="1"/>
  <c r="N834" i="1"/>
  <c r="M834" i="1"/>
  <c r="L834" i="1"/>
  <c r="K834" i="1"/>
  <c r="J834" i="1"/>
  <c r="I834" i="1"/>
  <c r="H834" i="1"/>
  <c r="G834" i="1"/>
  <c r="P833" i="1"/>
  <c r="O833" i="1"/>
  <c r="N833" i="1"/>
  <c r="M833" i="1"/>
  <c r="L833" i="1"/>
  <c r="K833" i="1"/>
  <c r="J833" i="1"/>
  <c r="I833" i="1"/>
  <c r="H833" i="1"/>
  <c r="G833" i="1"/>
  <c r="P832" i="1"/>
  <c r="O832" i="1"/>
  <c r="N832" i="1"/>
  <c r="M832" i="1"/>
  <c r="L832" i="1"/>
  <c r="K832" i="1"/>
  <c r="J832" i="1"/>
  <c r="I832" i="1"/>
  <c r="H832" i="1"/>
  <c r="G832" i="1"/>
  <c r="P831" i="1"/>
  <c r="O831" i="1"/>
  <c r="N831" i="1"/>
  <c r="M831" i="1"/>
  <c r="L831" i="1"/>
  <c r="K831" i="1"/>
  <c r="J831" i="1"/>
  <c r="I831" i="1"/>
  <c r="H831" i="1"/>
  <c r="G831" i="1"/>
  <c r="P830" i="1"/>
  <c r="O830" i="1"/>
  <c r="N830" i="1"/>
  <c r="M830" i="1"/>
  <c r="L830" i="1"/>
  <c r="K830" i="1"/>
  <c r="J830" i="1"/>
  <c r="I830" i="1"/>
  <c r="H830" i="1"/>
  <c r="G830" i="1"/>
  <c r="P829" i="1"/>
  <c r="O829" i="1"/>
  <c r="N829" i="1"/>
  <c r="M829" i="1"/>
  <c r="L829" i="1"/>
  <c r="K829" i="1"/>
  <c r="J829" i="1"/>
  <c r="I829" i="1"/>
  <c r="H829" i="1"/>
  <c r="G829" i="1"/>
  <c r="P828" i="1"/>
  <c r="O828" i="1"/>
  <c r="N828" i="1"/>
  <c r="M828" i="1"/>
  <c r="L828" i="1"/>
  <c r="K828" i="1"/>
  <c r="J828" i="1"/>
  <c r="I828" i="1"/>
  <c r="H828" i="1"/>
  <c r="G828" i="1"/>
  <c r="P827" i="1"/>
  <c r="O827" i="1"/>
  <c r="N827" i="1"/>
  <c r="M827" i="1"/>
  <c r="L827" i="1"/>
  <c r="K827" i="1"/>
  <c r="J827" i="1"/>
  <c r="I827" i="1"/>
  <c r="H827" i="1"/>
  <c r="G827" i="1"/>
  <c r="P826" i="1"/>
  <c r="O826" i="1"/>
  <c r="N826" i="1"/>
  <c r="M826" i="1"/>
  <c r="L826" i="1"/>
  <c r="K826" i="1"/>
  <c r="J826" i="1"/>
  <c r="I826" i="1"/>
  <c r="H826" i="1"/>
  <c r="G826" i="1"/>
  <c r="P825" i="1"/>
  <c r="O825" i="1"/>
  <c r="N825" i="1"/>
  <c r="M825" i="1"/>
  <c r="L825" i="1"/>
  <c r="K825" i="1"/>
  <c r="J825" i="1"/>
  <c r="I825" i="1"/>
  <c r="H825" i="1"/>
  <c r="G825" i="1"/>
  <c r="P824" i="1"/>
  <c r="O824" i="1"/>
  <c r="N824" i="1"/>
  <c r="M824" i="1"/>
  <c r="L824" i="1"/>
  <c r="K824" i="1"/>
  <c r="J824" i="1"/>
  <c r="I824" i="1"/>
  <c r="H824" i="1"/>
  <c r="G824" i="1"/>
  <c r="P823" i="1"/>
  <c r="O823" i="1"/>
  <c r="N823" i="1"/>
  <c r="M823" i="1"/>
  <c r="L823" i="1"/>
  <c r="K823" i="1"/>
  <c r="J823" i="1"/>
  <c r="I823" i="1"/>
  <c r="H823" i="1"/>
  <c r="G823" i="1"/>
  <c r="P822" i="1"/>
  <c r="O822" i="1"/>
  <c r="N822" i="1"/>
  <c r="M822" i="1"/>
  <c r="L822" i="1"/>
  <c r="K822" i="1"/>
  <c r="J822" i="1"/>
  <c r="I822" i="1"/>
  <c r="H822" i="1"/>
  <c r="G822" i="1"/>
  <c r="P821" i="1"/>
  <c r="O821" i="1"/>
  <c r="N821" i="1"/>
  <c r="M821" i="1"/>
  <c r="L821" i="1"/>
  <c r="K821" i="1"/>
  <c r="J821" i="1"/>
  <c r="I821" i="1"/>
  <c r="H821" i="1"/>
  <c r="G821" i="1"/>
  <c r="P820" i="1"/>
  <c r="O820" i="1"/>
  <c r="N820" i="1"/>
  <c r="M820" i="1"/>
  <c r="L820" i="1"/>
  <c r="K820" i="1"/>
  <c r="J820" i="1"/>
  <c r="I820" i="1"/>
  <c r="H820" i="1"/>
  <c r="G820" i="1"/>
  <c r="P819" i="1"/>
  <c r="O819" i="1"/>
  <c r="N819" i="1"/>
  <c r="M819" i="1"/>
  <c r="L819" i="1"/>
  <c r="K819" i="1"/>
  <c r="J819" i="1"/>
  <c r="I819" i="1"/>
  <c r="H819" i="1"/>
  <c r="G819" i="1"/>
  <c r="P818" i="1"/>
  <c r="O818" i="1"/>
  <c r="N818" i="1"/>
  <c r="M818" i="1"/>
  <c r="L818" i="1"/>
  <c r="K818" i="1"/>
  <c r="J818" i="1"/>
  <c r="I818" i="1"/>
  <c r="H818" i="1"/>
  <c r="G818" i="1"/>
  <c r="P817" i="1"/>
  <c r="O817" i="1"/>
  <c r="N817" i="1"/>
  <c r="M817" i="1"/>
  <c r="L817" i="1"/>
  <c r="K817" i="1"/>
  <c r="J817" i="1"/>
  <c r="I817" i="1"/>
  <c r="H817" i="1"/>
  <c r="G817" i="1"/>
  <c r="P816" i="1"/>
  <c r="O816" i="1"/>
  <c r="N816" i="1"/>
  <c r="M816" i="1"/>
  <c r="L816" i="1"/>
  <c r="K816" i="1"/>
  <c r="J816" i="1"/>
  <c r="I816" i="1"/>
  <c r="H816" i="1"/>
  <c r="G816" i="1"/>
  <c r="P815" i="1"/>
  <c r="O815" i="1"/>
  <c r="N815" i="1"/>
  <c r="M815" i="1"/>
  <c r="L815" i="1"/>
  <c r="K815" i="1"/>
  <c r="J815" i="1"/>
  <c r="I815" i="1"/>
  <c r="H815" i="1"/>
  <c r="G815" i="1"/>
  <c r="P814" i="1"/>
  <c r="O814" i="1"/>
  <c r="N814" i="1"/>
  <c r="M814" i="1"/>
  <c r="L814" i="1"/>
  <c r="K814" i="1"/>
  <c r="J814" i="1"/>
  <c r="I814" i="1"/>
  <c r="H814" i="1"/>
  <c r="G814" i="1"/>
  <c r="P813" i="1"/>
  <c r="O813" i="1"/>
  <c r="N813" i="1"/>
  <c r="M813" i="1"/>
  <c r="L813" i="1"/>
  <c r="K813" i="1"/>
  <c r="J813" i="1"/>
  <c r="I813" i="1"/>
  <c r="H813" i="1"/>
  <c r="G813" i="1"/>
  <c r="P812" i="1"/>
  <c r="O812" i="1"/>
  <c r="N812" i="1"/>
  <c r="M812" i="1"/>
  <c r="L812" i="1"/>
  <c r="K812" i="1"/>
  <c r="J812" i="1"/>
  <c r="I812" i="1"/>
  <c r="H812" i="1"/>
  <c r="G812" i="1"/>
  <c r="P811" i="1"/>
  <c r="O811" i="1"/>
  <c r="N811" i="1"/>
  <c r="M811" i="1"/>
  <c r="L811" i="1"/>
  <c r="K811" i="1"/>
  <c r="J811" i="1"/>
  <c r="I811" i="1"/>
  <c r="H811" i="1"/>
  <c r="G811" i="1"/>
  <c r="P810" i="1"/>
  <c r="O810" i="1"/>
  <c r="N810" i="1"/>
  <c r="M810" i="1"/>
  <c r="L810" i="1"/>
  <c r="K810" i="1"/>
  <c r="J810" i="1"/>
  <c r="I810" i="1"/>
  <c r="H810" i="1"/>
  <c r="G810" i="1"/>
  <c r="P809" i="1"/>
  <c r="O809" i="1"/>
  <c r="N809" i="1"/>
  <c r="M809" i="1"/>
  <c r="L809" i="1"/>
  <c r="K809" i="1"/>
  <c r="J809" i="1"/>
  <c r="I809" i="1"/>
  <c r="H809" i="1"/>
  <c r="G809" i="1"/>
  <c r="P808" i="1"/>
  <c r="O808" i="1"/>
  <c r="N808" i="1"/>
  <c r="M808" i="1"/>
  <c r="L808" i="1"/>
  <c r="K808" i="1"/>
  <c r="J808" i="1"/>
  <c r="I808" i="1"/>
  <c r="H808" i="1"/>
  <c r="G808" i="1"/>
  <c r="P807" i="1"/>
  <c r="O807" i="1"/>
  <c r="N807" i="1"/>
  <c r="M807" i="1"/>
  <c r="L807" i="1"/>
  <c r="K807" i="1"/>
  <c r="J807" i="1"/>
  <c r="I807" i="1"/>
  <c r="H807" i="1"/>
  <c r="G807" i="1"/>
  <c r="P806" i="1"/>
  <c r="O806" i="1"/>
  <c r="N806" i="1"/>
  <c r="M806" i="1"/>
  <c r="L806" i="1"/>
  <c r="K806" i="1"/>
  <c r="J806" i="1"/>
  <c r="I806" i="1"/>
  <c r="H806" i="1"/>
  <c r="G806" i="1"/>
  <c r="P805" i="1"/>
  <c r="O805" i="1"/>
  <c r="N805" i="1"/>
  <c r="M805" i="1"/>
  <c r="L805" i="1"/>
  <c r="K805" i="1"/>
  <c r="J805" i="1"/>
  <c r="I805" i="1"/>
  <c r="H805" i="1"/>
  <c r="G805" i="1"/>
  <c r="P804" i="1"/>
  <c r="O804" i="1"/>
  <c r="N804" i="1"/>
  <c r="M804" i="1"/>
  <c r="L804" i="1"/>
  <c r="K804" i="1"/>
  <c r="J804" i="1"/>
  <c r="I804" i="1"/>
  <c r="H804" i="1"/>
  <c r="G804" i="1"/>
  <c r="P803" i="1"/>
  <c r="O803" i="1"/>
  <c r="N803" i="1"/>
  <c r="M803" i="1"/>
  <c r="L803" i="1"/>
  <c r="K803" i="1"/>
  <c r="J803" i="1"/>
  <c r="I803" i="1"/>
  <c r="H803" i="1"/>
  <c r="G803" i="1"/>
  <c r="P802" i="1"/>
  <c r="O802" i="1"/>
  <c r="N802" i="1"/>
  <c r="M802" i="1"/>
  <c r="L802" i="1"/>
  <c r="K802" i="1"/>
  <c r="J802" i="1"/>
  <c r="I802" i="1"/>
  <c r="H802" i="1"/>
  <c r="G802" i="1"/>
  <c r="P801" i="1"/>
  <c r="O801" i="1"/>
  <c r="N801" i="1"/>
  <c r="M801" i="1"/>
  <c r="L801" i="1"/>
  <c r="K801" i="1"/>
  <c r="J801" i="1"/>
  <c r="I801" i="1"/>
  <c r="H801" i="1"/>
  <c r="G801" i="1"/>
  <c r="P800" i="1"/>
  <c r="O800" i="1"/>
  <c r="N800" i="1"/>
  <c r="M800" i="1"/>
  <c r="L800" i="1"/>
  <c r="K800" i="1"/>
  <c r="J800" i="1"/>
  <c r="I800" i="1"/>
  <c r="H800" i="1"/>
  <c r="G800" i="1"/>
  <c r="P799" i="1"/>
  <c r="O799" i="1"/>
  <c r="N799" i="1"/>
  <c r="M799" i="1"/>
  <c r="L799" i="1"/>
  <c r="K799" i="1"/>
  <c r="J799" i="1"/>
  <c r="I799" i="1"/>
  <c r="H799" i="1"/>
  <c r="G799" i="1"/>
  <c r="P798" i="1"/>
  <c r="O798" i="1"/>
  <c r="N798" i="1"/>
  <c r="M798" i="1"/>
  <c r="L798" i="1"/>
  <c r="K798" i="1"/>
  <c r="J798" i="1"/>
  <c r="I798" i="1"/>
  <c r="H798" i="1"/>
  <c r="G798" i="1"/>
  <c r="P797" i="1"/>
  <c r="O797" i="1"/>
  <c r="N797" i="1"/>
  <c r="M797" i="1"/>
  <c r="L797" i="1"/>
  <c r="K797" i="1"/>
  <c r="J797" i="1"/>
  <c r="I797" i="1"/>
  <c r="H797" i="1"/>
  <c r="G797" i="1"/>
  <c r="P796" i="1"/>
  <c r="O796" i="1"/>
  <c r="N796" i="1"/>
  <c r="M796" i="1"/>
  <c r="L796" i="1"/>
  <c r="K796" i="1"/>
  <c r="J796" i="1"/>
  <c r="I796" i="1"/>
  <c r="H796" i="1"/>
  <c r="G796" i="1"/>
  <c r="P795" i="1"/>
  <c r="O795" i="1"/>
  <c r="N795" i="1"/>
  <c r="M795" i="1"/>
  <c r="L795" i="1"/>
  <c r="K795" i="1"/>
  <c r="J795" i="1"/>
  <c r="I795" i="1"/>
  <c r="H795" i="1"/>
  <c r="G795" i="1"/>
  <c r="P794" i="1"/>
  <c r="O794" i="1"/>
  <c r="N794" i="1"/>
  <c r="M794" i="1"/>
  <c r="L794" i="1"/>
  <c r="K794" i="1"/>
  <c r="J794" i="1"/>
  <c r="I794" i="1"/>
  <c r="H794" i="1"/>
  <c r="G794" i="1"/>
  <c r="P793" i="1"/>
  <c r="O793" i="1"/>
  <c r="N793" i="1"/>
  <c r="M793" i="1"/>
  <c r="L793" i="1"/>
  <c r="K793" i="1"/>
  <c r="J793" i="1"/>
  <c r="I793" i="1"/>
  <c r="H793" i="1"/>
  <c r="G793" i="1"/>
  <c r="P792" i="1"/>
  <c r="O792" i="1"/>
  <c r="N792" i="1"/>
  <c r="M792" i="1"/>
  <c r="L792" i="1"/>
  <c r="K792" i="1"/>
  <c r="J792" i="1"/>
  <c r="I792" i="1"/>
  <c r="H792" i="1"/>
  <c r="G792" i="1"/>
  <c r="P791" i="1"/>
  <c r="O791" i="1"/>
  <c r="N791" i="1"/>
  <c r="M791" i="1"/>
  <c r="L791" i="1"/>
  <c r="K791" i="1"/>
  <c r="J791" i="1"/>
  <c r="I791" i="1"/>
  <c r="H791" i="1"/>
  <c r="G791" i="1"/>
  <c r="P790" i="1"/>
  <c r="O790" i="1"/>
  <c r="N790" i="1"/>
  <c r="M790" i="1"/>
  <c r="L790" i="1"/>
  <c r="K790" i="1"/>
  <c r="J790" i="1"/>
  <c r="I790" i="1"/>
  <c r="H790" i="1"/>
  <c r="G790" i="1"/>
  <c r="P789" i="1"/>
  <c r="O789" i="1"/>
  <c r="N789" i="1"/>
  <c r="M789" i="1"/>
  <c r="L789" i="1"/>
  <c r="K789" i="1"/>
  <c r="J789" i="1"/>
  <c r="I789" i="1"/>
  <c r="H789" i="1"/>
  <c r="G789" i="1"/>
  <c r="P788" i="1"/>
  <c r="O788" i="1"/>
  <c r="N788" i="1"/>
  <c r="M788" i="1"/>
  <c r="L788" i="1"/>
  <c r="K788" i="1"/>
  <c r="J788" i="1"/>
  <c r="I788" i="1"/>
  <c r="H788" i="1"/>
  <c r="G788" i="1"/>
  <c r="P787" i="1"/>
  <c r="O787" i="1"/>
  <c r="N787" i="1"/>
  <c r="M787" i="1"/>
  <c r="L787" i="1"/>
  <c r="K787" i="1"/>
  <c r="J787" i="1"/>
  <c r="I787" i="1"/>
  <c r="H787" i="1"/>
  <c r="G787" i="1"/>
  <c r="P786" i="1"/>
  <c r="O786" i="1"/>
  <c r="N786" i="1"/>
  <c r="M786" i="1"/>
  <c r="L786" i="1"/>
  <c r="K786" i="1"/>
  <c r="J786" i="1"/>
  <c r="I786" i="1"/>
  <c r="H786" i="1"/>
  <c r="G786" i="1"/>
  <c r="P785" i="1"/>
  <c r="O785" i="1"/>
  <c r="N785" i="1"/>
  <c r="M785" i="1"/>
  <c r="L785" i="1"/>
  <c r="K785" i="1"/>
  <c r="J785" i="1"/>
  <c r="I785" i="1"/>
  <c r="H785" i="1"/>
  <c r="G785" i="1"/>
  <c r="P784" i="1"/>
  <c r="O784" i="1"/>
  <c r="N784" i="1"/>
  <c r="M784" i="1"/>
  <c r="L784" i="1"/>
  <c r="K784" i="1"/>
  <c r="J784" i="1"/>
  <c r="I784" i="1"/>
  <c r="H784" i="1"/>
  <c r="G784" i="1"/>
  <c r="P783" i="1"/>
  <c r="O783" i="1"/>
  <c r="N783" i="1"/>
  <c r="M783" i="1"/>
  <c r="L783" i="1"/>
  <c r="K783" i="1"/>
  <c r="J783" i="1"/>
  <c r="I783" i="1"/>
  <c r="H783" i="1"/>
  <c r="G783" i="1"/>
  <c r="P782" i="1"/>
  <c r="O782" i="1"/>
  <c r="N782" i="1"/>
  <c r="M782" i="1"/>
  <c r="L782" i="1"/>
  <c r="K782" i="1"/>
  <c r="J782" i="1"/>
  <c r="I782" i="1"/>
  <c r="H782" i="1"/>
  <c r="G782" i="1"/>
  <c r="P781" i="1"/>
  <c r="O781" i="1"/>
  <c r="N781" i="1"/>
  <c r="M781" i="1"/>
  <c r="L781" i="1"/>
  <c r="K781" i="1"/>
  <c r="J781" i="1"/>
  <c r="I781" i="1"/>
  <c r="H781" i="1"/>
  <c r="G781" i="1"/>
  <c r="P780" i="1"/>
  <c r="O780" i="1"/>
  <c r="N780" i="1"/>
  <c r="M780" i="1"/>
  <c r="L780" i="1"/>
  <c r="K780" i="1"/>
  <c r="J780" i="1"/>
  <c r="I780" i="1"/>
  <c r="H780" i="1"/>
  <c r="G780" i="1"/>
  <c r="P779" i="1"/>
  <c r="O779" i="1"/>
  <c r="N779" i="1"/>
  <c r="M779" i="1"/>
  <c r="L779" i="1"/>
  <c r="K779" i="1"/>
  <c r="J779" i="1"/>
  <c r="I779" i="1"/>
  <c r="H779" i="1"/>
  <c r="G779" i="1"/>
  <c r="P778" i="1"/>
  <c r="O778" i="1"/>
  <c r="N778" i="1"/>
  <c r="M778" i="1"/>
  <c r="L778" i="1"/>
  <c r="K778" i="1"/>
  <c r="J778" i="1"/>
  <c r="I778" i="1"/>
  <c r="H778" i="1"/>
  <c r="G778" i="1"/>
  <c r="P777" i="1"/>
  <c r="O777" i="1"/>
  <c r="N777" i="1"/>
  <c r="M777" i="1"/>
  <c r="L777" i="1"/>
  <c r="K777" i="1"/>
  <c r="J777" i="1"/>
  <c r="I777" i="1"/>
  <c r="H777" i="1"/>
  <c r="G777" i="1"/>
  <c r="P776" i="1"/>
  <c r="O776" i="1"/>
  <c r="N776" i="1"/>
  <c r="M776" i="1"/>
  <c r="L776" i="1"/>
  <c r="K776" i="1"/>
  <c r="J776" i="1"/>
  <c r="I776" i="1"/>
  <c r="H776" i="1"/>
  <c r="G776" i="1"/>
  <c r="P775" i="1"/>
  <c r="O775" i="1"/>
  <c r="N775" i="1"/>
  <c r="M775" i="1"/>
  <c r="L775" i="1"/>
  <c r="K775" i="1"/>
  <c r="J775" i="1"/>
  <c r="I775" i="1"/>
  <c r="H775" i="1"/>
  <c r="G775" i="1"/>
  <c r="P774" i="1"/>
  <c r="O774" i="1"/>
  <c r="N774" i="1"/>
  <c r="M774" i="1"/>
  <c r="L774" i="1"/>
  <c r="K774" i="1"/>
  <c r="J774" i="1"/>
  <c r="I774" i="1"/>
  <c r="H774" i="1"/>
  <c r="G774" i="1"/>
  <c r="P773" i="1"/>
  <c r="O773" i="1"/>
  <c r="N773" i="1"/>
  <c r="M773" i="1"/>
  <c r="L773" i="1"/>
  <c r="K773" i="1"/>
  <c r="J773" i="1"/>
  <c r="I773" i="1"/>
  <c r="H773" i="1"/>
  <c r="G773" i="1"/>
  <c r="P772" i="1"/>
  <c r="O772" i="1"/>
  <c r="N772" i="1"/>
  <c r="M772" i="1"/>
  <c r="L772" i="1"/>
  <c r="K772" i="1"/>
  <c r="J772" i="1"/>
  <c r="I772" i="1"/>
  <c r="H772" i="1"/>
  <c r="G772" i="1"/>
  <c r="P771" i="1"/>
  <c r="O771" i="1"/>
  <c r="N771" i="1"/>
  <c r="M771" i="1"/>
  <c r="L771" i="1"/>
  <c r="K771" i="1"/>
  <c r="J771" i="1"/>
  <c r="I771" i="1"/>
  <c r="H771" i="1"/>
  <c r="G771" i="1"/>
  <c r="P770" i="1"/>
  <c r="O770" i="1"/>
  <c r="N770" i="1"/>
  <c r="M770" i="1"/>
  <c r="L770" i="1"/>
  <c r="K770" i="1"/>
  <c r="J770" i="1"/>
  <c r="I770" i="1"/>
  <c r="H770" i="1"/>
  <c r="G770" i="1"/>
  <c r="P769" i="1"/>
  <c r="O769" i="1"/>
  <c r="N769" i="1"/>
  <c r="M769" i="1"/>
  <c r="L769" i="1"/>
  <c r="K769" i="1"/>
  <c r="J769" i="1"/>
  <c r="I769" i="1"/>
  <c r="H769" i="1"/>
  <c r="G769" i="1"/>
  <c r="P768" i="1"/>
  <c r="O768" i="1"/>
  <c r="N768" i="1"/>
  <c r="M768" i="1"/>
  <c r="L768" i="1"/>
  <c r="K768" i="1"/>
  <c r="J768" i="1"/>
  <c r="I768" i="1"/>
  <c r="H768" i="1"/>
  <c r="G768" i="1"/>
  <c r="P767" i="1"/>
  <c r="O767" i="1"/>
  <c r="N767" i="1"/>
  <c r="M767" i="1"/>
  <c r="L767" i="1"/>
  <c r="K767" i="1"/>
  <c r="J767" i="1"/>
  <c r="I767" i="1"/>
  <c r="H767" i="1"/>
  <c r="G767" i="1"/>
  <c r="P766" i="1"/>
  <c r="O766" i="1"/>
  <c r="N766" i="1"/>
  <c r="M766" i="1"/>
  <c r="L766" i="1"/>
  <c r="K766" i="1"/>
  <c r="J766" i="1"/>
  <c r="I766" i="1"/>
  <c r="H766" i="1"/>
  <c r="G766" i="1"/>
  <c r="P765" i="1"/>
  <c r="O765" i="1"/>
  <c r="N765" i="1"/>
  <c r="M765" i="1"/>
  <c r="L765" i="1"/>
  <c r="K765" i="1"/>
  <c r="J765" i="1"/>
  <c r="I765" i="1"/>
  <c r="H765" i="1"/>
  <c r="G765" i="1"/>
  <c r="P764" i="1"/>
  <c r="O764" i="1"/>
  <c r="N764" i="1"/>
  <c r="M764" i="1"/>
  <c r="L764" i="1"/>
  <c r="K764" i="1"/>
  <c r="J764" i="1"/>
  <c r="I764" i="1"/>
  <c r="H764" i="1"/>
  <c r="G764" i="1"/>
  <c r="P763" i="1"/>
  <c r="O763" i="1"/>
  <c r="N763" i="1"/>
  <c r="M763" i="1"/>
  <c r="L763" i="1"/>
  <c r="K763" i="1"/>
  <c r="J763" i="1"/>
  <c r="I763" i="1"/>
  <c r="H763" i="1"/>
  <c r="G763" i="1"/>
  <c r="P762" i="1"/>
  <c r="O762" i="1"/>
  <c r="N762" i="1"/>
  <c r="M762" i="1"/>
  <c r="L762" i="1"/>
  <c r="K762" i="1"/>
  <c r="J762" i="1"/>
  <c r="I762" i="1"/>
  <c r="H762" i="1"/>
  <c r="G762" i="1"/>
  <c r="P761" i="1"/>
  <c r="O761" i="1"/>
  <c r="N761" i="1"/>
  <c r="M761" i="1"/>
  <c r="L761" i="1"/>
  <c r="K761" i="1"/>
  <c r="J761" i="1"/>
  <c r="I761" i="1"/>
  <c r="H761" i="1"/>
  <c r="G761" i="1"/>
  <c r="P760" i="1"/>
  <c r="O760" i="1"/>
  <c r="N760" i="1"/>
  <c r="M760" i="1"/>
  <c r="L760" i="1"/>
  <c r="K760" i="1"/>
  <c r="J760" i="1"/>
  <c r="I760" i="1"/>
  <c r="H760" i="1"/>
  <c r="G760" i="1"/>
  <c r="P759" i="1"/>
  <c r="O759" i="1"/>
  <c r="N759" i="1"/>
  <c r="M759" i="1"/>
  <c r="L759" i="1"/>
  <c r="K759" i="1"/>
  <c r="J759" i="1"/>
  <c r="I759" i="1"/>
  <c r="H759" i="1"/>
  <c r="G759" i="1"/>
  <c r="P758" i="1"/>
  <c r="O758" i="1"/>
  <c r="N758" i="1"/>
  <c r="M758" i="1"/>
  <c r="L758" i="1"/>
  <c r="K758" i="1"/>
  <c r="J758" i="1"/>
  <c r="I758" i="1"/>
  <c r="H758" i="1"/>
  <c r="G758" i="1"/>
  <c r="P757" i="1"/>
  <c r="O757" i="1"/>
  <c r="N757" i="1"/>
  <c r="M757" i="1"/>
  <c r="L757" i="1"/>
  <c r="K757" i="1"/>
  <c r="J757" i="1"/>
  <c r="I757" i="1"/>
  <c r="H757" i="1"/>
  <c r="G757" i="1"/>
  <c r="P756" i="1"/>
  <c r="O756" i="1"/>
  <c r="N756" i="1"/>
  <c r="M756" i="1"/>
  <c r="L756" i="1"/>
  <c r="K756" i="1"/>
  <c r="J756" i="1"/>
  <c r="I756" i="1"/>
  <c r="H756" i="1"/>
  <c r="G756" i="1"/>
  <c r="P755" i="1"/>
  <c r="O755" i="1"/>
  <c r="N755" i="1"/>
  <c r="M755" i="1"/>
  <c r="L755" i="1"/>
  <c r="K755" i="1"/>
  <c r="J755" i="1"/>
  <c r="I755" i="1"/>
  <c r="H755" i="1"/>
  <c r="G755" i="1"/>
  <c r="P754" i="1"/>
  <c r="O754" i="1"/>
  <c r="N754" i="1"/>
  <c r="M754" i="1"/>
  <c r="L754" i="1"/>
  <c r="K754" i="1"/>
  <c r="J754" i="1"/>
  <c r="I754" i="1"/>
  <c r="H754" i="1"/>
  <c r="G754" i="1"/>
  <c r="P753" i="1"/>
  <c r="O753" i="1"/>
  <c r="N753" i="1"/>
  <c r="M753" i="1"/>
  <c r="L753" i="1"/>
  <c r="K753" i="1"/>
  <c r="J753" i="1"/>
  <c r="I753" i="1"/>
  <c r="H753" i="1"/>
  <c r="G753" i="1"/>
  <c r="P752" i="1"/>
  <c r="O752" i="1"/>
  <c r="N752" i="1"/>
  <c r="M752" i="1"/>
  <c r="L752" i="1"/>
  <c r="K752" i="1"/>
  <c r="J752" i="1"/>
  <c r="I752" i="1"/>
  <c r="H752" i="1"/>
  <c r="G752" i="1"/>
  <c r="P751" i="1"/>
  <c r="O751" i="1"/>
  <c r="N751" i="1"/>
  <c r="M751" i="1"/>
  <c r="L751" i="1"/>
  <c r="K751" i="1"/>
  <c r="J751" i="1"/>
  <c r="I751" i="1"/>
  <c r="H751" i="1"/>
  <c r="G751" i="1"/>
  <c r="P750" i="1"/>
  <c r="O750" i="1"/>
  <c r="N750" i="1"/>
  <c r="M750" i="1"/>
  <c r="L750" i="1"/>
  <c r="K750" i="1"/>
  <c r="J750" i="1"/>
  <c r="I750" i="1"/>
  <c r="H750" i="1"/>
  <c r="G750" i="1"/>
  <c r="P749" i="1"/>
  <c r="O749" i="1"/>
  <c r="N749" i="1"/>
  <c r="M749" i="1"/>
  <c r="L749" i="1"/>
  <c r="K749" i="1"/>
  <c r="J749" i="1"/>
  <c r="I749" i="1"/>
  <c r="H749" i="1"/>
  <c r="G749" i="1"/>
  <c r="P748" i="1"/>
  <c r="O748" i="1"/>
  <c r="N748" i="1"/>
  <c r="M748" i="1"/>
  <c r="L748" i="1"/>
  <c r="K748" i="1"/>
  <c r="J748" i="1"/>
  <c r="I748" i="1"/>
  <c r="H748" i="1"/>
  <c r="G748" i="1"/>
  <c r="P747" i="1"/>
  <c r="O747" i="1"/>
  <c r="N747" i="1"/>
  <c r="M747" i="1"/>
  <c r="L747" i="1"/>
  <c r="K747" i="1"/>
  <c r="J747" i="1"/>
  <c r="I747" i="1"/>
  <c r="H747" i="1"/>
  <c r="G747" i="1"/>
  <c r="P746" i="1"/>
  <c r="O746" i="1"/>
  <c r="N746" i="1"/>
  <c r="M746" i="1"/>
  <c r="L746" i="1"/>
  <c r="K746" i="1"/>
  <c r="J746" i="1"/>
  <c r="I746" i="1"/>
  <c r="H746" i="1"/>
  <c r="G746" i="1"/>
  <c r="P745" i="1"/>
  <c r="O745" i="1"/>
  <c r="N745" i="1"/>
  <c r="M745" i="1"/>
  <c r="L745" i="1"/>
  <c r="K745" i="1"/>
  <c r="J745" i="1"/>
  <c r="I745" i="1"/>
  <c r="H745" i="1"/>
  <c r="G745" i="1"/>
  <c r="P744" i="1"/>
  <c r="O744" i="1"/>
  <c r="N744" i="1"/>
  <c r="M744" i="1"/>
  <c r="L744" i="1"/>
  <c r="K744" i="1"/>
  <c r="J744" i="1"/>
  <c r="I744" i="1"/>
  <c r="H744" i="1"/>
  <c r="G744" i="1"/>
  <c r="P743" i="1"/>
  <c r="O743" i="1"/>
  <c r="N743" i="1"/>
  <c r="M743" i="1"/>
  <c r="L743" i="1"/>
  <c r="K743" i="1"/>
  <c r="J743" i="1"/>
  <c r="I743" i="1"/>
  <c r="H743" i="1"/>
  <c r="G743" i="1"/>
  <c r="P742" i="1"/>
  <c r="O742" i="1"/>
  <c r="N742" i="1"/>
  <c r="M742" i="1"/>
  <c r="L742" i="1"/>
  <c r="K742" i="1"/>
  <c r="J742" i="1"/>
  <c r="I742" i="1"/>
  <c r="H742" i="1"/>
  <c r="G742" i="1"/>
  <c r="P741" i="1"/>
  <c r="O741" i="1"/>
  <c r="N741" i="1"/>
  <c r="M741" i="1"/>
  <c r="L741" i="1"/>
  <c r="K741" i="1"/>
  <c r="J741" i="1"/>
  <c r="I741" i="1"/>
  <c r="H741" i="1"/>
  <c r="G741" i="1"/>
  <c r="P740" i="1"/>
  <c r="O740" i="1"/>
  <c r="N740" i="1"/>
  <c r="M740" i="1"/>
  <c r="L740" i="1"/>
  <c r="K740" i="1"/>
  <c r="J740" i="1"/>
  <c r="I740" i="1"/>
  <c r="H740" i="1"/>
  <c r="G740" i="1"/>
  <c r="P739" i="1"/>
  <c r="O739" i="1"/>
  <c r="N739" i="1"/>
  <c r="M739" i="1"/>
  <c r="L739" i="1"/>
  <c r="K739" i="1"/>
  <c r="J739" i="1"/>
  <c r="I739" i="1"/>
  <c r="H739" i="1"/>
  <c r="G739" i="1"/>
  <c r="P738" i="1"/>
  <c r="O738" i="1"/>
  <c r="N738" i="1"/>
  <c r="M738" i="1"/>
  <c r="L738" i="1"/>
  <c r="K738" i="1"/>
  <c r="J738" i="1"/>
  <c r="I738" i="1"/>
  <c r="H738" i="1"/>
  <c r="G738" i="1"/>
  <c r="P737" i="1"/>
  <c r="O737" i="1"/>
  <c r="N737" i="1"/>
  <c r="M737" i="1"/>
  <c r="L737" i="1"/>
  <c r="K737" i="1"/>
  <c r="J737" i="1"/>
  <c r="I737" i="1"/>
  <c r="H737" i="1"/>
  <c r="G737" i="1"/>
  <c r="P736" i="1"/>
  <c r="O736" i="1"/>
  <c r="N736" i="1"/>
  <c r="M736" i="1"/>
  <c r="L736" i="1"/>
  <c r="K736" i="1"/>
  <c r="J736" i="1"/>
  <c r="I736" i="1"/>
  <c r="H736" i="1"/>
  <c r="G736" i="1"/>
  <c r="P735" i="1"/>
  <c r="O735" i="1"/>
  <c r="N735" i="1"/>
  <c r="M735" i="1"/>
  <c r="L735" i="1"/>
  <c r="K735" i="1"/>
  <c r="J735" i="1"/>
  <c r="I735" i="1"/>
  <c r="H735" i="1"/>
  <c r="G735" i="1"/>
  <c r="P734" i="1"/>
  <c r="O734" i="1"/>
  <c r="N734" i="1"/>
  <c r="M734" i="1"/>
  <c r="L734" i="1"/>
  <c r="K734" i="1"/>
  <c r="J734" i="1"/>
  <c r="I734" i="1"/>
  <c r="H734" i="1"/>
  <c r="G734" i="1"/>
  <c r="P733" i="1"/>
  <c r="O733" i="1"/>
  <c r="N733" i="1"/>
  <c r="M733" i="1"/>
  <c r="L733" i="1"/>
  <c r="K733" i="1"/>
  <c r="J733" i="1"/>
  <c r="I733" i="1"/>
  <c r="H733" i="1"/>
  <c r="G733" i="1"/>
  <c r="P732" i="1"/>
  <c r="O732" i="1"/>
  <c r="N732" i="1"/>
  <c r="M732" i="1"/>
  <c r="L732" i="1"/>
  <c r="K732" i="1"/>
  <c r="J732" i="1"/>
  <c r="I732" i="1"/>
  <c r="H732" i="1"/>
  <c r="G732" i="1"/>
  <c r="P731" i="1"/>
  <c r="O731" i="1"/>
  <c r="N731" i="1"/>
  <c r="M731" i="1"/>
  <c r="L731" i="1"/>
  <c r="K731" i="1"/>
  <c r="J731" i="1"/>
  <c r="I731" i="1"/>
  <c r="H731" i="1"/>
  <c r="G731" i="1"/>
  <c r="P730" i="1"/>
  <c r="O730" i="1"/>
  <c r="N730" i="1"/>
  <c r="M730" i="1"/>
  <c r="L730" i="1"/>
  <c r="K730" i="1"/>
  <c r="J730" i="1"/>
  <c r="I730" i="1"/>
  <c r="H730" i="1"/>
  <c r="G730" i="1"/>
  <c r="P729" i="1"/>
  <c r="O729" i="1"/>
  <c r="N729" i="1"/>
  <c r="M729" i="1"/>
  <c r="L729" i="1"/>
  <c r="K729" i="1"/>
  <c r="J729" i="1"/>
  <c r="I729" i="1"/>
  <c r="H729" i="1"/>
  <c r="G729" i="1"/>
  <c r="P728" i="1"/>
  <c r="O728" i="1"/>
  <c r="N728" i="1"/>
  <c r="M728" i="1"/>
  <c r="L728" i="1"/>
  <c r="K728" i="1"/>
  <c r="J728" i="1"/>
  <c r="I728" i="1"/>
  <c r="H728" i="1"/>
  <c r="G728" i="1"/>
  <c r="P727" i="1"/>
  <c r="O727" i="1"/>
  <c r="N727" i="1"/>
  <c r="M727" i="1"/>
  <c r="L727" i="1"/>
  <c r="K727" i="1"/>
  <c r="J727" i="1"/>
  <c r="I727" i="1"/>
  <c r="H727" i="1"/>
  <c r="G727" i="1"/>
  <c r="P726" i="1"/>
  <c r="O726" i="1"/>
  <c r="N726" i="1"/>
  <c r="M726" i="1"/>
  <c r="L726" i="1"/>
  <c r="K726" i="1"/>
  <c r="J726" i="1"/>
  <c r="I726" i="1"/>
  <c r="H726" i="1"/>
  <c r="G726" i="1"/>
  <c r="P725" i="1"/>
  <c r="O725" i="1"/>
  <c r="N725" i="1"/>
  <c r="M725" i="1"/>
  <c r="L725" i="1"/>
  <c r="K725" i="1"/>
  <c r="J725" i="1"/>
  <c r="I725" i="1"/>
  <c r="H725" i="1"/>
  <c r="G725" i="1"/>
  <c r="P724" i="1"/>
  <c r="O724" i="1"/>
  <c r="N724" i="1"/>
  <c r="M724" i="1"/>
  <c r="L724" i="1"/>
  <c r="K724" i="1"/>
  <c r="J724" i="1"/>
  <c r="I724" i="1"/>
  <c r="H724" i="1"/>
  <c r="G724" i="1"/>
  <c r="P723" i="1"/>
  <c r="O723" i="1"/>
  <c r="N723" i="1"/>
  <c r="M723" i="1"/>
  <c r="L723" i="1"/>
  <c r="K723" i="1"/>
  <c r="J723" i="1"/>
  <c r="I723" i="1"/>
  <c r="H723" i="1"/>
  <c r="G723" i="1"/>
  <c r="P722" i="1"/>
  <c r="O722" i="1"/>
  <c r="N722" i="1"/>
  <c r="M722" i="1"/>
  <c r="L722" i="1"/>
  <c r="K722" i="1"/>
  <c r="J722" i="1"/>
  <c r="I722" i="1"/>
  <c r="H722" i="1"/>
  <c r="G722" i="1"/>
  <c r="P721" i="1"/>
  <c r="O721" i="1"/>
  <c r="N721" i="1"/>
  <c r="M721" i="1"/>
  <c r="L721" i="1"/>
  <c r="K721" i="1"/>
  <c r="J721" i="1"/>
  <c r="I721" i="1"/>
  <c r="H721" i="1"/>
  <c r="G721" i="1"/>
  <c r="P720" i="1"/>
  <c r="O720" i="1"/>
  <c r="N720" i="1"/>
  <c r="M720" i="1"/>
  <c r="L720" i="1"/>
  <c r="K720" i="1"/>
  <c r="J720" i="1"/>
  <c r="I720" i="1"/>
  <c r="H720" i="1"/>
  <c r="G720" i="1"/>
  <c r="P719" i="1"/>
  <c r="O719" i="1"/>
  <c r="N719" i="1"/>
  <c r="M719" i="1"/>
  <c r="L719" i="1"/>
  <c r="K719" i="1"/>
  <c r="J719" i="1"/>
  <c r="I719" i="1"/>
  <c r="H719" i="1"/>
  <c r="G719" i="1"/>
  <c r="P718" i="1"/>
  <c r="O718" i="1"/>
  <c r="N718" i="1"/>
  <c r="M718" i="1"/>
  <c r="L718" i="1"/>
  <c r="K718" i="1"/>
  <c r="J718" i="1"/>
  <c r="I718" i="1"/>
  <c r="H718" i="1"/>
  <c r="G718" i="1"/>
  <c r="P717" i="1"/>
  <c r="O717" i="1"/>
  <c r="N717" i="1"/>
  <c r="M717" i="1"/>
  <c r="L717" i="1"/>
  <c r="K717" i="1"/>
  <c r="J717" i="1"/>
  <c r="I717" i="1"/>
  <c r="H717" i="1"/>
  <c r="G717" i="1"/>
  <c r="P716" i="1"/>
  <c r="O716" i="1"/>
  <c r="N716" i="1"/>
  <c r="M716" i="1"/>
  <c r="L716" i="1"/>
  <c r="K716" i="1"/>
  <c r="J716" i="1"/>
  <c r="I716" i="1"/>
  <c r="H716" i="1"/>
  <c r="G716" i="1"/>
  <c r="P715" i="1"/>
  <c r="O715" i="1"/>
  <c r="N715" i="1"/>
  <c r="M715" i="1"/>
  <c r="L715" i="1"/>
  <c r="K715" i="1"/>
  <c r="J715" i="1"/>
  <c r="I715" i="1"/>
  <c r="H715" i="1"/>
  <c r="G715" i="1"/>
  <c r="P714" i="1"/>
  <c r="O714" i="1"/>
  <c r="N714" i="1"/>
  <c r="M714" i="1"/>
  <c r="L714" i="1"/>
  <c r="K714" i="1"/>
  <c r="J714" i="1"/>
  <c r="I714" i="1"/>
  <c r="H714" i="1"/>
  <c r="G714" i="1"/>
  <c r="P713" i="1"/>
  <c r="O713" i="1"/>
  <c r="N713" i="1"/>
  <c r="M713" i="1"/>
  <c r="L713" i="1"/>
  <c r="K713" i="1"/>
  <c r="J713" i="1"/>
  <c r="I713" i="1"/>
  <c r="H713" i="1"/>
  <c r="G713" i="1"/>
  <c r="P712" i="1"/>
  <c r="O712" i="1"/>
  <c r="N712" i="1"/>
  <c r="M712" i="1"/>
  <c r="L712" i="1"/>
  <c r="K712" i="1"/>
  <c r="J712" i="1"/>
  <c r="I712" i="1"/>
  <c r="H712" i="1"/>
  <c r="G712" i="1"/>
  <c r="P711" i="1"/>
  <c r="O711" i="1"/>
  <c r="N711" i="1"/>
  <c r="M711" i="1"/>
  <c r="L711" i="1"/>
  <c r="K711" i="1"/>
  <c r="J711" i="1"/>
  <c r="I711" i="1"/>
  <c r="H711" i="1"/>
  <c r="G711" i="1"/>
  <c r="P710" i="1"/>
  <c r="O710" i="1"/>
  <c r="N710" i="1"/>
  <c r="M710" i="1"/>
  <c r="L710" i="1"/>
  <c r="K710" i="1"/>
  <c r="J710" i="1"/>
  <c r="I710" i="1"/>
  <c r="H710" i="1"/>
  <c r="G710" i="1"/>
  <c r="P709" i="1"/>
  <c r="O709" i="1"/>
  <c r="N709" i="1"/>
  <c r="M709" i="1"/>
  <c r="L709" i="1"/>
  <c r="K709" i="1"/>
  <c r="J709" i="1"/>
  <c r="I709" i="1"/>
  <c r="H709" i="1"/>
  <c r="G709" i="1"/>
  <c r="P708" i="1"/>
  <c r="O708" i="1"/>
  <c r="N708" i="1"/>
  <c r="M708" i="1"/>
  <c r="L708" i="1"/>
  <c r="K708" i="1"/>
  <c r="J708" i="1"/>
  <c r="I708" i="1"/>
  <c r="H708" i="1"/>
  <c r="G708" i="1"/>
  <c r="P707" i="1"/>
  <c r="O707" i="1"/>
  <c r="N707" i="1"/>
  <c r="M707" i="1"/>
  <c r="L707" i="1"/>
  <c r="K707" i="1"/>
  <c r="J707" i="1"/>
  <c r="I707" i="1"/>
  <c r="H707" i="1"/>
  <c r="G707" i="1"/>
  <c r="P706" i="1"/>
  <c r="O706" i="1"/>
  <c r="N706" i="1"/>
  <c r="M706" i="1"/>
  <c r="L706" i="1"/>
  <c r="K706" i="1"/>
  <c r="J706" i="1"/>
  <c r="I706" i="1"/>
  <c r="H706" i="1"/>
  <c r="G706" i="1"/>
  <c r="P705" i="1"/>
  <c r="O705" i="1"/>
  <c r="N705" i="1"/>
  <c r="M705" i="1"/>
  <c r="L705" i="1"/>
  <c r="K705" i="1"/>
  <c r="J705" i="1"/>
  <c r="I705" i="1"/>
  <c r="H705" i="1"/>
  <c r="G705" i="1"/>
  <c r="P704" i="1"/>
  <c r="O704" i="1"/>
  <c r="N704" i="1"/>
  <c r="M704" i="1"/>
  <c r="L704" i="1"/>
  <c r="K704" i="1"/>
  <c r="J704" i="1"/>
  <c r="I704" i="1"/>
  <c r="H704" i="1"/>
  <c r="G704" i="1"/>
  <c r="P703" i="1"/>
  <c r="O703" i="1"/>
  <c r="N703" i="1"/>
  <c r="M703" i="1"/>
  <c r="L703" i="1"/>
  <c r="K703" i="1"/>
  <c r="J703" i="1"/>
  <c r="I703" i="1"/>
  <c r="H703" i="1"/>
  <c r="G703" i="1"/>
  <c r="P702" i="1"/>
  <c r="O702" i="1"/>
  <c r="N702" i="1"/>
  <c r="M702" i="1"/>
  <c r="L702" i="1"/>
  <c r="K702" i="1"/>
  <c r="J702" i="1"/>
  <c r="I702" i="1"/>
  <c r="H702" i="1"/>
  <c r="G702" i="1"/>
  <c r="P701" i="1"/>
  <c r="O701" i="1"/>
  <c r="N701" i="1"/>
  <c r="M701" i="1"/>
  <c r="L701" i="1"/>
  <c r="K701" i="1"/>
  <c r="J701" i="1"/>
  <c r="I701" i="1"/>
  <c r="H701" i="1"/>
  <c r="G701" i="1"/>
  <c r="P700" i="1"/>
  <c r="O700" i="1"/>
  <c r="N700" i="1"/>
  <c r="M700" i="1"/>
  <c r="L700" i="1"/>
  <c r="K700" i="1"/>
  <c r="J700" i="1"/>
  <c r="I700" i="1"/>
  <c r="H700" i="1"/>
  <c r="G700" i="1"/>
  <c r="P699" i="1"/>
  <c r="O699" i="1"/>
  <c r="N699" i="1"/>
  <c r="M699" i="1"/>
  <c r="L699" i="1"/>
  <c r="K699" i="1"/>
  <c r="J699" i="1"/>
  <c r="I699" i="1"/>
  <c r="H699" i="1"/>
  <c r="G699" i="1"/>
  <c r="P698" i="1"/>
  <c r="O698" i="1"/>
  <c r="N698" i="1"/>
  <c r="M698" i="1"/>
  <c r="L698" i="1"/>
  <c r="K698" i="1"/>
  <c r="J698" i="1"/>
  <c r="I698" i="1"/>
  <c r="H698" i="1"/>
  <c r="G698" i="1"/>
  <c r="P697" i="1"/>
  <c r="O697" i="1"/>
  <c r="N697" i="1"/>
  <c r="M697" i="1"/>
  <c r="L697" i="1"/>
  <c r="K697" i="1"/>
  <c r="J697" i="1"/>
  <c r="I697" i="1"/>
  <c r="H697" i="1"/>
  <c r="G697" i="1"/>
  <c r="P696" i="1"/>
  <c r="O696" i="1"/>
  <c r="N696" i="1"/>
  <c r="M696" i="1"/>
  <c r="L696" i="1"/>
  <c r="K696" i="1"/>
  <c r="J696" i="1"/>
  <c r="I696" i="1"/>
  <c r="H696" i="1"/>
  <c r="G696" i="1"/>
  <c r="P695" i="1"/>
  <c r="O695" i="1"/>
  <c r="N695" i="1"/>
  <c r="M695" i="1"/>
  <c r="L695" i="1"/>
  <c r="K695" i="1"/>
  <c r="J695" i="1"/>
  <c r="I695" i="1"/>
  <c r="H695" i="1"/>
  <c r="G695" i="1"/>
  <c r="P694" i="1"/>
  <c r="O694" i="1"/>
  <c r="N694" i="1"/>
  <c r="M694" i="1"/>
  <c r="L694" i="1"/>
  <c r="K694" i="1"/>
  <c r="J694" i="1"/>
  <c r="I694" i="1"/>
  <c r="H694" i="1"/>
  <c r="G694" i="1"/>
  <c r="P693" i="1"/>
  <c r="O693" i="1"/>
  <c r="N693" i="1"/>
  <c r="M693" i="1"/>
  <c r="L693" i="1"/>
  <c r="K693" i="1"/>
  <c r="J693" i="1"/>
  <c r="I693" i="1"/>
  <c r="H693" i="1"/>
  <c r="G693" i="1"/>
  <c r="P692" i="1"/>
  <c r="O692" i="1"/>
  <c r="N692" i="1"/>
  <c r="M692" i="1"/>
  <c r="L692" i="1"/>
  <c r="K692" i="1"/>
  <c r="J692" i="1"/>
  <c r="I692" i="1"/>
  <c r="H692" i="1"/>
  <c r="G692" i="1"/>
  <c r="P691" i="1"/>
  <c r="O691" i="1"/>
  <c r="N691" i="1"/>
  <c r="M691" i="1"/>
  <c r="L691" i="1"/>
  <c r="K691" i="1"/>
  <c r="J691" i="1"/>
  <c r="I691" i="1"/>
  <c r="H691" i="1"/>
  <c r="G691" i="1"/>
  <c r="P690" i="1"/>
  <c r="O690" i="1"/>
  <c r="N690" i="1"/>
  <c r="M690" i="1"/>
  <c r="L690" i="1"/>
  <c r="K690" i="1"/>
  <c r="J690" i="1"/>
  <c r="I690" i="1"/>
  <c r="H690" i="1"/>
  <c r="G690" i="1"/>
  <c r="P689" i="1"/>
  <c r="O689" i="1"/>
  <c r="N689" i="1"/>
  <c r="M689" i="1"/>
  <c r="L689" i="1"/>
  <c r="K689" i="1"/>
  <c r="J689" i="1"/>
  <c r="I689" i="1"/>
  <c r="H689" i="1"/>
  <c r="G689" i="1"/>
  <c r="P688" i="1"/>
  <c r="O688" i="1"/>
  <c r="N688" i="1"/>
  <c r="M688" i="1"/>
  <c r="L688" i="1"/>
  <c r="K688" i="1"/>
  <c r="J688" i="1"/>
  <c r="I688" i="1"/>
  <c r="H688" i="1"/>
  <c r="G688" i="1"/>
  <c r="P687" i="1"/>
  <c r="O687" i="1"/>
  <c r="N687" i="1"/>
  <c r="M687" i="1"/>
  <c r="L687" i="1"/>
  <c r="K687" i="1"/>
  <c r="J687" i="1"/>
  <c r="I687" i="1"/>
  <c r="H687" i="1"/>
  <c r="G687" i="1"/>
  <c r="P686" i="1"/>
  <c r="O686" i="1"/>
  <c r="N686" i="1"/>
  <c r="M686" i="1"/>
  <c r="L686" i="1"/>
  <c r="K686" i="1"/>
  <c r="J686" i="1"/>
  <c r="I686" i="1"/>
  <c r="H686" i="1"/>
  <c r="G686" i="1"/>
  <c r="P685" i="1"/>
  <c r="O685" i="1"/>
  <c r="N685" i="1"/>
  <c r="M685" i="1"/>
  <c r="L685" i="1"/>
  <c r="K685" i="1"/>
  <c r="J685" i="1"/>
  <c r="I685" i="1"/>
  <c r="H685" i="1"/>
  <c r="G685" i="1"/>
  <c r="P684" i="1"/>
  <c r="O684" i="1"/>
  <c r="N684" i="1"/>
  <c r="M684" i="1"/>
  <c r="L684" i="1"/>
  <c r="K684" i="1"/>
  <c r="J684" i="1"/>
  <c r="I684" i="1"/>
  <c r="H684" i="1"/>
  <c r="G684" i="1"/>
  <c r="P683" i="1"/>
  <c r="O683" i="1"/>
  <c r="N683" i="1"/>
  <c r="M683" i="1"/>
  <c r="L683" i="1"/>
  <c r="K683" i="1"/>
  <c r="J683" i="1"/>
  <c r="I683" i="1"/>
  <c r="H683" i="1"/>
  <c r="G683" i="1"/>
  <c r="P682" i="1"/>
  <c r="O682" i="1"/>
  <c r="N682" i="1"/>
  <c r="M682" i="1"/>
  <c r="L682" i="1"/>
  <c r="K682" i="1"/>
  <c r="J682" i="1"/>
  <c r="I682" i="1"/>
  <c r="H682" i="1"/>
  <c r="G682" i="1"/>
  <c r="P681" i="1"/>
  <c r="O681" i="1"/>
  <c r="N681" i="1"/>
  <c r="M681" i="1"/>
  <c r="L681" i="1"/>
  <c r="K681" i="1"/>
  <c r="J681" i="1"/>
  <c r="I681" i="1"/>
  <c r="H681" i="1"/>
  <c r="G681" i="1"/>
  <c r="P680" i="1"/>
  <c r="O680" i="1"/>
  <c r="N680" i="1"/>
  <c r="M680" i="1"/>
  <c r="L680" i="1"/>
  <c r="K680" i="1"/>
  <c r="J680" i="1"/>
  <c r="I680" i="1"/>
  <c r="H680" i="1"/>
  <c r="G680" i="1"/>
  <c r="P679" i="1"/>
  <c r="O679" i="1"/>
  <c r="N679" i="1"/>
  <c r="M679" i="1"/>
  <c r="L679" i="1"/>
  <c r="K679" i="1"/>
  <c r="J679" i="1"/>
  <c r="I679" i="1"/>
  <c r="H679" i="1"/>
  <c r="G679" i="1"/>
  <c r="P678" i="1"/>
  <c r="O678" i="1"/>
  <c r="N678" i="1"/>
  <c r="M678" i="1"/>
  <c r="L678" i="1"/>
  <c r="K678" i="1"/>
  <c r="J678" i="1"/>
  <c r="I678" i="1"/>
  <c r="H678" i="1"/>
  <c r="G678" i="1"/>
  <c r="P677" i="1"/>
  <c r="O677" i="1"/>
  <c r="N677" i="1"/>
  <c r="M677" i="1"/>
  <c r="L677" i="1"/>
  <c r="K677" i="1"/>
  <c r="J677" i="1"/>
  <c r="I677" i="1"/>
  <c r="H677" i="1"/>
  <c r="G677" i="1"/>
  <c r="P676" i="1"/>
  <c r="O676" i="1"/>
  <c r="N676" i="1"/>
  <c r="M676" i="1"/>
  <c r="L676" i="1"/>
  <c r="K676" i="1"/>
  <c r="J676" i="1"/>
  <c r="I676" i="1"/>
  <c r="H676" i="1"/>
  <c r="G676" i="1"/>
  <c r="P675" i="1"/>
  <c r="O675" i="1"/>
  <c r="N675" i="1"/>
  <c r="M675" i="1"/>
  <c r="L675" i="1"/>
  <c r="K675" i="1"/>
  <c r="J675" i="1"/>
  <c r="I675" i="1"/>
  <c r="H675" i="1"/>
  <c r="G675" i="1"/>
  <c r="P674" i="1"/>
  <c r="O674" i="1"/>
  <c r="N674" i="1"/>
  <c r="M674" i="1"/>
  <c r="L674" i="1"/>
  <c r="K674" i="1"/>
  <c r="J674" i="1"/>
  <c r="I674" i="1"/>
  <c r="H674" i="1"/>
  <c r="G674" i="1"/>
  <c r="P673" i="1"/>
  <c r="O673" i="1"/>
  <c r="N673" i="1"/>
  <c r="M673" i="1"/>
  <c r="L673" i="1"/>
  <c r="K673" i="1"/>
  <c r="J673" i="1"/>
  <c r="I673" i="1"/>
  <c r="H673" i="1"/>
  <c r="G673" i="1"/>
  <c r="P672" i="1"/>
  <c r="O672" i="1"/>
  <c r="N672" i="1"/>
  <c r="M672" i="1"/>
  <c r="L672" i="1"/>
  <c r="K672" i="1"/>
  <c r="J672" i="1"/>
  <c r="I672" i="1"/>
  <c r="H672" i="1"/>
  <c r="G672" i="1"/>
  <c r="P671" i="1"/>
  <c r="O671" i="1"/>
  <c r="N671" i="1"/>
  <c r="M671" i="1"/>
  <c r="L671" i="1"/>
  <c r="K671" i="1"/>
  <c r="J671" i="1"/>
  <c r="I671" i="1"/>
  <c r="H671" i="1"/>
  <c r="G671" i="1"/>
  <c r="P670" i="1"/>
  <c r="O670" i="1"/>
  <c r="N670" i="1"/>
  <c r="M670" i="1"/>
  <c r="L670" i="1"/>
  <c r="K670" i="1"/>
  <c r="J670" i="1"/>
  <c r="I670" i="1"/>
  <c r="H670" i="1"/>
  <c r="G670" i="1"/>
  <c r="P669" i="1"/>
  <c r="O669" i="1"/>
  <c r="N669" i="1"/>
  <c r="M669" i="1"/>
  <c r="L669" i="1"/>
  <c r="K669" i="1"/>
  <c r="J669" i="1"/>
  <c r="I669" i="1"/>
  <c r="H669" i="1"/>
  <c r="G669" i="1"/>
  <c r="P668" i="1"/>
  <c r="O668" i="1"/>
  <c r="N668" i="1"/>
  <c r="M668" i="1"/>
  <c r="L668" i="1"/>
  <c r="K668" i="1"/>
  <c r="J668" i="1"/>
  <c r="I668" i="1"/>
  <c r="H668" i="1"/>
  <c r="G668" i="1"/>
  <c r="P667" i="1"/>
  <c r="O667" i="1"/>
  <c r="N667" i="1"/>
  <c r="M667" i="1"/>
  <c r="L667" i="1"/>
  <c r="K667" i="1"/>
  <c r="J667" i="1"/>
  <c r="I667" i="1"/>
  <c r="H667" i="1"/>
  <c r="G667" i="1"/>
  <c r="P666" i="1"/>
  <c r="O666" i="1"/>
  <c r="N666" i="1"/>
  <c r="M666" i="1"/>
  <c r="L666" i="1"/>
  <c r="K666" i="1"/>
  <c r="J666" i="1"/>
  <c r="I666" i="1"/>
  <c r="H666" i="1"/>
  <c r="G666" i="1"/>
  <c r="P665" i="1"/>
  <c r="O665" i="1"/>
  <c r="N665" i="1"/>
  <c r="M665" i="1"/>
  <c r="L665" i="1"/>
  <c r="K665" i="1"/>
  <c r="J665" i="1"/>
  <c r="I665" i="1"/>
  <c r="H665" i="1"/>
  <c r="G665" i="1"/>
  <c r="P664" i="1"/>
  <c r="O664" i="1"/>
  <c r="N664" i="1"/>
  <c r="M664" i="1"/>
  <c r="L664" i="1"/>
  <c r="K664" i="1"/>
  <c r="J664" i="1"/>
  <c r="I664" i="1"/>
  <c r="H664" i="1"/>
  <c r="G664" i="1"/>
  <c r="P663" i="1"/>
  <c r="O663" i="1"/>
  <c r="N663" i="1"/>
  <c r="M663" i="1"/>
  <c r="L663" i="1"/>
  <c r="K663" i="1"/>
  <c r="J663" i="1"/>
  <c r="I663" i="1"/>
  <c r="H663" i="1"/>
  <c r="G663" i="1"/>
  <c r="P662" i="1"/>
  <c r="O662" i="1"/>
  <c r="N662" i="1"/>
  <c r="M662" i="1"/>
  <c r="L662" i="1"/>
  <c r="K662" i="1"/>
  <c r="J662" i="1"/>
  <c r="I662" i="1"/>
  <c r="H662" i="1"/>
  <c r="G662" i="1"/>
  <c r="P661" i="1"/>
  <c r="O661" i="1"/>
  <c r="N661" i="1"/>
  <c r="M661" i="1"/>
  <c r="L661" i="1"/>
  <c r="K661" i="1"/>
  <c r="J661" i="1"/>
  <c r="I661" i="1"/>
  <c r="H661" i="1"/>
  <c r="G661" i="1"/>
  <c r="P660" i="1"/>
  <c r="O660" i="1"/>
  <c r="N660" i="1"/>
  <c r="M660" i="1"/>
  <c r="L660" i="1"/>
  <c r="K660" i="1"/>
  <c r="J660" i="1"/>
  <c r="I660" i="1"/>
  <c r="H660" i="1"/>
  <c r="G660" i="1"/>
  <c r="P659" i="1"/>
  <c r="O659" i="1"/>
  <c r="N659" i="1"/>
  <c r="M659" i="1"/>
  <c r="L659" i="1"/>
  <c r="K659" i="1"/>
  <c r="J659" i="1"/>
  <c r="I659" i="1"/>
  <c r="H659" i="1"/>
  <c r="G659" i="1"/>
  <c r="P658" i="1"/>
  <c r="O658" i="1"/>
  <c r="N658" i="1"/>
  <c r="M658" i="1"/>
  <c r="L658" i="1"/>
  <c r="K658" i="1"/>
  <c r="J658" i="1"/>
  <c r="I658" i="1"/>
  <c r="H658" i="1"/>
  <c r="G658" i="1"/>
  <c r="P657" i="1"/>
  <c r="O657" i="1"/>
  <c r="N657" i="1"/>
  <c r="M657" i="1"/>
  <c r="L657" i="1"/>
  <c r="K657" i="1"/>
  <c r="J657" i="1"/>
  <c r="I657" i="1"/>
  <c r="H657" i="1"/>
  <c r="G657" i="1"/>
  <c r="P656" i="1"/>
  <c r="O656" i="1"/>
  <c r="N656" i="1"/>
  <c r="M656" i="1"/>
  <c r="L656" i="1"/>
  <c r="K656" i="1"/>
  <c r="J656" i="1"/>
  <c r="I656" i="1"/>
  <c r="H656" i="1"/>
  <c r="G656" i="1"/>
  <c r="P655" i="1"/>
  <c r="O655" i="1"/>
  <c r="N655" i="1"/>
  <c r="M655" i="1"/>
  <c r="L655" i="1"/>
  <c r="K655" i="1"/>
  <c r="J655" i="1"/>
  <c r="I655" i="1"/>
  <c r="H655" i="1"/>
  <c r="G655" i="1"/>
  <c r="P654" i="1"/>
  <c r="O654" i="1"/>
  <c r="N654" i="1"/>
  <c r="M654" i="1"/>
  <c r="L654" i="1"/>
  <c r="K654" i="1"/>
  <c r="J654" i="1"/>
  <c r="I654" i="1"/>
  <c r="H654" i="1"/>
  <c r="G654" i="1"/>
  <c r="P653" i="1"/>
  <c r="O653" i="1"/>
  <c r="N653" i="1"/>
  <c r="M653" i="1"/>
  <c r="L653" i="1"/>
  <c r="K653" i="1"/>
  <c r="J653" i="1"/>
  <c r="I653" i="1"/>
  <c r="H653" i="1"/>
  <c r="G653" i="1"/>
  <c r="P652" i="1"/>
  <c r="O652" i="1"/>
  <c r="N652" i="1"/>
  <c r="M652" i="1"/>
  <c r="L652" i="1"/>
  <c r="K652" i="1"/>
  <c r="J652" i="1"/>
  <c r="I652" i="1"/>
  <c r="H652" i="1"/>
  <c r="G652" i="1"/>
  <c r="P651" i="1"/>
  <c r="O651" i="1"/>
  <c r="N651" i="1"/>
  <c r="M651" i="1"/>
  <c r="L651" i="1"/>
  <c r="K651" i="1"/>
  <c r="J651" i="1"/>
  <c r="I651" i="1"/>
  <c r="H651" i="1"/>
  <c r="G651" i="1"/>
  <c r="P650" i="1"/>
  <c r="O650" i="1"/>
  <c r="N650" i="1"/>
  <c r="M650" i="1"/>
  <c r="L650" i="1"/>
  <c r="K650" i="1"/>
  <c r="J650" i="1"/>
  <c r="I650" i="1"/>
  <c r="H650" i="1"/>
  <c r="G650" i="1"/>
  <c r="P649" i="1"/>
  <c r="O649" i="1"/>
  <c r="N649" i="1"/>
  <c r="M649" i="1"/>
  <c r="L649" i="1"/>
  <c r="K649" i="1"/>
  <c r="J649" i="1"/>
  <c r="I649" i="1"/>
  <c r="H649" i="1"/>
  <c r="G649" i="1"/>
  <c r="P648" i="1"/>
  <c r="O648" i="1"/>
  <c r="N648" i="1"/>
  <c r="M648" i="1"/>
  <c r="L648" i="1"/>
  <c r="K648" i="1"/>
  <c r="J648" i="1"/>
  <c r="I648" i="1"/>
  <c r="H648" i="1"/>
  <c r="G648" i="1"/>
  <c r="P647" i="1"/>
  <c r="O647" i="1"/>
  <c r="N647" i="1"/>
  <c r="M647" i="1"/>
  <c r="L647" i="1"/>
  <c r="K647" i="1"/>
  <c r="J647" i="1"/>
  <c r="I647" i="1"/>
  <c r="H647" i="1"/>
  <c r="G647" i="1"/>
  <c r="P646" i="1"/>
  <c r="O646" i="1"/>
  <c r="N646" i="1"/>
  <c r="M646" i="1"/>
  <c r="L646" i="1"/>
  <c r="K646" i="1"/>
  <c r="J646" i="1"/>
  <c r="I646" i="1"/>
  <c r="H646" i="1"/>
  <c r="G646" i="1"/>
  <c r="P645" i="1"/>
  <c r="O645" i="1"/>
  <c r="N645" i="1"/>
  <c r="M645" i="1"/>
  <c r="L645" i="1"/>
  <c r="K645" i="1"/>
  <c r="J645" i="1"/>
  <c r="I645" i="1"/>
  <c r="H645" i="1"/>
  <c r="G645" i="1"/>
  <c r="P644" i="1"/>
  <c r="O644" i="1"/>
  <c r="N644" i="1"/>
  <c r="M644" i="1"/>
  <c r="L644" i="1"/>
  <c r="K644" i="1"/>
  <c r="J644" i="1"/>
  <c r="I644" i="1"/>
  <c r="H644" i="1"/>
  <c r="G644" i="1"/>
  <c r="P643" i="1"/>
  <c r="O643" i="1"/>
  <c r="N643" i="1"/>
  <c r="M643" i="1"/>
  <c r="L643" i="1"/>
  <c r="K643" i="1"/>
  <c r="J643" i="1"/>
  <c r="I643" i="1"/>
  <c r="H643" i="1"/>
  <c r="G643" i="1"/>
  <c r="P642" i="1"/>
  <c r="O642" i="1"/>
  <c r="N642" i="1"/>
  <c r="M642" i="1"/>
  <c r="L642" i="1"/>
  <c r="K642" i="1"/>
  <c r="J642" i="1"/>
  <c r="I642" i="1"/>
  <c r="H642" i="1"/>
  <c r="G642" i="1"/>
  <c r="P641" i="1"/>
  <c r="O641" i="1"/>
  <c r="N641" i="1"/>
  <c r="M641" i="1"/>
  <c r="L641" i="1"/>
  <c r="K641" i="1"/>
  <c r="J641" i="1"/>
  <c r="I641" i="1"/>
  <c r="H641" i="1"/>
  <c r="G641" i="1"/>
  <c r="P640" i="1"/>
  <c r="O640" i="1"/>
  <c r="N640" i="1"/>
  <c r="M640" i="1"/>
  <c r="L640" i="1"/>
  <c r="K640" i="1"/>
  <c r="J640" i="1"/>
  <c r="I640" i="1"/>
  <c r="H640" i="1"/>
  <c r="G640" i="1"/>
  <c r="P639" i="1"/>
  <c r="O639" i="1"/>
  <c r="N639" i="1"/>
  <c r="M639" i="1"/>
  <c r="L639" i="1"/>
  <c r="K639" i="1"/>
  <c r="J639" i="1"/>
  <c r="I639" i="1"/>
  <c r="H639" i="1"/>
  <c r="G639" i="1"/>
  <c r="P638" i="1"/>
  <c r="O638" i="1"/>
  <c r="N638" i="1"/>
  <c r="M638" i="1"/>
  <c r="L638" i="1"/>
  <c r="K638" i="1"/>
  <c r="J638" i="1"/>
  <c r="I638" i="1"/>
  <c r="H638" i="1"/>
  <c r="G638" i="1"/>
  <c r="P637" i="1"/>
  <c r="O637" i="1"/>
  <c r="N637" i="1"/>
  <c r="M637" i="1"/>
  <c r="L637" i="1"/>
  <c r="K637" i="1"/>
  <c r="J637" i="1"/>
  <c r="I637" i="1"/>
  <c r="H637" i="1"/>
  <c r="G637" i="1"/>
  <c r="P636" i="1"/>
  <c r="O636" i="1"/>
  <c r="N636" i="1"/>
  <c r="M636" i="1"/>
  <c r="L636" i="1"/>
  <c r="K636" i="1"/>
  <c r="J636" i="1"/>
  <c r="I636" i="1"/>
  <c r="H636" i="1"/>
  <c r="G636" i="1"/>
  <c r="P635" i="1"/>
  <c r="O635" i="1"/>
  <c r="N635" i="1"/>
  <c r="M635" i="1"/>
  <c r="L635" i="1"/>
  <c r="K635" i="1"/>
  <c r="J635" i="1"/>
  <c r="I635" i="1"/>
  <c r="H635" i="1"/>
  <c r="G635" i="1"/>
  <c r="P634" i="1"/>
  <c r="O634" i="1"/>
  <c r="N634" i="1"/>
  <c r="M634" i="1"/>
  <c r="L634" i="1"/>
  <c r="K634" i="1"/>
  <c r="J634" i="1"/>
  <c r="I634" i="1"/>
  <c r="H634" i="1"/>
  <c r="G634" i="1"/>
  <c r="P633" i="1"/>
  <c r="O633" i="1"/>
  <c r="N633" i="1"/>
  <c r="M633" i="1"/>
  <c r="L633" i="1"/>
  <c r="K633" i="1"/>
  <c r="J633" i="1"/>
  <c r="I633" i="1"/>
  <c r="H633" i="1"/>
  <c r="G633" i="1"/>
  <c r="P632" i="1"/>
  <c r="O632" i="1"/>
  <c r="N632" i="1"/>
  <c r="M632" i="1"/>
  <c r="L632" i="1"/>
  <c r="K632" i="1"/>
  <c r="J632" i="1"/>
  <c r="I632" i="1"/>
  <c r="H632" i="1"/>
  <c r="G632" i="1"/>
  <c r="P631" i="1"/>
  <c r="O631" i="1"/>
  <c r="N631" i="1"/>
  <c r="M631" i="1"/>
  <c r="L631" i="1"/>
  <c r="K631" i="1"/>
  <c r="J631" i="1"/>
  <c r="I631" i="1"/>
  <c r="H631" i="1"/>
  <c r="G631" i="1"/>
  <c r="P630" i="1"/>
  <c r="O630" i="1"/>
  <c r="N630" i="1"/>
  <c r="M630" i="1"/>
  <c r="L630" i="1"/>
  <c r="K630" i="1"/>
  <c r="J630" i="1"/>
  <c r="I630" i="1"/>
  <c r="H630" i="1"/>
  <c r="G630" i="1"/>
  <c r="P629" i="1"/>
  <c r="O629" i="1"/>
  <c r="N629" i="1"/>
  <c r="M629" i="1"/>
  <c r="L629" i="1"/>
  <c r="K629" i="1"/>
  <c r="J629" i="1"/>
  <c r="I629" i="1"/>
  <c r="H629" i="1"/>
  <c r="G629" i="1"/>
  <c r="P628" i="1"/>
  <c r="O628" i="1"/>
  <c r="N628" i="1"/>
  <c r="M628" i="1"/>
  <c r="L628" i="1"/>
  <c r="K628" i="1"/>
  <c r="J628" i="1"/>
  <c r="I628" i="1"/>
  <c r="H628" i="1"/>
  <c r="G628" i="1"/>
  <c r="P627" i="1"/>
  <c r="O627" i="1"/>
  <c r="N627" i="1"/>
  <c r="M627" i="1"/>
  <c r="L627" i="1"/>
  <c r="K627" i="1"/>
  <c r="J627" i="1"/>
  <c r="I627" i="1"/>
  <c r="H627" i="1"/>
  <c r="G627" i="1"/>
  <c r="P626" i="1"/>
  <c r="O626" i="1"/>
  <c r="N626" i="1"/>
  <c r="M626" i="1"/>
  <c r="L626" i="1"/>
  <c r="K626" i="1"/>
  <c r="J626" i="1"/>
  <c r="I626" i="1"/>
  <c r="H626" i="1"/>
  <c r="G626" i="1"/>
  <c r="P625" i="1"/>
  <c r="O625" i="1"/>
  <c r="N625" i="1"/>
  <c r="M625" i="1"/>
  <c r="L625" i="1"/>
  <c r="K625" i="1"/>
  <c r="J625" i="1"/>
  <c r="I625" i="1"/>
  <c r="H625" i="1"/>
  <c r="G625" i="1"/>
  <c r="P624" i="1"/>
  <c r="O624" i="1"/>
  <c r="N624" i="1"/>
  <c r="M624" i="1"/>
  <c r="L624" i="1"/>
  <c r="K624" i="1"/>
  <c r="J624" i="1"/>
  <c r="I624" i="1"/>
  <c r="H624" i="1"/>
  <c r="G624" i="1"/>
  <c r="P623" i="1"/>
  <c r="O623" i="1"/>
  <c r="N623" i="1"/>
  <c r="M623" i="1"/>
  <c r="L623" i="1"/>
  <c r="K623" i="1"/>
  <c r="J623" i="1"/>
  <c r="I623" i="1"/>
  <c r="H623" i="1"/>
  <c r="G623" i="1"/>
  <c r="P622" i="1"/>
  <c r="O622" i="1"/>
  <c r="N622" i="1"/>
  <c r="M622" i="1"/>
  <c r="L622" i="1"/>
  <c r="K622" i="1"/>
  <c r="J622" i="1"/>
  <c r="I622" i="1"/>
  <c r="H622" i="1"/>
  <c r="G622" i="1"/>
  <c r="P621" i="1"/>
  <c r="O621" i="1"/>
  <c r="N621" i="1"/>
  <c r="M621" i="1"/>
  <c r="L621" i="1"/>
  <c r="K621" i="1"/>
  <c r="J621" i="1"/>
  <c r="I621" i="1"/>
  <c r="H621" i="1"/>
  <c r="G621" i="1"/>
  <c r="P620" i="1"/>
  <c r="O620" i="1"/>
  <c r="N620" i="1"/>
  <c r="M620" i="1"/>
  <c r="L620" i="1"/>
  <c r="K620" i="1"/>
  <c r="J620" i="1"/>
  <c r="I620" i="1"/>
  <c r="H620" i="1"/>
  <c r="G620" i="1"/>
  <c r="P619" i="1"/>
  <c r="O619" i="1"/>
  <c r="N619" i="1"/>
  <c r="M619" i="1"/>
  <c r="L619" i="1"/>
  <c r="K619" i="1"/>
  <c r="J619" i="1"/>
  <c r="I619" i="1"/>
  <c r="H619" i="1"/>
  <c r="G619" i="1"/>
  <c r="P618" i="1"/>
  <c r="O618" i="1"/>
  <c r="N618" i="1"/>
  <c r="M618" i="1"/>
  <c r="L618" i="1"/>
  <c r="K618" i="1"/>
  <c r="J618" i="1"/>
  <c r="I618" i="1"/>
  <c r="H618" i="1"/>
  <c r="G618" i="1"/>
  <c r="P617" i="1"/>
  <c r="O617" i="1"/>
  <c r="N617" i="1"/>
  <c r="M617" i="1"/>
  <c r="L617" i="1"/>
  <c r="K617" i="1"/>
  <c r="J617" i="1"/>
  <c r="I617" i="1"/>
  <c r="H617" i="1"/>
  <c r="G617" i="1"/>
  <c r="P616" i="1"/>
  <c r="O616" i="1"/>
  <c r="N616" i="1"/>
  <c r="M616" i="1"/>
  <c r="L616" i="1"/>
  <c r="K616" i="1"/>
  <c r="J616" i="1"/>
  <c r="I616" i="1"/>
  <c r="H616" i="1"/>
  <c r="G616" i="1"/>
  <c r="P615" i="1"/>
  <c r="O615" i="1"/>
  <c r="N615" i="1"/>
  <c r="M615" i="1"/>
  <c r="L615" i="1"/>
  <c r="K615" i="1"/>
  <c r="J615" i="1"/>
  <c r="I615" i="1"/>
  <c r="H615" i="1"/>
  <c r="G615" i="1"/>
  <c r="P614" i="1"/>
  <c r="O614" i="1"/>
  <c r="N614" i="1"/>
  <c r="M614" i="1"/>
  <c r="L614" i="1"/>
  <c r="K614" i="1"/>
  <c r="J614" i="1"/>
  <c r="I614" i="1"/>
  <c r="H614" i="1"/>
  <c r="G614" i="1"/>
  <c r="P613" i="1"/>
  <c r="O613" i="1"/>
  <c r="N613" i="1"/>
  <c r="M613" i="1"/>
  <c r="L613" i="1"/>
  <c r="K613" i="1"/>
  <c r="J613" i="1"/>
  <c r="I613" i="1"/>
  <c r="H613" i="1"/>
  <c r="G613" i="1"/>
  <c r="P612" i="1"/>
  <c r="O612" i="1"/>
  <c r="N612" i="1"/>
  <c r="M612" i="1"/>
  <c r="L612" i="1"/>
  <c r="K612" i="1"/>
  <c r="J612" i="1"/>
  <c r="I612" i="1"/>
  <c r="H612" i="1"/>
  <c r="G612" i="1"/>
  <c r="P611" i="1"/>
  <c r="O611" i="1"/>
  <c r="N611" i="1"/>
  <c r="M611" i="1"/>
  <c r="L611" i="1"/>
  <c r="K611" i="1"/>
  <c r="J611" i="1"/>
  <c r="I611" i="1"/>
  <c r="H611" i="1"/>
  <c r="G611" i="1"/>
  <c r="P610" i="1"/>
  <c r="O610" i="1"/>
  <c r="N610" i="1"/>
  <c r="M610" i="1"/>
  <c r="L610" i="1"/>
  <c r="K610" i="1"/>
  <c r="J610" i="1"/>
  <c r="I610" i="1"/>
  <c r="H610" i="1"/>
  <c r="G610" i="1"/>
  <c r="P609" i="1"/>
  <c r="O609" i="1"/>
  <c r="N609" i="1"/>
  <c r="M609" i="1"/>
  <c r="L609" i="1"/>
  <c r="K609" i="1"/>
  <c r="J609" i="1"/>
  <c r="I609" i="1"/>
  <c r="H609" i="1"/>
  <c r="G609" i="1"/>
  <c r="P608" i="1"/>
  <c r="O608" i="1"/>
  <c r="N608" i="1"/>
  <c r="M608" i="1"/>
  <c r="L608" i="1"/>
  <c r="K608" i="1"/>
  <c r="J608" i="1"/>
  <c r="I608" i="1"/>
  <c r="H608" i="1"/>
  <c r="G608" i="1"/>
  <c r="P607" i="1"/>
  <c r="O607" i="1"/>
  <c r="N607" i="1"/>
  <c r="M607" i="1"/>
  <c r="L607" i="1"/>
  <c r="K607" i="1"/>
  <c r="J607" i="1"/>
  <c r="I607" i="1"/>
  <c r="H607" i="1"/>
  <c r="G607" i="1"/>
  <c r="P606" i="1"/>
  <c r="O606" i="1"/>
  <c r="N606" i="1"/>
  <c r="M606" i="1"/>
  <c r="L606" i="1"/>
  <c r="K606" i="1"/>
  <c r="J606" i="1"/>
  <c r="I606" i="1"/>
  <c r="H606" i="1"/>
  <c r="G606" i="1"/>
  <c r="P605" i="1"/>
  <c r="O605" i="1"/>
  <c r="N605" i="1"/>
  <c r="M605" i="1"/>
  <c r="L605" i="1"/>
  <c r="K605" i="1"/>
  <c r="J605" i="1"/>
  <c r="I605" i="1"/>
  <c r="H605" i="1"/>
  <c r="G605" i="1"/>
  <c r="P604" i="1"/>
  <c r="O604" i="1"/>
  <c r="N604" i="1"/>
  <c r="M604" i="1"/>
  <c r="L604" i="1"/>
  <c r="K604" i="1"/>
  <c r="J604" i="1"/>
  <c r="I604" i="1"/>
  <c r="H604" i="1"/>
  <c r="G604" i="1"/>
  <c r="P603" i="1"/>
  <c r="O603" i="1"/>
  <c r="N603" i="1"/>
  <c r="M603" i="1"/>
  <c r="L603" i="1"/>
  <c r="K603" i="1"/>
  <c r="J603" i="1"/>
  <c r="I603" i="1"/>
  <c r="H603" i="1"/>
  <c r="G603" i="1"/>
  <c r="P602" i="1"/>
  <c r="O602" i="1"/>
  <c r="N602" i="1"/>
  <c r="M602" i="1"/>
  <c r="L602" i="1"/>
  <c r="K602" i="1"/>
  <c r="J602" i="1"/>
  <c r="I602" i="1"/>
  <c r="H602" i="1"/>
  <c r="G602" i="1"/>
  <c r="P601" i="1"/>
  <c r="O601" i="1"/>
  <c r="N601" i="1"/>
  <c r="M601" i="1"/>
  <c r="L601" i="1"/>
  <c r="K601" i="1"/>
  <c r="J601" i="1"/>
  <c r="I601" i="1"/>
  <c r="H601" i="1"/>
  <c r="G601" i="1"/>
  <c r="P600" i="1"/>
  <c r="O600" i="1"/>
  <c r="N600" i="1"/>
  <c r="M600" i="1"/>
  <c r="L600" i="1"/>
  <c r="K600" i="1"/>
  <c r="J600" i="1"/>
  <c r="I600" i="1"/>
  <c r="H600" i="1"/>
  <c r="G600" i="1"/>
  <c r="P599" i="1"/>
  <c r="O599" i="1"/>
  <c r="N599" i="1"/>
  <c r="M599" i="1"/>
  <c r="L599" i="1"/>
  <c r="K599" i="1"/>
  <c r="J599" i="1"/>
  <c r="I599" i="1"/>
  <c r="H599" i="1"/>
  <c r="G599" i="1"/>
  <c r="P598" i="1"/>
  <c r="O598" i="1"/>
  <c r="N598" i="1"/>
  <c r="M598" i="1"/>
  <c r="L598" i="1"/>
  <c r="K598" i="1"/>
  <c r="J598" i="1"/>
  <c r="I598" i="1"/>
  <c r="H598" i="1"/>
  <c r="G598" i="1"/>
  <c r="P597" i="1"/>
  <c r="O597" i="1"/>
  <c r="N597" i="1"/>
  <c r="M597" i="1"/>
  <c r="L597" i="1"/>
  <c r="K597" i="1"/>
  <c r="J597" i="1"/>
  <c r="I597" i="1"/>
  <c r="H597" i="1"/>
  <c r="G597" i="1"/>
  <c r="P596" i="1"/>
  <c r="O596" i="1"/>
  <c r="N596" i="1"/>
  <c r="M596" i="1"/>
  <c r="L596" i="1"/>
  <c r="K596" i="1"/>
  <c r="J596" i="1"/>
  <c r="I596" i="1"/>
  <c r="H596" i="1"/>
  <c r="G596" i="1"/>
  <c r="P595" i="1"/>
  <c r="O595" i="1"/>
  <c r="N595" i="1"/>
  <c r="M595" i="1"/>
  <c r="L595" i="1"/>
  <c r="K595" i="1"/>
  <c r="J595" i="1"/>
  <c r="I595" i="1"/>
  <c r="H595" i="1"/>
  <c r="G595" i="1"/>
  <c r="P594" i="1"/>
  <c r="O594" i="1"/>
  <c r="N594" i="1"/>
  <c r="M594" i="1"/>
  <c r="L594" i="1"/>
  <c r="K594" i="1"/>
  <c r="J594" i="1"/>
  <c r="I594" i="1"/>
  <c r="H594" i="1"/>
  <c r="G594" i="1"/>
  <c r="P593" i="1"/>
  <c r="O593" i="1"/>
  <c r="N593" i="1"/>
  <c r="M593" i="1"/>
  <c r="L593" i="1"/>
  <c r="K593" i="1"/>
  <c r="J593" i="1"/>
  <c r="I593" i="1"/>
  <c r="H593" i="1"/>
  <c r="G593" i="1"/>
  <c r="P592" i="1"/>
  <c r="O592" i="1"/>
  <c r="N592" i="1"/>
  <c r="M592" i="1"/>
  <c r="L592" i="1"/>
  <c r="K592" i="1"/>
  <c r="J592" i="1"/>
  <c r="I592" i="1"/>
  <c r="H592" i="1"/>
  <c r="G592" i="1"/>
  <c r="P591" i="1"/>
  <c r="O591" i="1"/>
  <c r="N591" i="1"/>
  <c r="M591" i="1"/>
  <c r="L591" i="1"/>
  <c r="K591" i="1"/>
  <c r="J591" i="1"/>
  <c r="I591" i="1"/>
  <c r="H591" i="1"/>
  <c r="G591" i="1"/>
  <c r="P590" i="1"/>
  <c r="O590" i="1"/>
  <c r="N590" i="1"/>
  <c r="M590" i="1"/>
  <c r="L590" i="1"/>
  <c r="K590" i="1"/>
  <c r="J590" i="1"/>
  <c r="I590" i="1"/>
  <c r="H590" i="1"/>
  <c r="G590" i="1"/>
  <c r="P589" i="1"/>
  <c r="O589" i="1"/>
  <c r="N589" i="1"/>
  <c r="M589" i="1"/>
  <c r="L589" i="1"/>
  <c r="K589" i="1"/>
  <c r="J589" i="1"/>
  <c r="I589" i="1"/>
  <c r="H589" i="1"/>
  <c r="G589" i="1"/>
  <c r="P588" i="1"/>
  <c r="O588" i="1"/>
  <c r="N588" i="1"/>
  <c r="M588" i="1"/>
  <c r="L588" i="1"/>
  <c r="K588" i="1"/>
  <c r="J588" i="1"/>
  <c r="I588" i="1"/>
  <c r="H588" i="1"/>
  <c r="G588" i="1"/>
  <c r="P587" i="1"/>
  <c r="O587" i="1"/>
  <c r="N587" i="1"/>
  <c r="M587" i="1"/>
  <c r="L587" i="1"/>
  <c r="K587" i="1"/>
  <c r="J587" i="1"/>
  <c r="I587" i="1"/>
  <c r="H587" i="1"/>
  <c r="G587" i="1"/>
  <c r="P586" i="1"/>
  <c r="O586" i="1"/>
  <c r="N586" i="1"/>
  <c r="M586" i="1"/>
  <c r="L586" i="1"/>
  <c r="K586" i="1"/>
  <c r="J586" i="1"/>
  <c r="I586" i="1"/>
  <c r="H586" i="1"/>
  <c r="G586" i="1"/>
  <c r="P585" i="1"/>
  <c r="O585" i="1"/>
  <c r="N585" i="1"/>
  <c r="M585" i="1"/>
  <c r="L585" i="1"/>
  <c r="K585" i="1"/>
  <c r="J585" i="1"/>
  <c r="I585" i="1"/>
  <c r="H585" i="1"/>
  <c r="G585" i="1"/>
  <c r="P584" i="1"/>
  <c r="O584" i="1"/>
  <c r="N584" i="1"/>
  <c r="M584" i="1"/>
  <c r="L584" i="1"/>
  <c r="K584" i="1"/>
  <c r="J584" i="1"/>
  <c r="I584" i="1"/>
  <c r="H584" i="1"/>
  <c r="G584" i="1"/>
  <c r="P583" i="1"/>
  <c r="O583" i="1"/>
  <c r="N583" i="1"/>
  <c r="M583" i="1"/>
  <c r="L583" i="1"/>
  <c r="K583" i="1"/>
  <c r="J583" i="1"/>
  <c r="I583" i="1"/>
  <c r="H583" i="1"/>
  <c r="G583" i="1"/>
  <c r="P582" i="1"/>
  <c r="O582" i="1"/>
  <c r="N582" i="1"/>
  <c r="M582" i="1"/>
  <c r="L582" i="1"/>
  <c r="K582" i="1"/>
  <c r="J582" i="1"/>
  <c r="I582" i="1"/>
  <c r="H582" i="1"/>
  <c r="G582" i="1"/>
  <c r="P581" i="1"/>
  <c r="O581" i="1"/>
  <c r="N581" i="1"/>
  <c r="M581" i="1"/>
  <c r="L581" i="1"/>
  <c r="K581" i="1"/>
  <c r="J581" i="1"/>
  <c r="I581" i="1"/>
  <c r="H581" i="1"/>
  <c r="G581" i="1"/>
  <c r="P580" i="1"/>
  <c r="O580" i="1"/>
  <c r="N580" i="1"/>
  <c r="M580" i="1"/>
  <c r="L580" i="1"/>
  <c r="K580" i="1"/>
  <c r="J580" i="1"/>
  <c r="I580" i="1"/>
  <c r="H580" i="1"/>
  <c r="G580" i="1"/>
  <c r="P579" i="1"/>
  <c r="O579" i="1"/>
  <c r="N579" i="1"/>
  <c r="M579" i="1"/>
  <c r="L579" i="1"/>
  <c r="K579" i="1"/>
  <c r="J579" i="1"/>
  <c r="I579" i="1"/>
  <c r="H579" i="1"/>
  <c r="G579" i="1"/>
  <c r="P578" i="1"/>
  <c r="O578" i="1"/>
  <c r="N578" i="1"/>
  <c r="M578" i="1"/>
  <c r="L578" i="1"/>
  <c r="K578" i="1"/>
  <c r="J578" i="1"/>
  <c r="I578" i="1"/>
  <c r="H578" i="1"/>
  <c r="G578" i="1"/>
  <c r="P577" i="1"/>
  <c r="O577" i="1"/>
  <c r="N577" i="1"/>
  <c r="M577" i="1"/>
  <c r="L577" i="1"/>
  <c r="K577" i="1"/>
  <c r="J577" i="1"/>
  <c r="I577" i="1"/>
  <c r="H577" i="1"/>
  <c r="G577" i="1"/>
  <c r="P576" i="1"/>
  <c r="O576" i="1"/>
  <c r="N576" i="1"/>
  <c r="M576" i="1"/>
  <c r="L576" i="1"/>
  <c r="K576" i="1"/>
  <c r="J576" i="1"/>
  <c r="I576" i="1"/>
  <c r="H576" i="1"/>
  <c r="G576" i="1"/>
  <c r="P575" i="1"/>
  <c r="O575" i="1"/>
  <c r="N575" i="1"/>
  <c r="M575" i="1"/>
  <c r="L575" i="1"/>
  <c r="K575" i="1"/>
  <c r="J575" i="1"/>
  <c r="I575" i="1"/>
  <c r="H575" i="1"/>
  <c r="G575" i="1"/>
  <c r="P574" i="1"/>
  <c r="O574" i="1"/>
  <c r="N574" i="1"/>
  <c r="M574" i="1"/>
  <c r="L574" i="1"/>
  <c r="K574" i="1"/>
  <c r="J574" i="1"/>
  <c r="I574" i="1"/>
  <c r="H574" i="1"/>
  <c r="G574" i="1"/>
  <c r="P573" i="1"/>
  <c r="O573" i="1"/>
  <c r="N573" i="1"/>
  <c r="M573" i="1"/>
  <c r="L573" i="1"/>
  <c r="K573" i="1"/>
  <c r="J573" i="1"/>
  <c r="I573" i="1"/>
  <c r="H573" i="1"/>
  <c r="G573" i="1"/>
  <c r="P572" i="1"/>
  <c r="O572" i="1"/>
  <c r="N572" i="1"/>
  <c r="M572" i="1"/>
  <c r="L572" i="1"/>
  <c r="K572" i="1"/>
  <c r="J572" i="1"/>
  <c r="I572" i="1"/>
  <c r="H572" i="1"/>
  <c r="G572" i="1"/>
  <c r="P571" i="1"/>
  <c r="O571" i="1"/>
  <c r="N571" i="1"/>
  <c r="M571" i="1"/>
  <c r="L571" i="1"/>
  <c r="K571" i="1"/>
  <c r="J571" i="1"/>
  <c r="I571" i="1"/>
  <c r="H571" i="1"/>
  <c r="G571" i="1"/>
  <c r="P570" i="1"/>
  <c r="O570" i="1"/>
  <c r="N570" i="1"/>
  <c r="M570" i="1"/>
  <c r="L570" i="1"/>
  <c r="K570" i="1"/>
  <c r="J570" i="1"/>
  <c r="I570" i="1"/>
  <c r="H570" i="1"/>
  <c r="G570" i="1"/>
  <c r="P569" i="1"/>
  <c r="O569" i="1"/>
  <c r="N569" i="1"/>
  <c r="M569" i="1"/>
  <c r="L569" i="1"/>
  <c r="K569" i="1"/>
  <c r="J569" i="1"/>
  <c r="I569" i="1"/>
  <c r="H569" i="1"/>
  <c r="G569" i="1"/>
  <c r="P568" i="1"/>
  <c r="O568" i="1"/>
  <c r="N568" i="1"/>
  <c r="M568" i="1"/>
  <c r="L568" i="1"/>
  <c r="K568" i="1"/>
  <c r="J568" i="1"/>
  <c r="I568" i="1"/>
  <c r="H568" i="1"/>
  <c r="G568" i="1"/>
  <c r="P567" i="1"/>
  <c r="O567" i="1"/>
  <c r="N567" i="1"/>
  <c r="M567" i="1"/>
  <c r="L567" i="1"/>
  <c r="K567" i="1"/>
  <c r="J567" i="1"/>
  <c r="I567" i="1"/>
  <c r="H567" i="1"/>
  <c r="G567" i="1"/>
  <c r="P566" i="1"/>
  <c r="O566" i="1"/>
  <c r="N566" i="1"/>
  <c r="M566" i="1"/>
  <c r="L566" i="1"/>
  <c r="K566" i="1"/>
  <c r="J566" i="1"/>
  <c r="I566" i="1"/>
  <c r="H566" i="1"/>
  <c r="G566" i="1"/>
  <c r="P565" i="1"/>
  <c r="O565" i="1"/>
  <c r="N565" i="1"/>
  <c r="M565" i="1"/>
  <c r="L565" i="1"/>
  <c r="K565" i="1"/>
  <c r="J565" i="1"/>
  <c r="I565" i="1"/>
  <c r="H565" i="1"/>
  <c r="G565" i="1"/>
  <c r="P564" i="1"/>
  <c r="O564" i="1"/>
  <c r="N564" i="1"/>
  <c r="M564" i="1"/>
  <c r="L564" i="1"/>
  <c r="K564" i="1"/>
  <c r="J564" i="1"/>
  <c r="I564" i="1"/>
  <c r="H564" i="1"/>
  <c r="G564" i="1"/>
  <c r="P563" i="1"/>
  <c r="O563" i="1"/>
  <c r="N563" i="1"/>
  <c r="M563" i="1"/>
  <c r="L563" i="1"/>
  <c r="K563" i="1"/>
  <c r="J563" i="1"/>
  <c r="I563" i="1"/>
  <c r="H563" i="1"/>
  <c r="G563" i="1"/>
  <c r="P562" i="1"/>
  <c r="O562" i="1"/>
  <c r="N562" i="1"/>
  <c r="M562" i="1"/>
  <c r="L562" i="1"/>
  <c r="K562" i="1"/>
  <c r="J562" i="1"/>
  <c r="I562" i="1"/>
  <c r="H562" i="1"/>
  <c r="G562" i="1"/>
  <c r="P561" i="1"/>
  <c r="O561" i="1"/>
  <c r="N561" i="1"/>
  <c r="M561" i="1"/>
  <c r="L561" i="1"/>
  <c r="K561" i="1"/>
  <c r="J561" i="1"/>
  <c r="I561" i="1"/>
  <c r="H561" i="1"/>
  <c r="G561" i="1"/>
  <c r="P560" i="1"/>
  <c r="O560" i="1"/>
  <c r="N560" i="1"/>
  <c r="M560" i="1"/>
  <c r="L560" i="1"/>
  <c r="K560" i="1"/>
  <c r="J560" i="1"/>
  <c r="I560" i="1"/>
  <c r="H560" i="1"/>
  <c r="G560" i="1"/>
  <c r="P559" i="1"/>
  <c r="O559" i="1"/>
  <c r="N559" i="1"/>
  <c r="M559" i="1"/>
  <c r="L559" i="1"/>
  <c r="K559" i="1"/>
  <c r="J559" i="1"/>
  <c r="I559" i="1"/>
  <c r="H559" i="1"/>
  <c r="G559" i="1"/>
  <c r="P558" i="1"/>
  <c r="O558" i="1"/>
  <c r="N558" i="1"/>
  <c r="M558" i="1"/>
  <c r="L558" i="1"/>
  <c r="K558" i="1"/>
  <c r="J558" i="1"/>
  <c r="I558" i="1"/>
  <c r="H558" i="1"/>
  <c r="G558" i="1"/>
  <c r="P557" i="1"/>
  <c r="O557" i="1"/>
  <c r="N557" i="1"/>
  <c r="M557" i="1"/>
  <c r="L557" i="1"/>
  <c r="K557" i="1"/>
  <c r="J557" i="1"/>
  <c r="I557" i="1"/>
  <c r="H557" i="1"/>
  <c r="G557" i="1"/>
  <c r="P556" i="1"/>
  <c r="O556" i="1"/>
  <c r="N556" i="1"/>
  <c r="M556" i="1"/>
  <c r="L556" i="1"/>
  <c r="K556" i="1"/>
  <c r="J556" i="1"/>
  <c r="I556" i="1"/>
  <c r="H556" i="1"/>
  <c r="G556" i="1"/>
  <c r="P555" i="1"/>
  <c r="O555" i="1"/>
  <c r="N555" i="1"/>
  <c r="M555" i="1"/>
  <c r="L555" i="1"/>
  <c r="K555" i="1"/>
  <c r="J555" i="1"/>
  <c r="I555" i="1"/>
  <c r="H555" i="1"/>
  <c r="G555" i="1"/>
  <c r="P554" i="1"/>
  <c r="O554" i="1"/>
  <c r="N554" i="1"/>
  <c r="M554" i="1"/>
  <c r="L554" i="1"/>
  <c r="K554" i="1"/>
  <c r="J554" i="1"/>
  <c r="I554" i="1"/>
  <c r="H554" i="1"/>
  <c r="G554" i="1"/>
  <c r="P553" i="1"/>
  <c r="O553" i="1"/>
  <c r="N553" i="1"/>
  <c r="M553" i="1"/>
  <c r="L553" i="1"/>
  <c r="K553" i="1"/>
  <c r="J553" i="1"/>
  <c r="I553" i="1"/>
  <c r="H553" i="1"/>
  <c r="G553" i="1"/>
  <c r="P552" i="1"/>
  <c r="O552" i="1"/>
  <c r="N552" i="1"/>
  <c r="M552" i="1"/>
  <c r="L552" i="1"/>
  <c r="K552" i="1"/>
  <c r="J552" i="1"/>
  <c r="I552" i="1"/>
  <c r="H552" i="1"/>
  <c r="G552" i="1"/>
  <c r="P551" i="1"/>
  <c r="O551" i="1"/>
  <c r="N551" i="1"/>
  <c r="M551" i="1"/>
  <c r="L551" i="1"/>
  <c r="K551" i="1"/>
  <c r="J551" i="1"/>
  <c r="I551" i="1"/>
  <c r="H551" i="1"/>
  <c r="G551" i="1"/>
  <c r="P550" i="1"/>
  <c r="O550" i="1"/>
  <c r="N550" i="1"/>
  <c r="M550" i="1"/>
  <c r="L550" i="1"/>
  <c r="K550" i="1"/>
  <c r="J550" i="1"/>
  <c r="I550" i="1"/>
  <c r="H550" i="1"/>
  <c r="G550" i="1"/>
  <c r="P549" i="1"/>
  <c r="O549" i="1"/>
  <c r="N549" i="1"/>
  <c r="M549" i="1"/>
  <c r="L549" i="1"/>
  <c r="K549" i="1"/>
  <c r="J549" i="1"/>
  <c r="I549" i="1"/>
  <c r="H549" i="1"/>
  <c r="G549" i="1"/>
  <c r="P548" i="1"/>
  <c r="O548" i="1"/>
  <c r="N548" i="1"/>
  <c r="M548" i="1"/>
  <c r="L548" i="1"/>
  <c r="K548" i="1"/>
  <c r="J548" i="1"/>
  <c r="I548" i="1"/>
  <c r="H548" i="1"/>
  <c r="G548" i="1"/>
  <c r="P547" i="1"/>
  <c r="O547" i="1"/>
  <c r="N547" i="1"/>
  <c r="M547" i="1"/>
  <c r="L547" i="1"/>
  <c r="K547" i="1"/>
  <c r="J547" i="1"/>
  <c r="I547" i="1"/>
  <c r="H547" i="1"/>
  <c r="G547" i="1"/>
  <c r="P546" i="1"/>
  <c r="O546" i="1"/>
  <c r="N546" i="1"/>
  <c r="M546" i="1"/>
  <c r="L546" i="1"/>
  <c r="K546" i="1"/>
  <c r="J546" i="1"/>
  <c r="I546" i="1"/>
  <c r="H546" i="1"/>
  <c r="G546" i="1"/>
  <c r="P545" i="1"/>
  <c r="O545" i="1"/>
  <c r="N545" i="1"/>
  <c r="M545" i="1"/>
  <c r="L545" i="1"/>
  <c r="K545" i="1"/>
  <c r="J545" i="1"/>
  <c r="I545" i="1"/>
  <c r="H545" i="1"/>
  <c r="G545" i="1"/>
  <c r="P544" i="1"/>
  <c r="O544" i="1"/>
  <c r="N544" i="1"/>
  <c r="M544" i="1"/>
  <c r="L544" i="1"/>
  <c r="K544" i="1"/>
  <c r="J544" i="1"/>
  <c r="I544" i="1"/>
  <c r="H544" i="1"/>
  <c r="G544" i="1"/>
  <c r="P543" i="1"/>
  <c r="O543" i="1"/>
  <c r="N543" i="1"/>
  <c r="M543" i="1"/>
  <c r="L543" i="1"/>
  <c r="K543" i="1"/>
  <c r="J543" i="1"/>
  <c r="I543" i="1"/>
  <c r="H543" i="1"/>
  <c r="G543" i="1"/>
  <c r="P542" i="1"/>
  <c r="O542" i="1"/>
  <c r="N542" i="1"/>
  <c r="M542" i="1"/>
  <c r="L542" i="1"/>
  <c r="K542" i="1"/>
  <c r="J542" i="1"/>
  <c r="I542" i="1"/>
  <c r="H542" i="1"/>
  <c r="G542" i="1"/>
  <c r="P541" i="1"/>
  <c r="O541" i="1"/>
  <c r="N541" i="1"/>
  <c r="M541" i="1"/>
  <c r="L541" i="1"/>
  <c r="K541" i="1"/>
  <c r="J541" i="1"/>
  <c r="I541" i="1"/>
  <c r="H541" i="1"/>
  <c r="G541" i="1"/>
  <c r="P540" i="1"/>
  <c r="O540" i="1"/>
  <c r="N540" i="1"/>
  <c r="M540" i="1"/>
  <c r="L540" i="1"/>
  <c r="K540" i="1"/>
  <c r="J540" i="1"/>
  <c r="I540" i="1"/>
  <c r="H540" i="1"/>
  <c r="G540" i="1"/>
  <c r="P539" i="1"/>
  <c r="O539" i="1"/>
  <c r="N539" i="1"/>
  <c r="M539" i="1"/>
  <c r="L539" i="1"/>
  <c r="K539" i="1"/>
  <c r="J539" i="1"/>
  <c r="I539" i="1"/>
  <c r="H539" i="1"/>
  <c r="G539" i="1"/>
  <c r="P538" i="1"/>
  <c r="O538" i="1"/>
  <c r="N538" i="1"/>
  <c r="M538" i="1"/>
  <c r="L538" i="1"/>
  <c r="K538" i="1"/>
  <c r="J538" i="1"/>
  <c r="I538" i="1"/>
  <c r="H538" i="1"/>
  <c r="G538" i="1"/>
  <c r="P537" i="1"/>
  <c r="O537" i="1"/>
  <c r="N537" i="1"/>
  <c r="M537" i="1"/>
  <c r="L537" i="1"/>
  <c r="K537" i="1"/>
  <c r="J537" i="1"/>
  <c r="I537" i="1"/>
  <c r="H537" i="1"/>
  <c r="G537" i="1"/>
  <c r="P536" i="1"/>
  <c r="O536" i="1"/>
  <c r="N536" i="1"/>
  <c r="M536" i="1"/>
  <c r="L536" i="1"/>
  <c r="K536" i="1"/>
  <c r="J536" i="1"/>
  <c r="I536" i="1"/>
  <c r="H536" i="1"/>
  <c r="G536" i="1"/>
  <c r="P535" i="1"/>
  <c r="O535" i="1"/>
  <c r="N535" i="1"/>
  <c r="M535" i="1"/>
  <c r="L535" i="1"/>
  <c r="K535" i="1"/>
  <c r="J535" i="1"/>
  <c r="I535" i="1"/>
  <c r="H535" i="1"/>
  <c r="G535" i="1"/>
  <c r="P534" i="1"/>
  <c r="O534" i="1"/>
  <c r="N534" i="1"/>
  <c r="M534" i="1"/>
  <c r="L534" i="1"/>
  <c r="K534" i="1"/>
  <c r="J534" i="1"/>
  <c r="I534" i="1"/>
  <c r="H534" i="1"/>
  <c r="G534" i="1"/>
  <c r="P533" i="1"/>
  <c r="O533" i="1"/>
  <c r="N533" i="1"/>
  <c r="M533" i="1"/>
  <c r="L533" i="1"/>
  <c r="K533" i="1"/>
  <c r="J533" i="1"/>
  <c r="I533" i="1"/>
  <c r="H533" i="1"/>
  <c r="G533" i="1"/>
  <c r="P532" i="1"/>
  <c r="O532" i="1"/>
  <c r="N532" i="1"/>
  <c r="M532" i="1"/>
  <c r="L532" i="1"/>
  <c r="K532" i="1"/>
  <c r="J532" i="1"/>
  <c r="I532" i="1"/>
  <c r="H532" i="1"/>
  <c r="G532" i="1"/>
  <c r="P531" i="1"/>
  <c r="O531" i="1"/>
  <c r="N531" i="1"/>
  <c r="M531" i="1"/>
  <c r="L531" i="1"/>
  <c r="K531" i="1"/>
  <c r="J531" i="1"/>
  <c r="I531" i="1"/>
  <c r="H531" i="1"/>
  <c r="G531" i="1"/>
  <c r="P530" i="1"/>
  <c r="O530" i="1"/>
  <c r="N530" i="1"/>
  <c r="M530" i="1"/>
  <c r="L530" i="1"/>
  <c r="K530" i="1"/>
  <c r="J530" i="1"/>
  <c r="I530" i="1"/>
  <c r="H530" i="1"/>
  <c r="G530" i="1"/>
  <c r="P529" i="1"/>
  <c r="O529" i="1"/>
  <c r="N529" i="1"/>
  <c r="M529" i="1"/>
  <c r="L529" i="1"/>
  <c r="K529" i="1"/>
  <c r="J529" i="1"/>
  <c r="I529" i="1"/>
  <c r="H529" i="1"/>
  <c r="G529" i="1"/>
  <c r="P528" i="1"/>
  <c r="O528" i="1"/>
  <c r="N528" i="1"/>
  <c r="M528" i="1"/>
  <c r="L528" i="1"/>
  <c r="K528" i="1"/>
  <c r="J528" i="1"/>
  <c r="I528" i="1"/>
  <c r="H528" i="1"/>
  <c r="G528" i="1"/>
  <c r="P527" i="1"/>
  <c r="O527" i="1"/>
  <c r="N527" i="1"/>
  <c r="M527" i="1"/>
  <c r="L527" i="1"/>
  <c r="K527" i="1"/>
  <c r="J527" i="1"/>
  <c r="I527" i="1"/>
  <c r="H527" i="1"/>
  <c r="G527" i="1"/>
  <c r="P526" i="1"/>
  <c r="O526" i="1"/>
  <c r="N526" i="1"/>
  <c r="M526" i="1"/>
  <c r="L526" i="1"/>
  <c r="K526" i="1"/>
  <c r="J526" i="1"/>
  <c r="I526" i="1"/>
  <c r="H526" i="1"/>
  <c r="G526" i="1"/>
  <c r="P525" i="1"/>
  <c r="O525" i="1"/>
  <c r="N525" i="1"/>
  <c r="M525" i="1"/>
  <c r="L525" i="1"/>
  <c r="K525" i="1"/>
  <c r="J525" i="1"/>
  <c r="I525" i="1"/>
  <c r="H525" i="1"/>
  <c r="G525" i="1"/>
  <c r="P524" i="1"/>
  <c r="O524" i="1"/>
  <c r="N524" i="1"/>
  <c r="M524" i="1"/>
  <c r="L524" i="1"/>
  <c r="K524" i="1"/>
  <c r="J524" i="1"/>
  <c r="I524" i="1"/>
  <c r="H524" i="1"/>
  <c r="G524" i="1"/>
  <c r="P523" i="1"/>
  <c r="O523" i="1"/>
  <c r="N523" i="1"/>
  <c r="M523" i="1"/>
  <c r="L523" i="1"/>
  <c r="K523" i="1"/>
  <c r="J523" i="1"/>
  <c r="I523" i="1"/>
  <c r="H523" i="1"/>
  <c r="G523" i="1"/>
  <c r="P522" i="1"/>
  <c r="O522" i="1"/>
  <c r="N522" i="1"/>
  <c r="M522" i="1"/>
  <c r="L522" i="1"/>
  <c r="K522" i="1"/>
  <c r="J522" i="1"/>
  <c r="I522" i="1"/>
  <c r="H522" i="1"/>
  <c r="G522" i="1"/>
  <c r="P521" i="1"/>
  <c r="O521" i="1"/>
  <c r="N521" i="1"/>
  <c r="M521" i="1"/>
  <c r="L521" i="1"/>
  <c r="K521" i="1"/>
  <c r="J521" i="1"/>
  <c r="I521" i="1"/>
  <c r="H521" i="1"/>
  <c r="G521" i="1"/>
  <c r="P520" i="1"/>
  <c r="O520" i="1"/>
  <c r="N520" i="1"/>
  <c r="M520" i="1"/>
  <c r="L520" i="1"/>
  <c r="K520" i="1"/>
  <c r="J520" i="1"/>
  <c r="I520" i="1"/>
  <c r="H520" i="1"/>
  <c r="G520" i="1"/>
  <c r="P519" i="1"/>
  <c r="O519" i="1"/>
  <c r="N519" i="1"/>
  <c r="M519" i="1"/>
  <c r="L519" i="1"/>
  <c r="K519" i="1"/>
  <c r="J519" i="1"/>
  <c r="I519" i="1"/>
  <c r="H519" i="1"/>
  <c r="G519" i="1"/>
  <c r="P518" i="1"/>
  <c r="O518" i="1"/>
  <c r="N518" i="1"/>
  <c r="M518" i="1"/>
  <c r="L518" i="1"/>
  <c r="K518" i="1"/>
  <c r="J518" i="1"/>
  <c r="I518" i="1"/>
  <c r="H518" i="1"/>
  <c r="G518" i="1"/>
  <c r="P517" i="1"/>
  <c r="O517" i="1"/>
  <c r="N517" i="1"/>
  <c r="M517" i="1"/>
  <c r="L517" i="1"/>
  <c r="K517" i="1"/>
  <c r="J517" i="1"/>
  <c r="I517" i="1"/>
  <c r="H517" i="1"/>
  <c r="G517" i="1"/>
  <c r="P516" i="1"/>
  <c r="O516" i="1"/>
  <c r="N516" i="1"/>
  <c r="M516" i="1"/>
  <c r="L516" i="1"/>
  <c r="K516" i="1"/>
  <c r="J516" i="1"/>
  <c r="I516" i="1"/>
  <c r="H516" i="1"/>
  <c r="G516" i="1"/>
  <c r="P515" i="1"/>
  <c r="O515" i="1"/>
  <c r="N515" i="1"/>
  <c r="M515" i="1"/>
  <c r="L515" i="1"/>
  <c r="K515" i="1"/>
  <c r="J515" i="1"/>
  <c r="I515" i="1"/>
  <c r="H515" i="1"/>
  <c r="G515" i="1"/>
  <c r="P514" i="1"/>
  <c r="O514" i="1"/>
  <c r="N514" i="1"/>
  <c r="M514" i="1"/>
  <c r="L514" i="1"/>
  <c r="K514" i="1"/>
  <c r="J514" i="1"/>
  <c r="I514" i="1"/>
  <c r="H514" i="1"/>
  <c r="G514" i="1"/>
  <c r="P513" i="1"/>
  <c r="O513" i="1"/>
  <c r="N513" i="1"/>
  <c r="M513" i="1"/>
  <c r="L513" i="1"/>
  <c r="K513" i="1"/>
  <c r="J513" i="1"/>
  <c r="I513" i="1"/>
  <c r="H513" i="1"/>
  <c r="G513" i="1"/>
  <c r="P512" i="1"/>
  <c r="O512" i="1"/>
  <c r="N512" i="1"/>
  <c r="M512" i="1"/>
  <c r="L512" i="1"/>
  <c r="K512" i="1"/>
  <c r="J512" i="1"/>
  <c r="I512" i="1"/>
  <c r="H512" i="1"/>
  <c r="G512" i="1"/>
  <c r="P511" i="1"/>
  <c r="O511" i="1"/>
  <c r="N511" i="1"/>
  <c r="M511" i="1"/>
  <c r="L511" i="1"/>
  <c r="K511" i="1"/>
  <c r="J511" i="1"/>
  <c r="I511" i="1"/>
  <c r="H511" i="1"/>
  <c r="G511" i="1"/>
  <c r="P510" i="1"/>
  <c r="O510" i="1"/>
  <c r="N510" i="1"/>
  <c r="M510" i="1"/>
  <c r="L510" i="1"/>
  <c r="K510" i="1"/>
  <c r="J510" i="1"/>
  <c r="I510" i="1"/>
  <c r="H510" i="1"/>
  <c r="G510" i="1"/>
  <c r="P509" i="1"/>
  <c r="O509" i="1"/>
  <c r="N509" i="1"/>
  <c r="M509" i="1"/>
  <c r="L509" i="1"/>
  <c r="K509" i="1"/>
  <c r="J509" i="1"/>
  <c r="I509" i="1"/>
  <c r="H509" i="1"/>
  <c r="G509" i="1"/>
  <c r="P508" i="1"/>
  <c r="O508" i="1"/>
  <c r="N508" i="1"/>
  <c r="M508" i="1"/>
  <c r="L508" i="1"/>
  <c r="K508" i="1"/>
  <c r="J508" i="1"/>
  <c r="I508" i="1"/>
  <c r="H508" i="1"/>
  <c r="G508" i="1"/>
  <c r="P507" i="1"/>
  <c r="O507" i="1"/>
  <c r="N507" i="1"/>
  <c r="M507" i="1"/>
  <c r="L507" i="1"/>
  <c r="K507" i="1"/>
  <c r="J507" i="1"/>
  <c r="I507" i="1"/>
  <c r="H507" i="1"/>
  <c r="G507" i="1"/>
  <c r="P506" i="1"/>
  <c r="O506" i="1"/>
  <c r="N506" i="1"/>
  <c r="M506" i="1"/>
  <c r="L506" i="1"/>
  <c r="K506" i="1"/>
  <c r="J506" i="1"/>
  <c r="I506" i="1"/>
  <c r="H506" i="1"/>
  <c r="G506" i="1"/>
  <c r="P505" i="1"/>
  <c r="O505" i="1"/>
  <c r="N505" i="1"/>
  <c r="M505" i="1"/>
  <c r="L505" i="1"/>
  <c r="K505" i="1"/>
  <c r="J505" i="1"/>
  <c r="I505" i="1"/>
  <c r="H505" i="1"/>
  <c r="G505" i="1"/>
  <c r="P504" i="1"/>
  <c r="O504" i="1"/>
  <c r="N504" i="1"/>
  <c r="M504" i="1"/>
  <c r="L504" i="1"/>
  <c r="K504" i="1"/>
  <c r="J504" i="1"/>
  <c r="I504" i="1"/>
  <c r="H504" i="1"/>
  <c r="G504" i="1"/>
  <c r="P503" i="1"/>
  <c r="O503" i="1"/>
  <c r="N503" i="1"/>
  <c r="M503" i="1"/>
  <c r="L503" i="1"/>
  <c r="K503" i="1"/>
  <c r="J503" i="1"/>
  <c r="I503" i="1"/>
  <c r="H503" i="1"/>
  <c r="G503" i="1"/>
  <c r="P502" i="1"/>
  <c r="O502" i="1"/>
  <c r="N502" i="1"/>
  <c r="M502" i="1"/>
  <c r="L502" i="1"/>
  <c r="K502" i="1"/>
  <c r="J502" i="1"/>
  <c r="I502" i="1"/>
  <c r="H502" i="1"/>
  <c r="G502" i="1"/>
  <c r="P501" i="1"/>
  <c r="O501" i="1"/>
  <c r="N501" i="1"/>
  <c r="M501" i="1"/>
  <c r="L501" i="1"/>
  <c r="K501" i="1"/>
  <c r="J501" i="1"/>
  <c r="I501" i="1"/>
  <c r="H501" i="1"/>
  <c r="G501" i="1"/>
  <c r="P500" i="1"/>
  <c r="O500" i="1"/>
  <c r="N500" i="1"/>
  <c r="M500" i="1"/>
  <c r="L500" i="1"/>
  <c r="K500" i="1"/>
  <c r="J500" i="1"/>
  <c r="I500" i="1"/>
  <c r="H500" i="1"/>
  <c r="G500" i="1"/>
  <c r="P499" i="1"/>
  <c r="O499" i="1"/>
  <c r="N499" i="1"/>
  <c r="M499" i="1"/>
  <c r="L499" i="1"/>
  <c r="K499" i="1"/>
  <c r="J499" i="1"/>
  <c r="I499" i="1"/>
  <c r="H499" i="1"/>
  <c r="G499" i="1"/>
  <c r="P498" i="1"/>
  <c r="O498" i="1"/>
  <c r="N498" i="1"/>
  <c r="M498" i="1"/>
  <c r="L498" i="1"/>
  <c r="K498" i="1"/>
  <c r="J498" i="1"/>
  <c r="I498" i="1"/>
  <c r="H498" i="1"/>
  <c r="G498" i="1"/>
  <c r="P497" i="1"/>
  <c r="O497" i="1"/>
  <c r="N497" i="1"/>
  <c r="M497" i="1"/>
  <c r="L497" i="1"/>
  <c r="K497" i="1"/>
  <c r="J497" i="1"/>
  <c r="I497" i="1"/>
  <c r="H497" i="1"/>
  <c r="G497" i="1"/>
  <c r="P496" i="1"/>
  <c r="O496" i="1"/>
  <c r="N496" i="1"/>
  <c r="M496" i="1"/>
  <c r="L496" i="1"/>
  <c r="K496" i="1"/>
  <c r="J496" i="1"/>
  <c r="I496" i="1"/>
  <c r="H496" i="1"/>
  <c r="G496" i="1"/>
  <c r="P495" i="1"/>
  <c r="O495" i="1"/>
  <c r="N495" i="1"/>
  <c r="M495" i="1"/>
  <c r="L495" i="1"/>
  <c r="K495" i="1"/>
  <c r="J495" i="1"/>
  <c r="I495" i="1"/>
  <c r="H495" i="1"/>
  <c r="G495" i="1"/>
  <c r="P494" i="1"/>
  <c r="O494" i="1"/>
  <c r="N494" i="1"/>
  <c r="M494" i="1"/>
  <c r="L494" i="1"/>
  <c r="K494" i="1"/>
  <c r="J494" i="1"/>
  <c r="I494" i="1"/>
  <c r="H494" i="1"/>
  <c r="G494" i="1"/>
  <c r="P493" i="1"/>
  <c r="O493" i="1"/>
  <c r="N493" i="1"/>
  <c r="M493" i="1"/>
  <c r="L493" i="1"/>
  <c r="K493" i="1"/>
  <c r="J493" i="1"/>
  <c r="I493" i="1"/>
  <c r="H493" i="1"/>
  <c r="G493" i="1"/>
  <c r="P492" i="1"/>
  <c r="O492" i="1"/>
  <c r="N492" i="1"/>
  <c r="M492" i="1"/>
  <c r="L492" i="1"/>
  <c r="K492" i="1"/>
  <c r="J492" i="1"/>
  <c r="I492" i="1"/>
  <c r="H492" i="1"/>
  <c r="G492" i="1"/>
  <c r="P491" i="1"/>
  <c r="O491" i="1"/>
  <c r="N491" i="1"/>
  <c r="M491" i="1"/>
  <c r="L491" i="1"/>
  <c r="K491" i="1"/>
  <c r="J491" i="1"/>
  <c r="I491" i="1"/>
  <c r="H491" i="1"/>
  <c r="G491" i="1"/>
  <c r="P490" i="1"/>
  <c r="O490" i="1"/>
  <c r="N490" i="1"/>
  <c r="M490" i="1"/>
  <c r="L490" i="1"/>
  <c r="K490" i="1"/>
  <c r="J490" i="1"/>
  <c r="I490" i="1"/>
  <c r="H490" i="1"/>
  <c r="G490" i="1"/>
  <c r="P489" i="1"/>
  <c r="O489" i="1"/>
  <c r="N489" i="1"/>
  <c r="M489" i="1"/>
  <c r="L489" i="1"/>
  <c r="K489" i="1"/>
  <c r="J489" i="1"/>
  <c r="I489" i="1"/>
  <c r="H489" i="1"/>
  <c r="G489" i="1"/>
  <c r="P488" i="1"/>
  <c r="O488" i="1"/>
  <c r="N488" i="1"/>
  <c r="M488" i="1"/>
  <c r="L488" i="1"/>
  <c r="K488" i="1"/>
  <c r="J488" i="1"/>
  <c r="I488" i="1"/>
  <c r="H488" i="1"/>
  <c r="G488" i="1"/>
  <c r="P487" i="1"/>
  <c r="O487" i="1"/>
  <c r="N487" i="1"/>
  <c r="M487" i="1"/>
  <c r="L487" i="1"/>
  <c r="K487" i="1"/>
  <c r="J487" i="1"/>
  <c r="I487" i="1"/>
  <c r="H487" i="1"/>
  <c r="G487" i="1"/>
  <c r="P486" i="1"/>
  <c r="O486" i="1"/>
  <c r="N486" i="1"/>
  <c r="M486" i="1"/>
  <c r="L486" i="1"/>
  <c r="K486" i="1"/>
  <c r="J486" i="1"/>
  <c r="I486" i="1"/>
  <c r="H486" i="1"/>
  <c r="G486" i="1"/>
  <c r="P485" i="1"/>
  <c r="O485" i="1"/>
  <c r="N485" i="1"/>
  <c r="M485" i="1"/>
  <c r="L485" i="1"/>
  <c r="K485" i="1"/>
  <c r="J485" i="1"/>
  <c r="I485" i="1"/>
  <c r="H485" i="1"/>
  <c r="G485" i="1"/>
  <c r="P484" i="1"/>
  <c r="O484" i="1"/>
  <c r="N484" i="1"/>
  <c r="M484" i="1"/>
  <c r="L484" i="1"/>
  <c r="K484" i="1"/>
  <c r="J484" i="1"/>
  <c r="I484" i="1"/>
  <c r="H484" i="1"/>
  <c r="G484" i="1"/>
  <c r="P483" i="1"/>
  <c r="O483" i="1"/>
  <c r="N483" i="1"/>
  <c r="M483" i="1"/>
  <c r="L483" i="1"/>
  <c r="K483" i="1"/>
  <c r="J483" i="1"/>
  <c r="I483" i="1"/>
  <c r="H483" i="1"/>
  <c r="G483" i="1"/>
  <c r="P482" i="1"/>
  <c r="O482" i="1"/>
  <c r="N482" i="1"/>
  <c r="M482" i="1"/>
  <c r="L482" i="1"/>
  <c r="K482" i="1"/>
  <c r="J482" i="1"/>
  <c r="I482" i="1"/>
  <c r="H482" i="1"/>
  <c r="G482" i="1"/>
  <c r="P481" i="1"/>
  <c r="O481" i="1"/>
  <c r="N481" i="1"/>
  <c r="M481" i="1"/>
  <c r="L481" i="1"/>
  <c r="K481" i="1"/>
  <c r="J481" i="1"/>
  <c r="I481" i="1"/>
  <c r="H481" i="1"/>
  <c r="G481" i="1"/>
  <c r="P480" i="1"/>
  <c r="O480" i="1"/>
  <c r="N480" i="1"/>
  <c r="M480" i="1"/>
  <c r="L480" i="1"/>
  <c r="K480" i="1"/>
  <c r="J480" i="1"/>
  <c r="I480" i="1"/>
  <c r="H480" i="1"/>
  <c r="G480" i="1"/>
  <c r="P479" i="1"/>
  <c r="O479" i="1"/>
  <c r="N479" i="1"/>
  <c r="M479" i="1"/>
  <c r="L479" i="1"/>
  <c r="K479" i="1"/>
  <c r="J479" i="1"/>
  <c r="I479" i="1"/>
  <c r="H479" i="1"/>
  <c r="G479" i="1"/>
  <c r="P478" i="1"/>
  <c r="O478" i="1"/>
  <c r="N478" i="1"/>
  <c r="M478" i="1"/>
  <c r="L478" i="1"/>
  <c r="K478" i="1"/>
  <c r="J478" i="1"/>
  <c r="I478" i="1"/>
  <c r="H478" i="1"/>
  <c r="G478" i="1"/>
  <c r="P477" i="1"/>
  <c r="O477" i="1"/>
  <c r="N477" i="1"/>
  <c r="M477" i="1"/>
  <c r="L477" i="1"/>
  <c r="K477" i="1"/>
  <c r="J477" i="1"/>
  <c r="I477" i="1"/>
  <c r="H477" i="1"/>
  <c r="G477" i="1"/>
  <c r="P476" i="1"/>
  <c r="O476" i="1"/>
  <c r="N476" i="1"/>
  <c r="M476" i="1"/>
  <c r="L476" i="1"/>
  <c r="K476" i="1"/>
  <c r="J476" i="1"/>
  <c r="I476" i="1"/>
  <c r="H476" i="1"/>
  <c r="G476" i="1"/>
  <c r="P475" i="1"/>
  <c r="O475" i="1"/>
  <c r="N475" i="1"/>
  <c r="M475" i="1"/>
  <c r="L475" i="1"/>
  <c r="K475" i="1"/>
  <c r="J475" i="1"/>
  <c r="I475" i="1"/>
  <c r="H475" i="1"/>
  <c r="G475" i="1"/>
  <c r="P474" i="1"/>
  <c r="O474" i="1"/>
  <c r="N474" i="1"/>
  <c r="M474" i="1"/>
  <c r="L474" i="1"/>
  <c r="K474" i="1"/>
  <c r="J474" i="1"/>
  <c r="I474" i="1"/>
  <c r="H474" i="1"/>
  <c r="G474" i="1"/>
  <c r="P473" i="1"/>
  <c r="O473" i="1"/>
  <c r="N473" i="1"/>
  <c r="M473" i="1"/>
  <c r="L473" i="1"/>
  <c r="K473" i="1"/>
  <c r="J473" i="1"/>
  <c r="I473" i="1"/>
  <c r="H473" i="1"/>
  <c r="G473" i="1"/>
  <c r="P472" i="1"/>
  <c r="O472" i="1"/>
  <c r="N472" i="1"/>
  <c r="M472" i="1"/>
  <c r="L472" i="1"/>
  <c r="K472" i="1"/>
  <c r="J472" i="1"/>
  <c r="I472" i="1"/>
  <c r="H472" i="1"/>
  <c r="G472" i="1"/>
  <c r="P471" i="1"/>
  <c r="O471" i="1"/>
  <c r="N471" i="1"/>
  <c r="M471" i="1"/>
  <c r="L471" i="1"/>
  <c r="K471" i="1"/>
  <c r="J471" i="1"/>
  <c r="I471" i="1"/>
  <c r="H471" i="1"/>
  <c r="G471" i="1"/>
  <c r="P470" i="1"/>
  <c r="O470" i="1"/>
  <c r="N470" i="1"/>
  <c r="M470" i="1"/>
  <c r="L470" i="1"/>
  <c r="K470" i="1"/>
  <c r="J470" i="1"/>
  <c r="I470" i="1"/>
  <c r="H470" i="1"/>
  <c r="G470" i="1"/>
  <c r="P469" i="1"/>
  <c r="O469" i="1"/>
  <c r="N469" i="1"/>
  <c r="M469" i="1"/>
  <c r="L469" i="1"/>
  <c r="K469" i="1"/>
  <c r="J469" i="1"/>
  <c r="I469" i="1"/>
  <c r="H469" i="1"/>
  <c r="G469" i="1"/>
  <c r="P468" i="1"/>
  <c r="O468" i="1"/>
  <c r="N468" i="1"/>
  <c r="M468" i="1"/>
  <c r="L468" i="1"/>
  <c r="K468" i="1"/>
  <c r="J468" i="1"/>
  <c r="I468" i="1"/>
  <c r="H468" i="1"/>
  <c r="G468" i="1"/>
  <c r="P467" i="1"/>
  <c r="O467" i="1"/>
  <c r="N467" i="1"/>
  <c r="M467" i="1"/>
  <c r="L467" i="1"/>
  <c r="K467" i="1"/>
  <c r="J467" i="1"/>
  <c r="I467" i="1"/>
  <c r="H467" i="1"/>
  <c r="G467" i="1"/>
  <c r="P466" i="1"/>
  <c r="O466" i="1"/>
  <c r="N466" i="1"/>
  <c r="M466" i="1"/>
  <c r="L466" i="1"/>
  <c r="K466" i="1"/>
  <c r="J466" i="1"/>
  <c r="I466" i="1"/>
  <c r="H466" i="1"/>
  <c r="G466" i="1"/>
  <c r="P465" i="1"/>
  <c r="O465" i="1"/>
  <c r="N465" i="1"/>
  <c r="M465" i="1"/>
  <c r="L465" i="1"/>
  <c r="K465" i="1"/>
  <c r="J465" i="1"/>
  <c r="I465" i="1"/>
  <c r="H465" i="1"/>
  <c r="G465" i="1"/>
  <c r="P464" i="1"/>
  <c r="O464" i="1"/>
  <c r="N464" i="1"/>
  <c r="M464" i="1"/>
  <c r="L464" i="1"/>
  <c r="K464" i="1"/>
  <c r="J464" i="1"/>
  <c r="I464" i="1"/>
  <c r="H464" i="1"/>
  <c r="G464" i="1"/>
  <c r="P463" i="1"/>
  <c r="O463" i="1"/>
  <c r="N463" i="1"/>
  <c r="M463" i="1"/>
  <c r="L463" i="1"/>
  <c r="K463" i="1"/>
  <c r="J463" i="1"/>
  <c r="I463" i="1"/>
  <c r="H463" i="1"/>
  <c r="G463" i="1"/>
  <c r="P462" i="1"/>
  <c r="O462" i="1"/>
  <c r="N462" i="1"/>
  <c r="M462" i="1"/>
  <c r="L462" i="1"/>
  <c r="K462" i="1"/>
  <c r="J462" i="1"/>
  <c r="I462" i="1"/>
  <c r="H462" i="1"/>
  <c r="G462" i="1"/>
  <c r="P461" i="1"/>
  <c r="O461" i="1"/>
  <c r="N461" i="1"/>
  <c r="M461" i="1"/>
  <c r="L461" i="1"/>
  <c r="K461" i="1"/>
  <c r="J461" i="1"/>
  <c r="I461" i="1"/>
  <c r="H461" i="1"/>
  <c r="G461" i="1"/>
  <c r="P460" i="1"/>
  <c r="O460" i="1"/>
  <c r="N460" i="1"/>
  <c r="M460" i="1"/>
  <c r="L460" i="1"/>
  <c r="K460" i="1"/>
  <c r="J460" i="1"/>
  <c r="I460" i="1"/>
  <c r="H460" i="1"/>
  <c r="G460" i="1"/>
  <c r="P459" i="1"/>
  <c r="O459" i="1"/>
  <c r="N459" i="1"/>
  <c r="M459" i="1"/>
  <c r="L459" i="1"/>
  <c r="K459" i="1"/>
  <c r="J459" i="1"/>
  <c r="I459" i="1"/>
  <c r="H459" i="1"/>
  <c r="G459" i="1"/>
  <c r="P458" i="1"/>
  <c r="O458" i="1"/>
  <c r="N458" i="1"/>
  <c r="M458" i="1"/>
  <c r="L458" i="1"/>
  <c r="K458" i="1"/>
  <c r="J458" i="1"/>
  <c r="I458" i="1"/>
  <c r="H458" i="1"/>
  <c r="G458" i="1"/>
  <c r="P457" i="1"/>
  <c r="O457" i="1"/>
  <c r="N457" i="1"/>
  <c r="M457" i="1"/>
  <c r="L457" i="1"/>
  <c r="K457" i="1"/>
  <c r="J457" i="1"/>
  <c r="I457" i="1"/>
  <c r="H457" i="1"/>
  <c r="G457" i="1"/>
  <c r="P456" i="1"/>
  <c r="O456" i="1"/>
  <c r="N456" i="1"/>
  <c r="M456" i="1"/>
  <c r="L456" i="1"/>
  <c r="K456" i="1"/>
  <c r="J456" i="1"/>
  <c r="I456" i="1"/>
  <c r="H456" i="1"/>
  <c r="G456" i="1"/>
  <c r="P455" i="1"/>
  <c r="O455" i="1"/>
  <c r="N455" i="1"/>
  <c r="M455" i="1"/>
  <c r="L455" i="1"/>
  <c r="K455" i="1"/>
  <c r="J455" i="1"/>
  <c r="I455" i="1"/>
  <c r="H455" i="1"/>
  <c r="G455" i="1"/>
  <c r="P454" i="1"/>
  <c r="O454" i="1"/>
  <c r="N454" i="1"/>
  <c r="M454" i="1"/>
  <c r="L454" i="1"/>
  <c r="K454" i="1"/>
  <c r="J454" i="1"/>
  <c r="I454" i="1"/>
  <c r="H454" i="1"/>
  <c r="G454" i="1"/>
  <c r="P453" i="1"/>
  <c r="O453" i="1"/>
  <c r="N453" i="1"/>
  <c r="M453" i="1"/>
  <c r="L453" i="1"/>
  <c r="K453" i="1"/>
  <c r="J453" i="1"/>
  <c r="I453" i="1"/>
  <c r="H453" i="1"/>
  <c r="G453" i="1"/>
  <c r="P452" i="1"/>
  <c r="O452" i="1"/>
  <c r="N452" i="1"/>
  <c r="M452" i="1"/>
  <c r="L452" i="1"/>
  <c r="K452" i="1"/>
  <c r="J452" i="1"/>
  <c r="I452" i="1"/>
  <c r="H452" i="1"/>
  <c r="G452" i="1"/>
  <c r="P451" i="1"/>
  <c r="O451" i="1"/>
  <c r="N451" i="1"/>
  <c r="M451" i="1"/>
  <c r="L451" i="1"/>
  <c r="K451" i="1"/>
  <c r="J451" i="1"/>
  <c r="I451" i="1"/>
  <c r="H451" i="1"/>
  <c r="G451" i="1"/>
  <c r="P450" i="1"/>
  <c r="O450" i="1"/>
  <c r="N450" i="1"/>
  <c r="M450" i="1"/>
  <c r="L450" i="1"/>
  <c r="K450" i="1"/>
  <c r="J450" i="1"/>
  <c r="I450" i="1"/>
  <c r="H450" i="1"/>
  <c r="G450" i="1"/>
  <c r="P449" i="1"/>
  <c r="O449" i="1"/>
  <c r="N449" i="1"/>
  <c r="M449" i="1"/>
  <c r="L449" i="1"/>
  <c r="K449" i="1"/>
  <c r="J449" i="1"/>
  <c r="I449" i="1"/>
  <c r="H449" i="1"/>
  <c r="G449" i="1"/>
  <c r="P448" i="1"/>
  <c r="O448" i="1"/>
  <c r="N448" i="1"/>
  <c r="M448" i="1"/>
  <c r="L448" i="1"/>
  <c r="K448" i="1"/>
  <c r="J448" i="1"/>
  <c r="I448" i="1"/>
  <c r="H448" i="1"/>
  <c r="G448" i="1"/>
  <c r="P447" i="1"/>
  <c r="O447" i="1"/>
  <c r="N447" i="1"/>
  <c r="M447" i="1"/>
  <c r="L447" i="1"/>
  <c r="K447" i="1"/>
  <c r="J447" i="1"/>
  <c r="I447" i="1"/>
  <c r="H447" i="1"/>
  <c r="G447" i="1"/>
  <c r="P446" i="1"/>
  <c r="O446" i="1"/>
  <c r="N446" i="1"/>
  <c r="M446" i="1"/>
  <c r="L446" i="1"/>
  <c r="K446" i="1"/>
  <c r="J446" i="1"/>
  <c r="I446" i="1"/>
  <c r="H446" i="1"/>
  <c r="G446" i="1"/>
  <c r="P445" i="1"/>
  <c r="O445" i="1"/>
  <c r="N445" i="1"/>
  <c r="M445" i="1"/>
  <c r="L445" i="1"/>
  <c r="K445" i="1"/>
  <c r="J445" i="1"/>
  <c r="I445" i="1"/>
  <c r="H445" i="1"/>
  <c r="G445" i="1"/>
  <c r="P444" i="1"/>
  <c r="O444" i="1"/>
  <c r="N444" i="1"/>
  <c r="M444" i="1"/>
  <c r="L444" i="1"/>
  <c r="K444" i="1"/>
  <c r="J444" i="1"/>
  <c r="I444" i="1"/>
  <c r="H444" i="1"/>
  <c r="G444" i="1"/>
  <c r="P443" i="1"/>
  <c r="O443" i="1"/>
  <c r="N443" i="1"/>
  <c r="M443" i="1"/>
  <c r="L443" i="1"/>
  <c r="K443" i="1"/>
  <c r="J443" i="1"/>
  <c r="I443" i="1"/>
  <c r="H443" i="1"/>
  <c r="G443" i="1"/>
  <c r="P442" i="1"/>
  <c r="O442" i="1"/>
  <c r="N442" i="1"/>
  <c r="M442" i="1"/>
  <c r="L442" i="1"/>
  <c r="K442" i="1"/>
  <c r="J442" i="1"/>
  <c r="I442" i="1"/>
  <c r="H442" i="1"/>
  <c r="G442" i="1"/>
  <c r="P441" i="1"/>
  <c r="O441" i="1"/>
  <c r="N441" i="1"/>
  <c r="M441" i="1"/>
  <c r="L441" i="1"/>
  <c r="K441" i="1"/>
  <c r="J441" i="1"/>
  <c r="I441" i="1"/>
  <c r="H441" i="1"/>
  <c r="G441" i="1"/>
  <c r="P440" i="1"/>
  <c r="O440" i="1"/>
  <c r="N440" i="1"/>
  <c r="M440" i="1"/>
  <c r="L440" i="1"/>
  <c r="K440" i="1"/>
  <c r="J440" i="1"/>
  <c r="I440" i="1"/>
  <c r="H440" i="1"/>
  <c r="G440" i="1"/>
  <c r="P439" i="1"/>
  <c r="O439" i="1"/>
  <c r="N439" i="1"/>
  <c r="M439" i="1"/>
  <c r="L439" i="1"/>
  <c r="K439" i="1"/>
  <c r="J439" i="1"/>
  <c r="I439" i="1"/>
  <c r="H439" i="1"/>
  <c r="G439" i="1"/>
  <c r="P438" i="1"/>
  <c r="O438" i="1"/>
  <c r="N438" i="1"/>
  <c r="M438" i="1"/>
  <c r="L438" i="1"/>
  <c r="K438" i="1"/>
  <c r="J438" i="1"/>
  <c r="I438" i="1"/>
  <c r="H438" i="1"/>
  <c r="G438" i="1"/>
  <c r="P437" i="1"/>
  <c r="O437" i="1"/>
  <c r="N437" i="1"/>
  <c r="M437" i="1"/>
  <c r="L437" i="1"/>
  <c r="K437" i="1"/>
  <c r="J437" i="1"/>
  <c r="I437" i="1"/>
  <c r="H437" i="1"/>
  <c r="G437" i="1"/>
  <c r="P436" i="1"/>
  <c r="O436" i="1"/>
  <c r="N436" i="1"/>
  <c r="M436" i="1"/>
  <c r="L436" i="1"/>
  <c r="K436" i="1"/>
  <c r="J436" i="1"/>
  <c r="I436" i="1"/>
  <c r="H436" i="1"/>
  <c r="G436" i="1"/>
  <c r="P435" i="1"/>
  <c r="O435" i="1"/>
  <c r="N435" i="1"/>
  <c r="M435" i="1"/>
  <c r="L435" i="1"/>
  <c r="K435" i="1"/>
  <c r="J435" i="1"/>
  <c r="I435" i="1"/>
  <c r="H435" i="1"/>
  <c r="G435" i="1"/>
  <c r="P434" i="1"/>
  <c r="O434" i="1"/>
  <c r="N434" i="1"/>
  <c r="M434" i="1"/>
  <c r="L434" i="1"/>
  <c r="K434" i="1"/>
  <c r="J434" i="1"/>
  <c r="I434" i="1"/>
  <c r="H434" i="1"/>
  <c r="G434" i="1"/>
  <c r="P433" i="1"/>
  <c r="O433" i="1"/>
  <c r="N433" i="1"/>
  <c r="M433" i="1"/>
  <c r="L433" i="1"/>
  <c r="K433" i="1"/>
  <c r="J433" i="1"/>
  <c r="I433" i="1"/>
  <c r="H433" i="1"/>
  <c r="G433" i="1"/>
  <c r="P432" i="1"/>
  <c r="O432" i="1"/>
  <c r="N432" i="1"/>
  <c r="M432" i="1"/>
  <c r="L432" i="1"/>
  <c r="K432" i="1"/>
  <c r="J432" i="1"/>
  <c r="I432" i="1"/>
  <c r="H432" i="1"/>
  <c r="G432" i="1"/>
  <c r="P431" i="1"/>
  <c r="O431" i="1"/>
  <c r="N431" i="1"/>
  <c r="M431" i="1"/>
  <c r="L431" i="1"/>
  <c r="K431" i="1"/>
  <c r="J431" i="1"/>
  <c r="I431" i="1"/>
  <c r="H431" i="1"/>
  <c r="G431" i="1"/>
  <c r="P430" i="1"/>
  <c r="O430" i="1"/>
  <c r="N430" i="1"/>
  <c r="M430" i="1"/>
  <c r="L430" i="1"/>
  <c r="K430" i="1"/>
  <c r="J430" i="1"/>
  <c r="I430" i="1"/>
  <c r="H430" i="1"/>
  <c r="G430" i="1"/>
  <c r="P429" i="1"/>
  <c r="O429" i="1"/>
  <c r="N429" i="1"/>
  <c r="M429" i="1"/>
  <c r="L429" i="1"/>
  <c r="K429" i="1"/>
  <c r="J429" i="1"/>
  <c r="I429" i="1"/>
  <c r="H429" i="1"/>
  <c r="G429" i="1"/>
  <c r="P428" i="1"/>
  <c r="O428" i="1"/>
  <c r="N428" i="1"/>
  <c r="M428" i="1"/>
  <c r="L428" i="1"/>
  <c r="K428" i="1"/>
  <c r="J428" i="1"/>
  <c r="I428" i="1"/>
  <c r="H428" i="1"/>
  <c r="G428" i="1"/>
  <c r="P427" i="1"/>
  <c r="O427" i="1"/>
  <c r="N427" i="1"/>
  <c r="M427" i="1"/>
  <c r="L427" i="1"/>
  <c r="K427" i="1"/>
  <c r="J427" i="1"/>
  <c r="I427" i="1"/>
  <c r="H427" i="1"/>
  <c r="G427" i="1"/>
  <c r="P426" i="1"/>
  <c r="O426" i="1"/>
  <c r="N426" i="1"/>
  <c r="M426" i="1"/>
  <c r="L426" i="1"/>
  <c r="K426" i="1"/>
  <c r="J426" i="1"/>
  <c r="I426" i="1"/>
  <c r="H426" i="1"/>
  <c r="G426" i="1"/>
  <c r="P425" i="1"/>
  <c r="O425" i="1"/>
  <c r="N425" i="1"/>
  <c r="M425" i="1"/>
  <c r="L425" i="1"/>
  <c r="K425" i="1"/>
  <c r="J425" i="1"/>
  <c r="I425" i="1"/>
  <c r="H425" i="1"/>
  <c r="G425" i="1"/>
  <c r="P424" i="1"/>
  <c r="O424" i="1"/>
  <c r="N424" i="1"/>
  <c r="M424" i="1"/>
  <c r="L424" i="1"/>
  <c r="K424" i="1"/>
  <c r="J424" i="1"/>
  <c r="I424" i="1"/>
  <c r="H424" i="1"/>
  <c r="G424" i="1"/>
  <c r="P423" i="1"/>
  <c r="O423" i="1"/>
  <c r="N423" i="1"/>
  <c r="M423" i="1"/>
  <c r="L423" i="1"/>
  <c r="K423" i="1"/>
  <c r="J423" i="1"/>
  <c r="I423" i="1"/>
  <c r="H423" i="1"/>
  <c r="G423" i="1"/>
  <c r="P422" i="1"/>
  <c r="O422" i="1"/>
  <c r="N422" i="1"/>
  <c r="M422" i="1"/>
  <c r="L422" i="1"/>
  <c r="K422" i="1"/>
  <c r="J422" i="1"/>
  <c r="I422" i="1"/>
  <c r="H422" i="1"/>
  <c r="G422" i="1"/>
  <c r="P421" i="1"/>
  <c r="O421" i="1"/>
  <c r="N421" i="1"/>
  <c r="M421" i="1"/>
  <c r="L421" i="1"/>
  <c r="K421" i="1"/>
  <c r="J421" i="1"/>
  <c r="I421" i="1"/>
  <c r="H421" i="1"/>
  <c r="G421" i="1"/>
  <c r="P420" i="1"/>
  <c r="O420" i="1"/>
  <c r="N420" i="1"/>
  <c r="M420" i="1"/>
  <c r="L420" i="1"/>
  <c r="K420" i="1"/>
  <c r="J420" i="1"/>
  <c r="I420" i="1"/>
  <c r="H420" i="1"/>
  <c r="G420" i="1"/>
  <c r="P419" i="1"/>
  <c r="O419" i="1"/>
  <c r="N419" i="1"/>
  <c r="M419" i="1"/>
  <c r="L419" i="1"/>
  <c r="K419" i="1"/>
  <c r="J419" i="1"/>
  <c r="I419" i="1"/>
  <c r="H419" i="1"/>
  <c r="G419" i="1"/>
  <c r="P418" i="1"/>
  <c r="O418" i="1"/>
  <c r="N418" i="1"/>
  <c r="M418" i="1"/>
  <c r="L418" i="1"/>
  <c r="K418" i="1"/>
  <c r="J418" i="1"/>
  <c r="I418" i="1"/>
  <c r="H418" i="1"/>
  <c r="G418" i="1"/>
  <c r="P417" i="1"/>
  <c r="O417" i="1"/>
  <c r="N417" i="1"/>
  <c r="M417" i="1"/>
  <c r="L417" i="1"/>
  <c r="K417" i="1"/>
  <c r="J417" i="1"/>
  <c r="I417" i="1"/>
  <c r="H417" i="1"/>
  <c r="G417" i="1"/>
  <c r="P416" i="1"/>
  <c r="O416" i="1"/>
  <c r="N416" i="1"/>
  <c r="M416" i="1"/>
  <c r="L416" i="1"/>
  <c r="K416" i="1"/>
  <c r="J416" i="1"/>
  <c r="I416" i="1"/>
  <c r="H416" i="1"/>
  <c r="G416" i="1"/>
  <c r="P415" i="1"/>
  <c r="O415" i="1"/>
  <c r="N415" i="1"/>
  <c r="M415" i="1"/>
  <c r="L415" i="1"/>
  <c r="K415" i="1"/>
  <c r="J415" i="1"/>
  <c r="I415" i="1"/>
  <c r="H415" i="1"/>
  <c r="G415" i="1"/>
  <c r="P414" i="1"/>
  <c r="O414" i="1"/>
  <c r="N414" i="1"/>
  <c r="M414" i="1"/>
  <c r="L414" i="1"/>
  <c r="K414" i="1"/>
  <c r="J414" i="1"/>
  <c r="I414" i="1"/>
  <c r="H414" i="1"/>
  <c r="G414" i="1"/>
  <c r="P413" i="1"/>
  <c r="O413" i="1"/>
  <c r="N413" i="1"/>
  <c r="M413" i="1"/>
  <c r="L413" i="1"/>
  <c r="K413" i="1"/>
  <c r="J413" i="1"/>
  <c r="I413" i="1"/>
  <c r="H413" i="1"/>
  <c r="G413" i="1"/>
  <c r="P412" i="1"/>
  <c r="O412" i="1"/>
  <c r="N412" i="1"/>
  <c r="M412" i="1"/>
  <c r="L412" i="1"/>
  <c r="K412" i="1"/>
  <c r="J412" i="1"/>
  <c r="I412" i="1"/>
  <c r="H412" i="1"/>
  <c r="G412" i="1"/>
  <c r="P411" i="1"/>
  <c r="O411" i="1"/>
  <c r="N411" i="1"/>
  <c r="M411" i="1"/>
  <c r="L411" i="1"/>
  <c r="K411" i="1"/>
  <c r="J411" i="1"/>
  <c r="I411" i="1"/>
  <c r="H411" i="1"/>
  <c r="G411" i="1"/>
  <c r="P410" i="1"/>
  <c r="O410" i="1"/>
  <c r="N410" i="1"/>
  <c r="M410" i="1"/>
  <c r="L410" i="1"/>
  <c r="K410" i="1"/>
  <c r="J410" i="1"/>
  <c r="I410" i="1"/>
  <c r="H410" i="1"/>
  <c r="G410" i="1"/>
  <c r="P409" i="1"/>
  <c r="O409" i="1"/>
  <c r="N409" i="1"/>
  <c r="M409" i="1"/>
  <c r="L409" i="1"/>
  <c r="K409" i="1"/>
  <c r="J409" i="1"/>
  <c r="I409" i="1"/>
  <c r="H409" i="1"/>
  <c r="G409" i="1"/>
  <c r="P408" i="1"/>
  <c r="O408" i="1"/>
  <c r="N408" i="1"/>
  <c r="M408" i="1"/>
  <c r="L408" i="1"/>
  <c r="K408" i="1"/>
  <c r="J408" i="1"/>
  <c r="I408" i="1"/>
  <c r="H408" i="1"/>
  <c r="G408" i="1"/>
  <c r="P407" i="1"/>
  <c r="O407" i="1"/>
  <c r="N407" i="1"/>
  <c r="M407" i="1"/>
  <c r="L407" i="1"/>
  <c r="K407" i="1"/>
  <c r="J407" i="1"/>
  <c r="I407" i="1"/>
  <c r="H407" i="1"/>
  <c r="G407" i="1"/>
  <c r="P406" i="1"/>
  <c r="O406" i="1"/>
  <c r="N406" i="1"/>
  <c r="M406" i="1"/>
  <c r="L406" i="1"/>
  <c r="K406" i="1"/>
  <c r="J406" i="1"/>
  <c r="I406" i="1"/>
  <c r="H406" i="1"/>
  <c r="G406" i="1"/>
  <c r="P405" i="1"/>
  <c r="O405" i="1"/>
  <c r="N405" i="1"/>
  <c r="M405" i="1"/>
  <c r="L405" i="1"/>
  <c r="K405" i="1"/>
  <c r="J405" i="1"/>
  <c r="I405" i="1"/>
  <c r="H405" i="1"/>
  <c r="G405" i="1"/>
  <c r="P404" i="1"/>
  <c r="O404" i="1"/>
  <c r="N404" i="1"/>
  <c r="M404" i="1"/>
  <c r="L404" i="1"/>
  <c r="K404" i="1"/>
  <c r="J404" i="1"/>
  <c r="I404" i="1"/>
  <c r="H404" i="1"/>
  <c r="G404" i="1"/>
  <c r="P403" i="1"/>
  <c r="O403" i="1"/>
  <c r="N403" i="1"/>
  <c r="M403" i="1"/>
  <c r="L403" i="1"/>
  <c r="K403" i="1"/>
  <c r="J403" i="1"/>
  <c r="I403" i="1"/>
  <c r="H403" i="1"/>
  <c r="G403" i="1"/>
  <c r="P402" i="1"/>
  <c r="O402" i="1"/>
  <c r="N402" i="1"/>
  <c r="M402" i="1"/>
  <c r="L402" i="1"/>
  <c r="K402" i="1"/>
  <c r="J402" i="1"/>
  <c r="I402" i="1"/>
  <c r="H402" i="1"/>
  <c r="G402" i="1"/>
  <c r="P401" i="1"/>
  <c r="O401" i="1"/>
  <c r="N401" i="1"/>
  <c r="M401" i="1"/>
  <c r="L401" i="1"/>
  <c r="K401" i="1"/>
  <c r="J401" i="1"/>
  <c r="I401" i="1"/>
  <c r="H401" i="1"/>
  <c r="G401" i="1"/>
  <c r="P400" i="1"/>
  <c r="O400" i="1"/>
  <c r="N400" i="1"/>
  <c r="M400" i="1"/>
  <c r="L400" i="1"/>
  <c r="K400" i="1"/>
  <c r="J400" i="1"/>
  <c r="I400" i="1"/>
  <c r="H400" i="1"/>
  <c r="G400" i="1"/>
  <c r="P399" i="1"/>
  <c r="O399" i="1"/>
  <c r="N399" i="1"/>
  <c r="M399" i="1"/>
  <c r="L399" i="1"/>
  <c r="K399" i="1"/>
  <c r="J399" i="1"/>
  <c r="I399" i="1"/>
  <c r="H399" i="1"/>
  <c r="G399" i="1"/>
  <c r="P398" i="1"/>
  <c r="O398" i="1"/>
  <c r="N398" i="1"/>
  <c r="M398" i="1"/>
  <c r="L398" i="1"/>
  <c r="K398" i="1"/>
  <c r="J398" i="1"/>
  <c r="I398" i="1"/>
  <c r="H398" i="1"/>
  <c r="G398" i="1"/>
  <c r="P397" i="1"/>
  <c r="O397" i="1"/>
  <c r="N397" i="1"/>
  <c r="M397" i="1"/>
  <c r="L397" i="1"/>
  <c r="K397" i="1"/>
  <c r="J397" i="1"/>
  <c r="I397" i="1"/>
  <c r="H397" i="1"/>
  <c r="G397" i="1"/>
  <c r="P396" i="1"/>
  <c r="O396" i="1"/>
  <c r="N396" i="1"/>
  <c r="M396" i="1"/>
  <c r="L396" i="1"/>
  <c r="K396" i="1"/>
  <c r="J396" i="1"/>
  <c r="I396" i="1"/>
  <c r="H396" i="1"/>
  <c r="G396" i="1"/>
  <c r="P395" i="1"/>
  <c r="O395" i="1"/>
  <c r="N395" i="1"/>
  <c r="M395" i="1"/>
  <c r="L395" i="1"/>
  <c r="K395" i="1"/>
  <c r="J395" i="1"/>
  <c r="I395" i="1"/>
  <c r="H395" i="1"/>
  <c r="G395" i="1"/>
  <c r="P394" i="1"/>
  <c r="O394" i="1"/>
  <c r="N394" i="1"/>
  <c r="M394" i="1"/>
  <c r="L394" i="1"/>
  <c r="K394" i="1"/>
  <c r="J394" i="1"/>
  <c r="I394" i="1"/>
  <c r="H394" i="1"/>
  <c r="G394" i="1"/>
  <c r="P393" i="1"/>
  <c r="O393" i="1"/>
  <c r="N393" i="1"/>
  <c r="M393" i="1"/>
  <c r="L393" i="1"/>
  <c r="K393" i="1"/>
  <c r="J393" i="1"/>
  <c r="I393" i="1"/>
  <c r="H393" i="1"/>
  <c r="G393" i="1"/>
  <c r="P392" i="1"/>
  <c r="O392" i="1"/>
  <c r="N392" i="1"/>
  <c r="M392" i="1"/>
  <c r="L392" i="1"/>
  <c r="K392" i="1"/>
  <c r="J392" i="1"/>
  <c r="I392" i="1"/>
  <c r="H392" i="1"/>
  <c r="G392" i="1"/>
  <c r="P391" i="1"/>
  <c r="O391" i="1"/>
  <c r="N391" i="1"/>
  <c r="M391" i="1"/>
  <c r="L391" i="1"/>
  <c r="K391" i="1"/>
  <c r="J391" i="1"/>
  <c r="I391" i="1"/>
  <c r="H391" i="1"/>
  <c r="G391" i="1"/>
  <c r="P390" i="1"/>
  <c r="O390" i="1"/>
  <c r="N390" i="1"/>
  <c r="M390" i="1"/>
  <c r="L390" i="1"/>
  <c r="K390" i="1"/>
  <c r="J390" i="1"/>
  <c r="I390" i="1"/>
  <c r="H390" i="1"/>
  <c r="G390" i="1"/>
  <c r="P389" i="1"/>
  <c r="O389" i="1"/>
  <c r="N389" i="1"/>
  <c r="M389" i="1"/>
  <c r="L389" i="1"/>
  <c r="K389" i="1"/>
  <c r="J389" i="1"/>
  <c r="I389" i="1"/>
  <c r="H389" i="1"/>
  <c r="G389" i="1"/>
  <c r="P388" i="1"/>
  <c r="O388" i="1"/>
  <c r="N388" i="1"/>
  <c r="M388" i="1"/>
  <c r="L388" i="1"/>
  <c r="K388" i="1"/>
  <c r="J388" i="1"/>
  <c r="I388" i="1"/>
  <c r="H388" i="1"/>
  <c r="G388" i="1"/>
  <c r="P387" i="1"/>
  <c r="O387" i="1"/>
  <c r="N387" i="1"/>
  <c r="M387" i="1"/>
  <c r="L387" i="1"/>
  <c r="K387" i="1"/>
  <c r="J387" i="1"/>
  <c r="I387" i="1"/>
  <c r="H387" i="1"/>
  <c r="G387" i="1"/>
  <c r="P386" i="1"/>
  <c r="O386" i="1"/>
  <c r="N386" i="1"/>
  <c r="M386" i="1"/>
  <c r="L386" i="1"/>
  <c r="K386" i="1"/>
  <c r="J386" i="1"/>
  <c r="I386" i="1"/>
  <c r="H386" i="1"/>
  <c r="G386" i="1"/>
  <c r="P385" i="1"/>
  <c r="O385" i="1"/>
  <c r="N385" i="1"/>
  <c r="M385" i="1"/>
  <c r="L385" i="1"/>
  <c r="K385" i="1"/>
  <c r="J385" i="1"/>
  <c r="I385" i="1"/>
  <c r="H385" i="1"/>
  <c r="G385" i="1"/>
  <c r="P384" i="1"/>
  <c r="O384" i="1"/>
  <c r="N384" i="1"/>
  <c r="M384" i="1"/>
  <c r="L384" i="1"/>
  <c r="K384" i="1"/>
  <c r="J384" i="1"/>
  <c r="I384" i="1"/>
  <c r="H384" i="1"/>
  <c r="G384" i="1"/>
  <c r="P383" i="1"/>
  <c r="O383" i="1"/>
  <c r="N383" i="1"/>
  <c r="M383" i="1"/>
  <c r="L383" i="1"/>
  <c r="K383" i="1"/>
  <c r="J383" i="1"/>
  <c r="I383" i="1"/>
  <c r="H383" i="1"/>
  <c r="G383" i="1"/>
  <c r="P382" i="1"/>
  <c r="O382" i="1"/>
  <c r="N382" i="1"/>
  <c r="M382" i="1"/>
  <c r="L382" i="1"/>
  <c r="K382" i="1"/>
  <c r="J382" i="1"/>
  <c r="I382" i="1"/>
  <c r="H382" i="1"/>
  <c r="G382" i="1"/>
  <c r="P381" i="1"/>
  <c r="O381" i="1"/>
  <c r="N381" i="1"/>
  <c r="M381" i="1"/>
  <c r="L381" i="1"/>
  <c r="K381" i="1"/>
  <c r="J381" i="1"/>
  <c r="I381" i="1"/>
  <c r="H381" i="1"/>
  <c r="G381" i="1"/>
  <c r="P380" i="1"/>
  <c r="O380" i="1"/>
  <c r="N380" i="1"/>
  <c r="M380" i="1"/>
  <c r="L380" i="1"/>
  <c r="K380" i="1"/>
  <c r="J380" i="1"/>
  <c r="I380" i="1"/>
  <c r="H380" i="1"/>
  <c r="G380" i="1"/>
  <c r="P379" i="1"/>
  <c r="O379" i="1"/>
  <c r="N379" i="1"/>
  <c r="M379" i="1"/>
  <c r="L379" i="1"/>
  <c r="K379" i="1"/>
  <c r="J379" i="1"/>
  <c r="I379" i="1"/>
  <c r="H379" i="1"/>
  <c r="G379" i="1"/>
  <c r="P378" i="1"/>
  <c r="O378" i="1"/>
  <c r="N378" i="1"/>
  <c r="M378" i="1"/>
  <c r="L378" i="1"/>
  <c r="K378" i="1"/>
  <c r="J378" i="1"/>
  <c r="I378" i="1"/>
  <c r="H378" i="1"/>
  <c r="G378" i="1"/>
  <c r="P377" i="1"/>
  <c r="O377" i="1"/>
  <c r="N377" i="1"/>
  <c r="M377" i="1"/>
  <c r="L377" i="1"/>
  <c r="K377" i="1"/>
  <c r="J377" i="1"/>
  <c r="I377" i="1"/>
  <c r="H377" i="1"/>
  <c r="G377" i="1"/>
  <c r="P376" i="1"/>
  <c r="O376" i="1"/>
  <c r="N376" i="1"/>
  <c r="M376" i="1"/>
  <c r="L376" i="1"/>
  <c r="K376" i="1"/>
  <c r="J376" i="1"/>
  <c r="I376" i="1"/>
  <c r="H376" i="1"/>
  <c r="G376" i="1"/>
  <c r="P375" i="1"/>
  <c r="O375" i="1"/>
  <c r="N375" i="1"/>
  <c r="M375" i="1"/>
  <c r="L375" i="1"/>
  <c r="K375" i="1"/>
  <c r="J375" i="1"/>
  <c r="I375" i="1"/>
  <c r="H375" i="1"/>
  <c r="G375" i="1"/>
  <c r="P374" i="1"/>
  <c r="O374" i="1"/>
  <c r="N374" i="1"/>
  <c r="M374" i="1"/>
  <c r="L374" i="1"/>
  <c r="K374" i="1"/>
  <c r="J374" i="1"/>
  <c r="I374" i="1"/>
  <c r="H374" i="1"/>
  <c r="G374" i="1"/>
  <c r="P373" i="1"/>
  <c r="O373" i="1"/>
  <c r="N373" i="1"/>
  <c r="M373" i="1"/>
  <c r="L373" i="1"/>
  <c r="K373" i="1"/>
  <c r="J373" i="1"/>
  <c r="I373" i="1"/>
  <c r="H373" i="1"/>
  <c r="G373" i="1"/>
  <c r="P372" i="1"/>
  <c r="O372" i="1"/>
  <c r="N372" i="1"/>
  <c r="M372" i="1"/>
  <c r="L372" i="1"/>
  <c r="K372" i="1"/>
  <c r="J372" i="1"/>
  <c r="I372" i="1"/>
  <c r="H372" i="1"/>
  <c r="G372" i="1"/>
  <c r="P371" i="1"/>
  <c r="O371" i="1"/>
  <c r="N371" i="1"/>
  <c r="M371" i="1"/>
  <c r="L371" i="1"/>
  <c r="K371" i="1"/>
  <c r="J371" i="1"/>
  <c r="I371" i="1"/>
  <c r="H371" i="1"/>
  <c r="G371" i="1"/>
  <c r="P370" i="1"/>
  <c r="O370" i="1"/>
  <c r="N370" i="1"/>
  <c r="M370" i="1"/>
  <c r="L370" i="1"/>
  <c r="K370" i="1"/>
  <c r="J370" i="1"/>
  <c r="I370" i="1"/>
  <c r="H370" i="1"/>
  <c r="G370" i="1"/>
  <c r="P369" i="1"/>
  <c r="O369" i="1"/>
  <c r="N369" i="1"/>
  <c r="M369" i="1"/>
  <c r="L369" i="1"/>
  <c r="K369" i="1"/>
  <c r="J369" i="1"/>
  <c r="I369" i="1"/>
  <c r="H369" i="1"/>
  <c r="G369" i="1"/>
  <c r="P368" i="1"/>
  <c r="O368" i="1"/>
  <c r="N368" i="1"/>
  <c r="M368" i="1"/>
  <c r="L368" i="1"/>
  <c r="K368" i="1"/>
  <c r="J368" i="1"/>
  <c r="I368" i="1"/>
  <c r="H368" i="1"/>
  <c r="G368" i="1"/>
  <c r="P367" i="1"/>
  <c r="O367" i="1"/>
  <c r="N367" i="1"/>
  <c r="M367" i="1"/>
  <c r="L367" i="1"/>
  <c r="K367" i="1"/>
  <c r="J367" i="1"/>
  <c r="I367" i="1"/>
  <c r="H367" i="1"/>
  <c r="G367" i="1"/>
  <c r="P366" i="1"/>
  <c r="O366" i="1"/>
  <c r="N366" i="1"/>
  <c r="M366" i="1"/>
  <c r="L366" i="1"/>
  <c r="K366" i="1"/>
  <c r="J366" i="1"/>
  <c r="I366" i="1"/>
  <c r="H366" i="1"/>
  <c r="G366" i="1"/>
  <c r="P365" i="1"/>
  <c r="O365" i="1"/>
  <c r="N365" i="1"/>
  <c r="M365" i="1"/>
  <c r="L365" i="1"/>
  <c r="K365" i="1"/>
  <c r="J365" i="1"/>
  <c r="I365" i="1"/>
  <c r="H365" i="1"/>
  <c r="G365" i="1"/>
  <c r="P364" i="1"/>
  <c r="O364" i="1"/>
  <c r="N364" i="1"/>
  <c r="M364" i="1"/>
  <c r="L364" i="1"/>
  <c r="K364" i="1"/>
  <c r="J364" i="1"/>
  <c r="I364" i="1"/>
  <c r="H364" i="1"/>
  <c r="G364" i="1"/>
  <c r="P363" i="1"/>
  <c r="O363" i="1"/>
  <c r="N363" i="1"/>
  <c r="M363" i="1"/>
  <c r="L363" i="1"/>
  <c r="K363" i="1"/>
  <c r="J363" i="1"/>
  <c r="I363" i="1"/>
  <c r="H363" i="1"/>
  <c r="G363" i="1"/>
  <c r="P362" i="1"/>
  <c r="O362" i="1"/>
  <c r="N362" i="1"/>
  <c r="M362" i="1"/>
  <c r="L362" i="1"/>
  <c r="K362" i="1"/>
  <c r="J362" i="1"/>
  <c r="I362" i="1"/>
  <c r="H362" i="1"/>
  <c r="G362" i="1"/>
  <c r="P361" i="1"/>
  <c r="O361" i="1"/>
  <c r="N361" i="1"/>
  <c r="M361" i="1"/>
  <c r="L361" i="1"/>
  <c r="K361" i="1"/>
  <c r="J361" i="1"/>
  <c r="I361" i="1"/>
  <c r="H361" i="1"/>
  <c r="G361" i="1"/>
  <c r="P360" i="1"/>
  <c r="O360" i="1"/>
  <c r="N360" i="1"/>
  <c r="M360" i="1"/>
  <c r="L360" i="1"/>
  <c r="K360" i="1"/>
  <c r="J360" i="1"/>
  <c r="I360" i="1"/>
  <c r="H360" i="1"/>
  <c r="G360" i="1"/>
  <c r="P359" i="1"/>
  <c r="O359" i="1"/>
  <c r="N359" i="1"/>
  <c r="M359" i="1"/>
  <c r="L359" i="1"/>
  <c r="K359" i="1"/>
  <c r="J359" i="1"/>
  <c r="I359" i="1"/>
  <c r="H359" i="1"/>
  <c r="G359" i="1"/>
  <c r="P358" i="1"/>
  <c r="O358" i="1"/>
  <c r="N358" i="1"/>
  <c r="M358" i="1"/>
  <c r="L358" i="1"/>
  <c r="K358" i="1"/>
  <c r="J358" i="1"/>
  <c r="I358" i="1"/>
  <c r="H358" i="1"/>
  <c r="G358" i="1"/>
  <c r="P357" i="1"/>
  <c r="O357" i="1"/>
  <c r="N357" i="1"/>
  <c r="M357" i="1"/>
  <c r="L357" i="1"/>
  <c r="K357" i="1"/>
  <c r="J357" i="1"/>
  <c r="I357" i="1"/>
  <c r="H357" i="1"/>
  <c r="G357" i="1"/>
  <c r="P356" i="1"/>
  <c r="O356" i="1"/>
  <c r="N356" i="1"/>
  <c r="M356" i="1"/>
  <c r="L356" i="1"/>
  <c r="K356" i="1"/>
  <c r="J356" i="1"/>
  <c r="I356" i="1"/>
  <c r="H356" i="1"/>
  <c r="G356" i="1"/>
  <c r="P355" i="1"/>
  <c r="O355" i="1"/>
  <c r="N355" i="1"/>
  <c r="M355" i="1"/>
  <c r="L355" i="1"/>
  <c r="K355" i="1"/>
  <c r="J355" i="1"/>
  <c r="I355" i="1"/>
  <c r="H355" i="1"/>
  <c r="G355" i="1"/>
  <c r="P354" i="1"/>
  <c r="O354" i="1"/>
  <c r="N354" i="1"/>
  <c r="M354" i="1"/>
  <c r="L354" i="1"/>
  <c r="K354" i="1"/>
  <c r="J354" i="1"/>
  <c r="I354" i="1"/>
  <c r="H354" i="1"/>
  <c r="G354" i="1"/>
  <c r="P353" i="1"/>
  <c r="O353" i="1"/>
  <c r="N353" i="1"/>
  <c r="M353" i="1"/>
  <c r="L353" i="1"/>
  <c r="K353" i="1"/>
  <c r="J353" i="1"/>
  <c r="I353" i="1"/>
  <c r="H353" i="1"/>
  <c r="G353" i="1"/>
  <c r="P352" i="1"/>
  <c r="O352" i="1"/>
  <c r="N352" i="1"/>
  <c r="M352" i="1"/>
  <c r="L352" i="1"/>
  <c r="K352" i="1"/>
  <c r="J352" i="1"/>
  <c r="I352" i="1"/>
  <c r="H352" i="1"/>
  <c r="G352" i="1"/>
  <c r="P351" i="1"/>
  <c r="O351" i="1"/>
  <c r="N351" i="1"/>
  <c r="M351" i="1"/>
  <c r="L351" i="1"/>
  <c r="K351" i="1"/>
  <c r="J351" i="1"/>
  <c r="I351" i="1"/>
  <c r="H351" i="1"/>
  <c r="G351" i="1"/>
  <c r="P350" i="1"/>
  <c r="O350" i="1"/>
  <c r="N350" i="1"/>
  <c r="M350" i="1"/>
  <c r="L350" i="1"/>
  <c r="K350" i="1"/>
  <c r="J350" i="1"/>
  <c r="I350" i="1"/>
  <c r="H350" i="1"/>
  <c r="G350" i="1"/>
  <c r="P349" i="1"/>
  <c r="O349" i="1"/>
  <c r="N349" i="1"/>
  <c r="M349" i="1"/>
  <c r="L349" i="1"/>
  <c r="K349" i="1"/>
  <c r="J349" i="1"/>
  <c r="I349" i="1"/>
  <c r="H349" i="1"/>
  <c r="G349" i="1"/>
  <c r="P348" i="1"/>
  <c r="O348" i="1"/>
  <c r="N348" i="1"/>
  <c r="M348" i="1"/>
  <c r="L348" i="1"/>
  <c r="K348" i="1"/>
  <c r="J348" i="1"/>
  <c r="I348" i="1"/>
  <c r="H348" i="1"/>
  <c r="G348" i="1"/>
  <c r="P347" i="1"/>
  <c r="O347" i="1"/>
  <c r="N347" i="1"/>
  <c r="M347" i="1"/>
  <c r="L347" i="1"/>
  <c r="K347" i="1"/>
  <c r="J347" i="1"/>
  <c r="I347" i="1"/>
  <c r="H347" i="1"/>
  <c r="G347" i="1"/>
  <c r="P346" i="1"/>
  <c r="O346" i="1"/>
  <c r="N346" i="1"/>
  <c r="M346" i="1"/>
  <c r="L346" i="1"/>
  <c r="K346" i="1"/>
  <c r="J346" i="1"/>
  <c r="I346" i="1"/>
  <c r="H346" i="1"/>
  <c r="G346" i="1"/>
  <c r="P345" i="1"/>
  <c r="O345" i="1"/>
  <c r="N345" i="1"/>
  <c r="M345" i="1"/>
  <c r="L345" i="1"/>
  <c r="K345" i="1"/>
  <c r="J345" i="1"/>
  <c r="I345" i="1"/>
  <c r="H345" i="1"/>
  <c r="G345" i="1"/>
  <c r="P344" i="1"/>
  <c r="O344" i="1"/>
  <c r="N344" i="1"/>
  <c r="M344" i="1"/>
  <c r="L344" i="1"/>
  <c r="K344" i="1"/>
  <c r="J344" i="1"/>
  <c r="I344" i="1"/>
  <c r="H344" i="1"/>
  <c r="G344" i="1"/>
  <c r="P343" i="1"/>
  <c r="O343" i="1"/>
  <c r="N343" i="1"/>
  <c r="M343" i="1"/>
  <c r="L343" i="1"/>
  <c r="K343" i="1"/>
  <c r="J343" i="1"/>
  <c r="I343" i="1"/>
  <c r="H343" i="1"/>
  <c r="G343" i="1"/>
  <c r="P342" i="1"/>
  <c r="O342" i="1"/>
  <c r="N342" i="1"/>
  <c r="M342" i="1"/>
  <c r="L342" i="1"/>
  <c r="K342" i="1"/>
  <c r="J342" i="1"/>
  <c r="I342" i="1"/>
  <c r="H342" i="1"/>
  <c r="G342" i="1"/>
  <c r="P341" i="1"/>
  <c r="O341" i="1"/>
  <c r="N341" i="1"/>
  <c r="M341" i="1"/>
  <c r="L341" i="1"/>
  <c r="K341" i="1"/>
  <c r="J341" i="1"/>
  <c r="I341" i="1"/>
  <c r="H341" i="1"/>
  <c r="G341" i="1"/>
  <c r="P340" i="1"/>
  <c r="O340" i="1"/>
  <c r="N340" i="1"/>
  <c r="M340" i="1"/>
  <c r="L340" i="1"/>
  <c r="K340" i="1"/>
  <c r="J340" i="1"/>
  <c r="I340" i="1"/>
  <c r="H340" i="1"/>
  <c r="G340" i="1"/>
  <c r="P339" i="1"/>
  <c r="O339" i="1"/>
  <c r="N339" i="1"/>
  <c r="M339" i="1"/>
  <c r="L339" i="1"/>
  <c r="K339" i="1"/>
  <c r="J339" i="1"/>
  <c r="I339" i="1"/>
  <c r="H339" i="1"/>
  <c r="G339" i="1"/>
  <c r="P338" i="1"/>
  <c r="O338" i="1"/>
  <c r="N338" i="1"/>
  <c r="M338" i="1"/>
  <c r="L338" i="1"/>
  <c r="K338" i="1"/>
  <c r="J338" i="1"/>
  <c r="I338" i="1"/>
  <c r="H338" i="1"/>
  <c r="G338" i="1"/>
  <c r="P337" i="1"/>
  <c r="O337" i="1"/>
  <c r="N337" i="1"/>
  <c r="M337" i="1"/>
  <c r="L337" i="1"/>
  <c r="K337" i="1"/>
  <c r="J337" i="1"/>
  <c r="I337" i="1"/>
  <c r="H337" i="1"/>
  <c r="G337" i="1"/>
  <c r="P336" i="1"/>
  <c r="O336" i="1"/>
  <c r="N336" i="1"/>
  <c r="M336" i="1"/>
  <c r="L336" i="1"/>
  <c r="K336" i="1"/>
  <c r="J336" i="1"/>
  <c r="I336" i="1"/>
  <c r="H336" i="1"/>
  <c r="G336" i="1"/>
  <c r="P335" i="1"/>
  <c r="O335" i="1"/>
  <c r="N335" i="1"/>
  <c r="M335" i="1"/>
  <c r="L335" i="1"/>
  <c r="K335" i="1"/>
  <c r="J335" i="1"/>
  <c r="I335" i="1"/>
  <c r="H335" i="1"/>
  <c r="G335" i="1"/>
  <c r="P334" i="1"/>
  <c r="O334" i="1"/>
  <c r="N334" i="1"/>
  <c r="M334" i="1"/>
  <c r="L334" i="1"/>
  <c r="K334" i="1"/>
  <c r="J334" i="1"/>
  <c r="I334" i="1"/>
  <c r="H334" i="1"/>
  <c r="G334" i="1"/>
  <c r="P333" i="1"/>
  <c r="O333" i="1"/>
  <c r="N333" i="1"/>
  <c r="M333" i="1"/>
  <c r="L333" i="1"/>
  <c r="K333" i="1"/>
  <c r="J333" i="1"/>
  <c r="I333" i="1"/>
  <c r="H333" i="1"/>
  <c r="G333" i="1"/>
  <c r="P332" i="1"/>
  <c r="O332" i="1"/>
  <c r="N332" i="1"/>
  <c r="M332" i="1"/>
  <c r="L332" i="1"/>
  <c r="K332" i="1"/>
  <c r="J332" i="1"/>
  <c r="I332" i="1"/>
  <c r="H332" i="1"/>
  <c r="G332" i="1"/>
  <c r="P331" i="1"/>
  <c r="O331" i="1"/>
  <c r="N331" i="1"/>
  <c r="M331" i="1"/>
  <c r="L331" i="1"/>
  <c r="K331" i="1"/>
  <c r="J331" i="1"/>
  <c r="I331" i="1"/>
  <c r="H331" i="1"/>
  <c r="G331" i="1"/>
  <c r="P330" i="1"/>
  <c r="O330" i="1"/>
  <c r="N330" i="1"/>
  <c r="M330" i="1"/>
  <c r="L330" i="1"/>
  <c r="K330" i="1"/>
  <c r="J330" i="1"/>
  <c r="I330" i="1"/>
  <c r="H330" i="1"/>
  <c r="G330" i="1"/>
  <c r="P329" i="1"/>
  <c r="O329" i="1"/>
  <c r="N329" i="1"/>
  <c r="M329" i="1"/>
  <c r="L329" i="1"/>
  <c r="K329" i="1"/>
  <c r="J329" i="1"/>
  <c r="I329" i="1"/>
  <c r="H329" i="1"/>
  <c r="G329" i="1"/>
  <c r="P328" i="1"/>
  <c r="O328" i="1"/>
  <c r="N328" i="1"/>
  <c r="M328" i="1"/>
  <c r="L328" i="1"/>
  <c r="K328" i="1"/>
  <c r="J328" i="1"/>
  <c r="I328" i="1"/>
  <c r="H328" i="1"/>
  <c r="G328" i="1"/>
  <c r="P327" i="1"/>
  <c r="O327" i="1"/>
  <c r="N327" i="1"/>
  <c r="M327" i="1"/>
  <c r="L327" i="1"/>
  <c r="K327" i="1"/>
  <c r="J327" i="1"/>
  <c r="I327" i="1"/>
  <c r="H327" i="1"/>
  <c r="G327" i="1"/>
  <c r="P326" i="1"/>
  <c r="O326" i="1"/>
  <c r="N326" i="1"/>
  <c r="M326" i="1"/>
  <c r="L326" i="1"/>
  <c r="K326" i="1"/>
  <c r="J326" i="1"/>
  <c r="I326" i="1"/>
  <c r="H326" i="1"/>
  <c r="G326" i="1"/>
  <c r="P325" i="1"/>
  <c r="O325" i="1"/>
  <c r="N325" i="1"/>
  <c r="M325" i="1"/>
  <c r="L325" i="1"/>
  <c r="K325" i="1"/>
  <c r="J325" i="1"/>
  <c r="I325" i="1"/>
  <c r="H325" i="1"/>
  <c r="G325" i="1"/>
  <c r="P324" i="1"/>
  <c r="O324" i="1"/>
  <c r="N324" i="1"/>
  <c r="M324" i="1"/>
  <c r="L324" i="1"/>
  <c r="K324" i="1"/>
  <c r="J324" i="1"/>
  <c r="I324" i="1"/>
  <c r="H324" i="1"/>
  <c r="G324" i="1"/>
  <c r="P323" i="1"/>
  <c r="O323" i="1"/>
  <c r="N323" i="1"/>
  <c r="M323" i="1"/>
  <c r="L323" i="1"/>
  <c r="K323" i="1"/>
  <c r="J323" i="1"/>
  <c r="I323" i="1"/>
  <c r="H323" i="1"/>
  <c r="G323" i="1"/>
  <c r="P322" i="1"/>
  <c r="O322" i="1"/>
  <c r="N322" i="1"/>
  <c r="M322" i="1"/>
  <c r="L322" i="1"/>
  <c r="K322" i="1"/>
  <c r="J322" i="1"/>
  <c r="I322" i="1"/>
  <c r="H322" i="1"/>
  <c r="G322" i="1"/>
  <c r="P321" i="1"/>
  <c r="O321" i="1"/>
  <c r="N321" i="1"/>
  <c r="M321" i="1"/>
  <c r="L321" i="1"/>
  <c r="K321" i="1"/>
  <c r="J321" i="1"/>
  <c r="I321" i="1"/>
  <c r="H321" i="1"/>
  <c r="G321" i="1"/>
  <c r="P320" i="1"/>
  <c r="O320" i="1"/>
  <c r="N320" i="1"/>
  <c r="M320" i="1"/>
  <c r="L320" i="1"/>
  <c r="K320" i="1"/>
  <c r="J320" i="1"/>
  <c r="I320" i="1"/>
  <c r="H320" i="1"/>
  <c r="G320" i="1"/>
  <c r="P319" i="1"/>
  <c r="O319" i="1"/>
  <c r="N319" i="1"/>
  <c r="M319" i="1"/>
  <c r="L319" i="1"/>
  <c r="K319" i="1"/>
  <c r="J319" i="1"/>
  <c r="I319" i="1"/>
  <c r="H319" i="1"/>
  <c r="G319" i="1"/>
  <c r="P318" i="1"/>
  <c r="O318" i="1"/>
  <c r="N318" i="1"/>
  <c r="M318" i="1"/>
  <c r="L318" i="1"/>
  <c r="K318" i="1"/>
  <c r="J318" i="1"/>
  <c r="I318" i="1"/>
  <c r="H318" i="1"/>
  <c r="G318" i="1"/>
  <c r="P317" i="1"/>
  <c r="O317" i="1"/>
  <c r="N317" i="1"/>
  <c r="M317" i="1"/>
  <c r="L317" i="1"/>
  <c r="K317" i="1"/>
  <c r="J317" i="1"/>
  <c r="I317" i="1"/>
  <c r="H317" i="1"/>
  <c r="G317" i="1"/>
  <c r="P316" i="1"/>
  <c r="O316" i="1"/>
  <c r="N316" i="1"/>
  <c r="M316" i="1"/>
  <c r="L316" i="1"/>
  <c r="K316" i="1"/>
  <c r="J316" i="1"/>
  <c r="I316" i="1"/>
  <c r="H316" i="1"/>
  <c r="G316" i="1"/>
  <c r="P315" i="1"/>
  <c r="O315" i="1"/>
  <c r="N315" i="1"/>
  <c r="M315" i="1"/>
  <c r="L315" i="1"/>
  <c r="K315" i="1"/>
  <c r="J315" i="1"/>
  <c r="I315" i="1"/>
  <c r="H315" i="1"/>
  <c r="G315" i="1"/>
  <c r="P314" i="1"/>
  <c r="O314" i="1"/>
  <c r="N314" i="1"/>
  <c r="M314" i="1"/>
  <c r="L314" i="1"/>
  <c r="K314" i="1"/>
  <c r="J314" i="1"/>
  <c r="I314" i="1"/>
  <c r="H314" i="1"/>
  <c r="G314" i="1"/>
  <c r="P313" i="1"/>
  <c r="O313" i="1"/>
  <c r="N313" i="1"/>
  <c r="M313" i="1"/>
  <c r="L313" i="1"/>
  <c r="K313" i="1"/>
  <c r="J313" i="1"/>
  <c r="I313" i="1"/>
  <c r="H313" i="1"/>
  <c r="G313" i="1"/>
  <c r="P312" i="1"/>
  <c r="O312" i="1"/>
  <c r="N312" i="1"/>
  <c r="M312" i="1"/>
  <c r="L312" i="1"/>
  <c r="K312" i="1"/>
  <c r="J312" i="1"/>
  <c r="I312" i="1"/>
  <c r="H312" i="1"/>
  <c r="G312" i="1"/>
  <c r="P311" i="1"/>
  <c r="O311" i="1"/>
  <c r="N311" i="1"/>
  <c r="M311" i="1"/>
  <c r="L311" i="1"/>
  <c r="K311" i="1"/>
  <c r="J311" i="1"/>
  <c r="I311" i="1"/>
  <c r="H311" i="1"/>
  <c r="G311" i="1"/>
  <c r="P310" i="1"/>
  <c r="O310" i="1"/>
  <c r="N310" i="1"/>
  <c r="M310" i="1"/>
  <c r="L310" i="1"/>
  <c r="K310" i="1"/>
  <c r="J310" i="1"/>
  <c r="I310" i="1"/>
  <c r="H310" i="1"/>
  <c r="G310" i="1"/>
  <c r="P309" i="1"/>
  <c r="O309" i="1"/>
  <c r="N309" i="1"/>
  <c r="M309" i="1"/>
  <c r="L309" i="1"/>
  <c r="K309" i="1"/>
  <c r="J309" i="1"/>
  <c r="I309" i="1"/>
  <c r="H309" i="1"/>
  <c r="G309" i="1"/>
  <c r="P308" i="1"/>
  <c r="O308" i="1"/>
  <c r="N308" i="1"/>
  <c r="M308" i="1"/>
  <c r="L308" i="1"/>
  <c r="K308" i="1"/>
  <c r="J308" i="1"/>
  <c r="I308" i="1"/>
  <c r="H308" i="1"/>
  <c r="G308" i="1"/>
  <c r="P307" i="1"/>
  <c r="O307" i="1"/>
  <c r="N307" i="1"/>
  <c r="M307" i="1"/>
  <c r="L307" i="1"/>
  <c r="K307" i="1"/>
  <c r="J307" i="1"/>
  <c r="I307" i="1"/>
  <c r="H307" i="1"/>
  <c r="G307" i="1"/>
  <c r="P306" i="1"/>
  <c r="O306" i="1"/>
  <c r="N306" i="1"/>
  <c r="M306" i="1"/>
  <c r="L306" i="1"/>
  <c r="K306" i="1"/>
  <c r="J306" i="1"/>
  <c r="I306" i="1"/>
  <c r="H306" i="1"/>
  <c r="G306" i="1"/>
  <c r="P305" i="1"/>
  <c r="O305" i="1"/>
  <c r="N305" i="1"/>
  <c r="M305" i="1"/>
  <c r="L305" i="1"/>
  <c r="K305" i="1"/>
  <c r="J305" i="1"/>
  <c r="I305" i="1"/>
  <c r="H305" i="1"/>
  <c r="G305" i="1"/>
  <c r="P304" i="1"/>
  <c r="O304" i="1"/>
  <c r="N304" i="1"/>
  <c r="M304" i="1"/>
  <c r="L304" i="1"/>
  <c r="K304" i="1"/>
  <c r="J304" i="1"/>
  <c r="I304" i="1"/>
  <c r="H304" i="1"/>
  <c r="G304" i="1"/>
  <c r="P303" i="1"/>
  <c r="O303" i="1"/>
  <c r="N303" i="1"/>
  <c r="M303" i="1"/>
  <c r="L303" i="1"/>
  <c r="K303" i="1"/>
  <c r="J303" i="1"/>
  <c r="I303" i="1"/>
  <c r="H303" i="1"/>
  <c r="G303" i="1"/>
  <c r="P302" i="1"/>
  <c r="O302" i="1"/>
  <c r="N302" i="1"/>
  <c r="M302" i="1"/>
  <c r="L302" i="1"/>
  <c r="K302" i="1"/>
  <c r="J302" i="1"/>
  <c r="I302" i="1"/>
  <c r="H302" i="1"/>
  <c r="G302" i="1"/>
  <c r="P301" i="1"/>
  <c r="O301" i="1"/>
  <c r="N301" i="1"/>
  <c r="M301" i="1"/>
  <c r="L301" i="1"/>
  <c r="K301" i="1"/>
  <c r="J301" i="1"/>
  <c r="I301" i="1"/>
  <c r="H301" i="1"/>
  <c r="G301" i="1"/>
  <c r="P300" i="1"/>
  <c r="O300" i="1"/>
  <c r="N300" i="1"/>
  <c r="M300" i="1"/>
  <c r="L300" i="1"/>
  <c r="K300" i="1"/>
  <c r="J300" i="1"/>
  <c r="I300" i="1"/>
  <c r="H300" i="1"/>
  <c r="G300" i="1"/>
  <c r="P299" i="1"/>
  <c r="O299" i="1"/>
  <c r="N299" i="1"/>
  <c r="M299" i="1"/>
  <c r="L299" i="1"/>
  <c r="K299" i="1"/>
  <c r="J299" i="1"/>
  <c r="I299" i="1"/>
  <c r="H299" i="1"/>
  <c r="G299" i="1"/>
  <c r="P298" i="1"/>
  <c r="O298" i="1"/>
  <c r="N298" i="1"/>
  <c r="M298" i="1"/>
  <c r="L298" i="1"/>
  <c r="K298" i="1"/>
  <c r="J298" i="1"/>
  <c r="I298" i="1"/>
  <c r="H298" i="1"/>
  <c r="G298" i="1"/>
  <c r="P297" i="1"/>
  <c r="O297" i="1"/>
  <c r="N297" i="1"/>
  <c r="M297" i="1"/>
  <c r="L297" i="1"/>
  <c r="K297" i="1"/>
  <c r="J297" i="1"/>
  <c r="I297" i="1"/>
  <c r="H297" i="1"/>
  <c r="G297" i="1"/>
  <c r="P296" i="1"/>
  <c r="O296" i="1"/>
  <c r="N296" i="1"/>
  <c r="M296" i="1"/>
  <c r="L296" i="1"/>
  <c r="K296" i="1"/>
  <c r="J296" i="1"/>
  <c r="I296" i="1"/>
  <c r="H296" i="1"/>
  <c r="G296" i="1"/>
  <c r="P295" i="1"/>
  <c r="O295" i="1"/>
  <c r="N295" i="1"/>
  <c r="M295" i="1"/>
  <c r="L295" i="1"/>
  <c r="K295" i="1"/>
  <c r="J295" i="1"/>
  <c r="I295" i="1"/>
  <c r="H295" i="1"/>
  <c r="G295" i="1"/>
  <c r="P294" i="1"/>
  <c r="O294" i="1"/>
  <c r="N294" i="1"/>
  <c r="M294" i="1"/>
  <c r="L294" i="1"/>
  <c r="K294" i="1"/>
  <c r="J294" i="1"/>
  <c r="I294" i="1"/>
  <c r="H294" i="1"/>
  <c r="G294" i="1"/>
  <c r="P293" i="1"/>
  <c r="O293" i="1"/>
  <c r="N293" i="1"/>
  <c r="M293" i="1"/>
  <c r="L293" i="1"/>
  <c r="K293" i="1"/>
  <c r="J293" i="1"/>
  <c r="I293" i="1"/>
  <c r="H293" i="1"/>
  <c r="G293" i="1"/>
  <c r="P292" i="1"/>
  <c r="O292" i="1"/>
  <c r="N292" i="1"/>
  <c r="M292" i="1"/>
  <c r="L292" i="1"/>
  <c r="K292" i="1"/>
  <c r="J292" i="1"/>
  <c r="I292" i="1"/>
  <c r="H292" i="1"/>
  <c r="G292" i="1"/>
  <c r="P291" i="1"/>
  <c r="O291" i="1"/>
  <c r="N291" i="1"/>
  <c r="M291" i="1"/>
  <c r="L291" i="1"/>
  <c r="K291" i="1"/>
  <c r="J291" i="1"/>
  <c r="I291" i="1"/>
  <c r="H291" i="1"/>
  <c r="G291" i="1"/>
  <c r="P290" i="1"/>
  <c r="O290" i="1"/>
  <c r="N290" i="1"/>
  <c r="M290" i="1"/>
  <c r="L290" i="1"/>
  <c r="K290" i="1"/>
  <c r="J290" i="1"/>
  <c r="I290" i="1"/>
  <c r="H290" i="1"/>
  <c r="G290" i="1"/>
  <c r="P289" i="1"/>
  <c r="O289" i="1"/>
  <c r="N289" i="1"/>
  <c r="M289" i="1"/>
  <c r="L289" i="1"/>
  <c r="K289" i="1"/>
  <c r="J289" i="1"/>
  <c r="I289" i="1"/>
  <c r="H289" i="1"/>
  <c r="G289" i="1"/>
  <c r="P288" i="1"/>
  <c r="O288" i="1"/>
  <c r="N288" i="1"/>
  <c r="M288" i="1"/>
  <c r="L288" i="1"/>
  <c r="K288" i="1"/>
  <c r="J288" i="1"/>
  <c r="I288" i="1"/>
  <c r="H288" i="1"/>
  <c r="G288" i="1"/>
  <c r="P287" i="1"/>
  <c r="O287" i="1"/>
  <c r="N287" i="1"/>
  <c r="M287" i="1"/>
  <c r="L287" i="1"/>
  <c r="K287" i="1"/>
  <c r="J287" i="1"/>
  <c r="I287" i="1"/>
  <c r="H287" i="1"/>
  <c r="G287" i="1"/>
  <c r="P286" i="1"/>
  <c r="O286" i="1"/>
  <c r="N286" i="1"/>
  <c r="M286" i="1"/>
  <c r="L286" i="1"/>
  <c r="K286" i="1"/>
  <c r="J286" i="1"/>
  <c r="I286" i="1"/>
  <c r="H286" i="1"/>
  <c r="G286" i="1"/>
  <c r="P285" i="1"/>
  <c r="O285" i="1"/>
  <c r="N285" i="1"/>
  <c r="M285" i="1"/>
  <c r="L285" i="1"/>
  <c r="K285" i="1"/>
  <c r="J285" i="1"/>
  <c r="I285" i="1"/>
  <c r="H285" i="1"/>
  <c r="G285" i="1"/>
  <c r="P284" i="1"/>
  <c r="O284" i="1"/>
  <c r="N284" i="1"/>
  <c r="M284" i="1"/>
  <c r="L284" i="1"/>
  <c r="K284" i="1"/>
  <c r="J284" i="1"/>
  <c r="I284" i="1"/>
  <c r="H284" i="1"/>
  <c r="G284" i="1"/>
  <c r="P283" i="1"/>
  <c r="O283" i="1"/>
  <c r="N283" i="1"/>
  <c r="M283" i="1"/>
  <c r="L283" i="1"/>
  <c r="K283" i="1"/>
  <c r="J283" i="1"/>
  <c r="I283" i="1"/>
  <c r="H283" i="1"/>
  <c r="G283" i="1"/>
  <c r="P282" i="1"/>
  <c r="O282" i="1"/>
  <c r="N282" i="1"/>
  <c r="M282" i="1"/>
  <c r="L282" i="1"/>
  <c r="K282" i="1"/>
  <c r="J282" i="1"/>
  <c r="I282" i="1"/>
  <c r="H282" i="1"/>
  <c r="G282" i="1"/>
  <c r="P281" i="1"/>
  <c r="O281" i="1"/>
  <c r="N281" i="1"/>
  <c r="M281" i="1"/>
  <c r="L281" i="1"/>
  <c r="K281" i="1"/>
  <c r="J281" i="1"/>
  <c r="I281" i="1"/>
  <c r="H281" i="1"/>
  <c r="G281" i="1"/>
  <c r="P280" i="1"/>
  <c r="O280" i="1"/>
  <c r="N280" i="1"/>
  <c r="M280" i="1"/>
  <c r="L280" i="1"/>
  <c r="K280" i="1"/>
  <c r="J280" i="1"/>
  <c r="I280" i="1"/>
  <c r="H280" i="1"/>
  <c r="G280" i="1"/>
  <c r="P279" i="1"/>
  <c r="O279" i="1"/>
  <c r="N279" i="1"/>
  <c r="M279" i="1"/>
  <c r="L279" i="1"/>
  <c r="K279" i="1"/>
  <c r="J279" i="1"/>
  <c r="I279" i="1"/>
  <c r="H279" i="1"/>
  <c r="G279" i="1"/>
  <c r="P278" i="1"/>
  <c r="O278" i="1"/>
  <c r="N278" i="1"/>
  <c r="M278" i="1"/>
  <c r="L278" i="1"/>
  <c r="K278" i="1"/>
  <c r="J278" i="1"/>
  <c r="I278" i="1"/>
  <c r="H278" i="1"/>
  <c r="G278" i="1"/>
  <c r="P277" i="1"/>
  <c r="O277" i="1"/>
  <c r="N277" i="1"/>
  <c r="M277" i="1"/>
  <c r="L277" i="1"/>
  <c r="K277" i="1"/>
  <c r="J277" i="1"/>
  <c r="I277" i="1"/>
  <c r="H277" i="1"/>
  <c r="G277" i="1"/>
  <c r="P276" i="1"/>
  <c r="O276" i="1"/>
  <c r="N276" i="1"/>
  <c r="M276" i="1"/>
  <c r="L276" i="1"/>
  <c r="K276" i="1"/>
  <c r="J276" i="1"/>
  <c r="I276" i="1"/>
  <c r="H276" i="1"/>
  <c r="G276" i="1"/>
  <c r="P275" i="1"/>
  <c r="O275" i="1"/>
  <c r="N275" i="1"/>
  <c r="M275" i="1"/>
  <c r="L275" i="1"/>
  <c r="K275" i="1"/>
  <c r="J275" i="1"/>
  <c r="I275" i="1"/>
  <c r="H275" i="1"/>
  <c r="G275" i="1"/>
  <c r="P274" i="1"/>
  <c r="O274" i="1"/>
  <c r="N274" i="1"/>
  <c r="M274" i="1"/>
  <c r="L274" i="1"/>
  <c r="K274" i="1"/>
  <c r="J274" i="1"/>
  <c r="I274" i="1"/>
  <c r="H274" i="1"/>
  <c r="G274" i="1"/>
  <c r="P273" i="1"/>
  <c r="O273" i="1"/>
  <c r="N273" i="1"/>
  <c r="M273" i="1"/>
  <c r="L273" i="1"/>
  <c r="K273" i="1"/>
  <c r="J273" i="1"/>
  <c r="I273" i="1"/>
  <c r="H273" i="1"/>
  <c r="G273" i="1"/>
  <c r="P272" i="1"/>
  <c r="O272" i="1"/>
  <c r="N272" i="1"/>
  <c r="M272" i="1"/>
  <c r="L272" i="1"/>
  <c r="K272" i="1"/>
  <c r="J272" i="1"/>
  <c r="I272" i="1"/>
  <c r="H272" i="1"/>
  <c r="G272" i="1"/>
  <c r="P271" i="1"/>
  <c r="O271" i="1"/>
  <c r="N271" i="1"/>
  <c r="M271" i="1"/>
  <c r="L271" i="1"/>
  <c r="K271" i="1"/>
  <c r="J271" i="1"/>
  <c r="I271" i="1"/>
  <c r="H271" i="1"/>
  <c r="G271" i="1"/>
  <c r="P270" i="1"/>
  <c r="O270" i="1"/>
  <c r="N270" i="1"/>
  <c r="M270" i="1"/>
  <c r="L270" i="1"/>
  <c r="K270" i="1"/>
  <c r="J270" i="1"/>
  <c r="I270" i="1"/>
  <c r="H270" i="1"/>
  <c r="G270" i="1"/>
  <c r="P269" i="1"/>
  <c r="O269" i="1"/>
  <c r="N269" i="1"/>
  <c r="M269" i="1"/>
  <c r="L269" i="1"/>
  <c r="K269" i="1"/>
  <c r="J269" i="1"/>
  <c r="I269" i="1"/>
  <c r="H269" i="1"/>
  <c r="G269" i="1"/>
  <c r="P268" i="1"/>
  <c r="O268" i="1"/>
  <c r="N268" i="1"/>
  <c r="M268" i="1"/>
  <c r="L268" i="1"/>
  <c r="K268" i="1"/>
  <c r="J268" i="1"/>
  <c r="I268" i="1"/>
  <c r="H268" i="1"/>
  <c r="G268" i="1"/>
  <c r="P267" i="1"/>
  <c r="O267" i="1"/>
  <c r="N267" i="1"/>
  <c r="M267" i="1"/>
  <c r="L267" i="1"/>
  <c r="K267" i="1"/>
  <c r="J267" i="1"/>
  <c r="I267" i="1"/>
  <c r="H267" i="1"/>
  <c r="G267" i="1"/>
  <c r="P266" i="1"/>
  <c r="O266" i="1"/>
  <c r="N266" i="1"/>
  <c r="M266" i="1"/>
  <c r="L266" i="1"/>
  <c r="K266" i="1"/>
  <c r="J266" i="1"/>
  <c r="I266" i="1"/>
  <c r="H266" i="1"/>
  <c r="G266" i="1"/>
  <c r="P265" i="1"/>
  <c r="O265" i="1"/>
  <c r="N265" i="1"/>
  <c r="M265" i="1"/>
  <c r="L265" i="1"/>
  <c r="K265" i="1"/>
  <c r="J265" i="1"/>
  <c r="I265" i="1"/>
  <c r="H265" i="1"/>
  <c r="G265" i="1"/>
  <c r="P264" i="1"/>
  <c r="O264" i="1"/>
  <c r="N264" i="1"/>
  <c r="M264" i="1"/>
  <c r="L264" i="1"/>
  <c r="K264" i="1"/>
  <c r="J264" i="1"/>
  <c r="I264" i="1"/>
  <c r="H264" i="1"/>
  <c r="G264" i="1"/>
  <c r="P263" i="1"/>
  <c r="O263" i="1"/>
  <c r="N263" i="1"/>
  <c r="M263" i="1"/>
  <c r="L263" i="1"/>
  <c r="K263" i="1"/>
  <c r="J263" i="1"/>
  <c r="I263" i="1"/>
  <c r="H263" i="1"/>
  <c r="G263" i="1"/>
  <c r="P262" i="1"/>
  <c r="O262" i="1"/>
  <c r="N262" i="1"/>
  <c r="M262" i="1"/>
  <c r="L262" i="1"/>
  <c r="K262" i="1"/>
  <c r="J262" i="1"/>
  <c r="I262" i="1"/>
  <c r="H262" i="1"/>
  <c r="G262" i="1"/>
  <c r="P261" i="1"/>
  <c r="O261" i="1"/>
  <c r="N261" i="1"/>
  <c r="M261" i="1"/>
  <c r="L261" i="1"/>
  <c r="K261" i="1"/>
  <c r="J261" i="1"/>
  <c r="I261" i="1"/>
  <c r="H261" i="1"/>
  <c r="G261" i="1"/>
  <c r="P260" i="1"/>
  <c r="O260" i="1"/>
  <c r="N260" i="1"/>
  <c r="M260" i="1"/>
  <c r="L260" i="1"/>
  <c r="K260" i="1"/>
  <c r="J260" i="1"/>
  <c r="I260" i="1"/>
  <c r="H260" i="1"/>
  <c r="G260" i="1"/>
  <c r="P259" i="1"/>
  <c r="O259" i="1"/>
  <c r="N259" i="1"/>
  <c r="M259" i="1"/>
  <c r="L259" i="1"/>
  <c r="K259" i="1"/>
  <c r="J259" i="1"/>
  <c r="I259" i="1"/>
  <c r="H259" i="1"/>
  <c r="G259" i="1"/>
  <c r="P258" i="1"/>
  <c r="O258" i="1"/>
  <c r="N258" i="1"/>
  <c r="M258" i="1"/>
  <c r="L258" i="1"/>
  <c r="K258" i="1"/>
  <c r="J258" i="1"/>
  <c r="I258" i="1"/>
  <c r="H258" i="1"/>
  <c r="G258" i="1"/>
  <c r="P257" i="1"/>
  <c r="O257" i="1"/>
  <c r="N257" i="1"/>
  <c r="M257" i="1"/>
  <c r="L257" i="1"/>
  <c r="K257" i="1"/>
  <c r="J257" i="1"/>
  <c r="I257" i="1"/>
  <c r="H257" i="1"/>
  <c r="G257" i="1"/>
  <c r="P256" i="1"/>
  <c r="O256" i="1"/>
  <c r="N256" i="1"/>
  <c r="M256" i="1"/>
  <c r="L256" i="1"/>
  <c r="K256" i="1"/>
  <c r="J256" i="1"/>
  <c r="I256" i="1"/>
  <c r="H256" i="1"/>
  <c r="G256" i="1"/>
  <c r="P255" i="1"/>
  <c r="O255" i="1"/>
  <c r="N255" i="1"/>
  <c r="M255" i="1"/>
  <c r="L255" i="1"/>
  <c r="K255" i="1"/>
  <c r="J255" i="1"/>
  <c r="I255" i="1"/>
  <c r="H255" i="1"/>
  <c r="G255" i="1"/>
  <c r="P254" i="1"/>
  <c r="O254" i="1"/>
  <c r="N254" i="1"/>
  <c r="M254" i="1"/>
  <c r="L254" i="1"/>
  <c r="K254" i="1"/>
  <c r="J254" i="1"/>
  <c r="I254" i="1"/>
  <c r="H254" i="1"/>
  <c r="G254" i="1"/>
  <c r="P253" i="1"/>
  <c r="O253" i="1"/>
  <c r="N253" i="1"/>
  <c r="M253" i="1"/>
  <c r="L253" i="1"/>
  <c r="K253" i="1"/>
  <c r="J253" i="1"/>
  <c r="I253" i="1"/>
  <c r="H253" i="1"/>
  <c r="G253" i="1"/>
  <c r="P252" i="1"/>
  <c r="O252" i="1"/>
  <c r="N252" i="1"/>
  <c r="M252" i="1"/>
  <c r="L252" i="1"/>
  <c r="K252" i="1"/>
  <c r="J252" i="1"/>
  <c r="I252" i="1"/>
  <c r="H252" i="1"/>
  <c r="G252" i="1"/>
  <c r="P251" i="1"/>
  <c r="O251" i="1"/>
  <c r="N251" i="1"/>
  <c r="M251" i="1"/>
  <c r="L251" i="1"/>
  <c r="K251" i="1"/>
  <c r="J251" i="1"/>
  <c r="I251" i="1"/>
  <c r="H251" i="1"/>
  <c r="G251" i="1"/>
  <c r="P250" i="1"/>
  <c r="O250" i="1"/>
  <c r="N250" i="1"/>
  <c r="M250" i="1"/>
  <c r="L250" i="1"/>
  <c r="K250" i="1"/>
  <c r="J250" i="1"/>
  <c r="I250" i="1"/>
  <c r="H250" i="1"/>
  <c r="G250" i="1"/>
  <c r="P249" i="1"/>
  <c r="O249" i="1"/>
  <c r="N249" i="1"/>
  <c r="M249" i="1"/>
  <c r="L249" i="1"/>
  <c r="K249" i="1"/>
  <c r="J249" i="1"/>
  <c r="I249" i="1"/>
  <c r="H249" i="1"/>
  <c r="G249" i="1"/>
  <c r="P248" i="1"/>
  <c r="O248" i="1"/>
  <c r="N248" i="1"/>
  <c r="M248" i="1"/>
  <c r="L248" i="1"/>
  <c r="K248" i="1"/>
  <c r="J248" i="1"/>
  <c r="I248" i="1"/>
  <c r="H248" i="1"/>
  <c r="G248" i="1"/>
  <c r="P247" i="1"/>
  <c r="O247" i="1"/>
  <c r="N247" i="1"/>
  <c r="M247" i="1"/>
  <c r="L247" i="1"/>
  <c r="K247" i="1"/>
  <c r="J247" i="1"/>
  <c r="I247" i="1"/>
  <c r="H247" i="1"/>
  <c r="G247" i="1"/>
  <c r="P246" i="1"/>
  <c r="O246" i="1"/>
  <c r="N246" i="1"/>
  <c r="M246" i="1"/>
  <c r="L246" i="1"/>
  <c r="K246" i="1"/>
  <c r="J246" i="1"/>
  <c r="I246" i="1"/>
  <c r="H246" i="1"/>
  <c r="G246" i="1"/>
  <c r="P245" i="1"/>
  <c r="O245" i="1"/>
  <c r="N245" i="1"/>
  <c r="M245" i="1"/>
  <c r="L245" i="1"/>
  <c r="K245" i="1"/>
  <c r="J245" i="1"/>
  <c r="I245" i="1"/>
  <c r="H245" i="1"/>
  <c r="G245" i="1"/>
  <c r="P244" i="1"/>
  <c r="O244" i="1"/>
  <c r="N244" i="1"/>
  <c r="M244" i="1"/>
  <c r="L244" i="1"/>
  <c r="K244" i="1"/>
  <c r="J244" i="1"/>
  <c r="I244" i="1"/>
  <c r="H244" i="1"/>
  <c r="G244" i="1"/>
  <c r="P243" i="1"/>
  <c r="O243" i="1"/>
  <c r="N243" i="1"/>
  <c r="M243" i="1"/>
  <c r="L243" i="1"/>
  <c r="K243" i="1"/>
  <c r="J243" i="1"/>
  <c r="I243" i="1"/>
  <c r="H243" i="1"/>
  <c r="G243" i="1"/>
  <c r="P242" i="1"/>
  <c r="O242" i="1"/>
  <c r="N242" i="1"/>
  <c r="M242" i="1"/>
  <c r="L242" i="1"/>
  <c r="K242" i="1"/>
  <c r="J242" i="1"/>
  <c r="I242" i="1"/>
  <c r="H242" i="1"/>
  <c r="G242" i="1"/>
  <c r="P241" i="1"/>
  <c r="O241" i="1"/>
  <c r="N241" i="1"/>
  <c r="M241" i="1"/>
  <c r="L241" i="1"/>
  <c r="K241" i="1"/>
  <c r="J241" i="1"/>
  <c r="I241" i="1"/>
  <c r="H241" i="1"/>
  <c r="G241" i="1"/>
  <c r="P240" i="1"/>
  <c r="O240" i="1"/>
  <c r="N240" i="1"/>
  <c r="M240" i="1"/>
  <c r="L240" i="1"/>
  <c r="K240" i="1"/>
  <c r="J240" i="1"/>
  <c r="I240" i="1"/>
  <c r="H240" i="1"/>
  <c r="G240" i="1"/>
  <c r="P239" i="1"/>
  <c r="O239" i="1"/>
  <c r="N239" i="1"/>
  <c r="M239" i="1"/>
  <c r="L239" i="1"/>
  <c r="K239" i="1"/>
  <c r="J239" i="1"/>
  <c r="I239" i="1"/>
  <c r="H239" i="1"/>
  <c r="G239" i="1"/>
  <c r="P238" i="1"/>
  <c r="O238" i="1"/>
  <c r="N238" i="1"/>
  <c r="M238" i="1"/>
  <c r="L238" i="1"/>
  <c r="K238" i="1"/>
  <c r="J238" i="1"/>
  <c r="I238" i="1"/>
  <c r="H238" i="1"/>
  <c r="G238" i="1"/>
  <c r="P237" i="1"/>
  <c r="O237" i="1"/>
  <c r="N237" i="1"/>
  <c r="M237" i="1"/>
  <c r="L237" i="1"/>
  <c r="K237" i="1"/>
  <c r="J237" i="1"/>
  <c r="I237" i="1"/>
  <c r="H237" i="1"/>
  <c r="G237" i="1"/>
  <c r="P236" i="1"/>
  <c r="O236" i="1"/>
  <c r="N236" i="1"/>
  <c r="M236" i="1"/>
  <c r="L236" i="1"/>
  <c r="K236" i="1"/>
  <c r="J236" i="1"/>
  <c r="I236" i="1"/>
  <c r="H236" i="1"/>
  <c r="G236" i="1"/>
  <c r="P235" i="1"/>
  <c r="O235" i="1"/>
  <c r="N235" i="1"/>
  <c r="M235" i="1"/>
  <c r="L235" i="1"/>
  <c r="K235" i="1"/>
  <c r="J235" i="1"/>
  <c r="I235" i="1"/>
  <c r="H235" i="1"/>
  <c r="G235" i="1"/>
  <c r="P234" i="1"/>
  <c r="O234" i="1"/>
  <c r="N234" i="1"/>
  <c r="M234" i="1"/>
  <c r="L234" i="1"/>
  <c r="K234" i="1"/>
  <c r="J234" i="1"/>
  <c r="I234" i="1"/>
  <c r="H234" i="1"/>
  <c r="G234" i="1"/>
  <c r="P233" i="1"/>
  <c r="O233" i="1"/>
  <c r="N233" i="1"/>
  <c r="M233" i="1"/>
  <c r="L233" i="1"/>
  <c r="K233" i="1"/>
  <c r="J233" i="1"/>
  <c r="I233" i="1"/>
  <c r="H233" i="1"/>
  <c r="G233" i="1"/>
  <c r="P232" i="1"/>
  <c r="O232" i="1"/>
  <c r="N232" i="1"/>
  <c r="M232" i="1"/>
  <c r="L232" i="1"/>
  <c r="K232" i="1"/>
  <c r="J232" i="1"/>
  <c r="I232" i="1"/>
  <c r="H232" i="1"/>
  <c r="G232" i="1"/>
  <c r="P231" i="1"/>
  <c r="O231" i="1"/>
  <c r="N231" i="1"/>
  <c r="M231" i="1"/>
  <c r="L231" i="1"/>
  <c r="K231" i="1"/>
  <c r="J231" i="1"/>
  <c r="I231" i="1"/>
  <c r="H231" i="1"/>
  <c r="G231" i="1"/>
  <c r="P230" i="1"/>
  <c r="O230" i="1"/>
  <c r="N230" i="1"/>
  <c r="M230" i="1"/>
  <c r="L230" i="1"/>
  <c r="K230" i="1"/>
  <c r="J230" i="1"/>
  <c r="I230" i="1"/>
  <c r="H230" i="1"/>
  <c r="G230" i="1"/>
  <c r="P229" i="1"/>
  <c r="O229" i="1"/>
  <c r="N229" i="1"/>
  <c r="M229" i="1"/>
  <c r="L229" i="1"/>
  <c r="K229" i="1"/>
  <c r="J229" i="1"/>
  <c r="I229" i="1"/>
  <c r="H229" i="1"/>
  <c r="G229" i="1"/>
  <c r="P228" i="1"/>
  <c r="O228" i="1"/>
  <c r="N228" i="1"/>
  <c r="M228" i="1"/>
  <c r="L228" i="1"/>
  <c r="K228" i="1"/>
  <c r="J228" i="1"/>
  <c r="I228" i="1"/>
  <c r="H228" i="1"/>
  <c r="G228" i="1"/>
  <c r="P227" i="1"/>
  <c r="O227" i="1"/>
  <c r="N227" i="1"/>
  <c r="M227" i="1"/>
  <c r="L227" i="1"/>
  <c r="K227" i="1"/>
  <c r="J227" i="1"/>
  <c r="I227" i="1"/>
  <c r="H227" i="1"/>
  <c r="G227" i="1"/>
  <c r="P226" i="1"/>
  <c r="O226" i="1"/>
  <c r="N226" i="1"/>
  <c r="M226" i="1"/>
  <c r="L226" i="1"/>
  <c r="K226" i="1"/>
  <c r="J226" i="1"/>
  <c r="I226" i="1"/>
  <c r="H226" i="1"/>
  <c r="G226" i="1"/>
  <c r="P225" i="1"/>
  <c r="O225" i="1"/>
  <c r="N225" i="1"/>
  <c r="M225" i="1"/>
  <c r="L225" i="1"/>
  <c r="K225" i="1"/>
  <c r="J225" i="1"/>
  <c r="I225" i="1"/>
  <c r="H225" i="1"/>
  <c r="G225" i="1"/>
  <c r="P224" i="1"/>
  <c r="O224" i="1"/>
  <c r="N224" i="1"/>
  <c r="M224" i="1"/>
  <c r="L224" i="1"/>
  <c r="K224" i="1"/>
  <c r="J224" i="1"/>
  <c r="I224" i="1"/>
  <c r="H224" i="1"/>
  <c r="G224" i="1"/>
  <c r="P223" i="1"/>
  <c r="O223" i="1"/>
  <c r="N223" i="1"/>
  <c r="M223" i="1"/>
  <c r="L223" i="1"/>
  <c r="K223" i="1"/>
  <c r="J223" i="1"/>
  <c r="I223" i="1"/>
  <c r="H223" i="1"/>
  <c r="G223" i="1"/>
  <c r="P222" i="1"/>
  <c r="O222" i="1"/>
  <c r="N222" i="1"/>
  <c r="M222" i="1"/>
  <c r="L222" i="1"/>
  <c r="K222" i="1"/>
  <c r="J222" i="1"/>
  <c r="I222" i="1"/>
  <c r="H222" i="1"/>
  <c r="G222" i="1"/>
  <c r="P221" i="1"/>
  <c r="O221" i="1"/>
  <c r="N221" i="1"/>
  <c r="M221" i="1"/>
  <c r="L221" i="1"/>
  <c r="K221" i="1"/>
  <c r="J221" i="1"/>
  <c r="I221" i="1"/>
  <c r="H221" i="1"/>
  <c r="G221" i="1"/>
  <c r="P220" i="1"/>
  <c r="O220" i="1"/>
  <c r="N220" i="1"/>
  <c r="M220" i="1"/>
  <c r="L220" i="1"/>
  <c r="K220" i="1"/>
  <c r="J220" i="1"/>
  <c r="I220" i="1"/>
  <c r="H220" i="1"/>
  <c r="G220" i="1"/>
  <c r="P219" i="1"/>
  <c r="O219" i="1"/>
  <c r="N219" i="1"/>
  <c r="M219" i="1"/>
  <c r="L219" i="1"/>
  <c r="K219" i="1"/>
  <c r="J219" i="1"/>
  <c r="I219" i="1"/>
  <c r="H219" i="1"/>
  <c r="G219" i="1"/>
  <c r="P218" i="1"/>
  <c r="O218" i="1"/>
  <c r="N218" i="1"/>
  <c r="M218" i="1"/>
  <c r="L218" i="1"/>
  <c r="K218" i="1"/>
  <c r="J218" i="1"/>
  <c r="I218" i="1"/>
  <c r="H218" i="1"/>
  <c r="G218" i="1"/>
  <c r="P217" i="1"/>
  <c r="O217" i="1"/>
  <c r="N217" i="1"/>
  <c r="M217" i="1"/>
  <c r="L217" i="1"/>
  <c r="K217" i="1"/>
  <c r="J217" i="1"/>
  <c r="I217" i="1"/>
  <c r="H217" i="1"/>
  <c r="G217" i="1"/>
  <c r="P216" i="1"/>
  <c r="O216" i="1"/>
  <c r="N216" i="1"/>
  <c r="M216" i="1"/>
  <c r="L216" i="1"/>
  <c r="K216" i="1"/>
  <c r="J216" i="1"/>
  <c r="I216" i="1"/>
  <c r="H216" i="1"/>
  <c r="G216" i="1"/>
  <c r="P215" i="1"/>
  <c r="O215" i="1"/>
  <c r="N215" i="1"/>
  <c r="M215" i="1"/>
  <c r="L215" i="1"/>
  <c r="K215" i="1"/>
  <c r="J215" i="1"/>
  <c r="I215" i="1"/>
  <c r="H215" i="1"/>
  <c r="G215" i="1"/>
  <c r="P214" i="1"/>
  <c r="O214" i="1"/>
  <c r="N214" i="1"/>
  <c r="M214" i="1"/>
  <c r="L214" i="1"/>
  <c r="K214" i="1"/>
  <c r="J214" i="1"/>
  <c r="I214" i="1"/>
  <c r="H214" i="1"/>
  <c r="G214" i="1"/>
  <c r="P213" i="1"/>
  <c r="O213" i="1"/>
  <c r="N213" i="1"/>
  <c r="M213" i="1"/>
  <c r="L213" i="1"/>
  <c r="K213" i="1"/>
  <c r="J213" i="1"/>
  <c r="I213" i="1"/>
  <c r="H213" i="1"/>
  <c r="G213" i="1"/>
  <c r="P212" i="1"/>
  <c r="O212" i="1"/>
  <c r="N212" i="1"/>
  <c r="M212" i="1"/>
  <c r="L212" i="1"/>
  <c r="K212" i="1"/>
  <c r="J212" i="1"/>
  <c r="I212" i="1"/>
  <c r="H212" i="1"/>
  <c r="G212" i="1"/>
  <c r="P211" i="1"/>
  <c r="O211" i="1"/>
  <c r="N211" i="1"/>
  <c r="M211" i="1"/>
  <c r="L211" i="1"/>
  <c r="K211" i="1"/>
  <c r="J211" i="1"/>
  <c r="I211" i="1"/>
  <c r="H211" i="1"/>
  <c r="G211" i="1"/>
  <c r="P210" i="1"/>
  <c r="O210" i="1"/>
  <c r="N210" i="1"/>
  <c r="M210" i="1"/>
  <c r="L210" i="1"/>
  <c r="K210" i="1"/>
  <c r="J210" i="1"/>
  <c r="I210" i="1"/>
  <c r="H210" i="1"/>
  <c r="G210" i="1"/>
  <c r="P209" i="1"/>
  <c r="O209" i="1"/>
  <c r="N209" i="1"/>
  <c r="M209" i="1"/>
  <c r="L209" i="1"/>
  <c r="K209" i="1"/>
  <c r="J209" i="1"/>
  <c r="I209" i="1"/>
  <c r="H209" i="1"/>
  <c r="G209" i="1"/>
  <c r="P208" i="1"/>
  <c r="O208" i="1"/>
  <c r="N208" i="1"/>
  <c r="M208" i="1"/>
  <c r="L208" i="1"/>
  <c r="K208" i="1"/>
  <c r="J208" i="1"/>
  <c r="I208" i="1"/>
  <c r="H208" i="1"/>
  <c r="G208" i="1"/>
  <c r="P207" i="1"/>
  <c r="O207" i="1"/>
  <c r="N207" i="1"/>
  <c r="M207" i="1"/>
  <c r="L207" i="1"/>
  <c r="K207" i="1"/>
  <c r="J207" i="1"/>
  <c r="I207" i="1"/>
  <c r="H207" i="1"/>
  <c r="G207" i="1"/>
  <c r="P206" i="1"/>
  <c r="O206" i="1"/>
  <c r="N206" i="1"/>
  <c r="M206" i="1"/>
  <c r="L206" i="1"/>
  <c r="K206" i="1"/>
  <c r="J206" i="1"/>
  <c r="I206" i="1"/>
  <c r="H206" i="1"/>
  <c r="G206" i="1"/>
  <c r="P205" i="1"/>
  <c r="O205" i="1"/>
  <c r="N205" i="1"/>
  <c r="M205" i="1"/>
  <c r="L205" i="1"/>
  <c r="K205" i="1"/>
  <c r="J205" i="1"/>
  <c r="I205" i="1"/>
  <c r="H205" i="1"/>
  <c r="G205" i="1"/>
  <c r="P204" i="1"/>
  <c r="O204" i="1"/>
  <c r="N204" i="1"/>
  <c r="M204" i="1"/>
  <c r="L204" i="1"/>
  <c r="K204" i="1"/>
  <c r="J204" i="1"/>
  <c r="I204" i="1"/>
  <c r="H204" i="1"/>
  <c r="G204" i="1"/>
  <c r="P203" i="1"/>
  <c r="O203" i="1"/>
  <c r="N203" i="1"/>
  <c r="M203" i="1"/>
  <c r="L203" i="1"/>
  <c r="K203" i="1"/>
  <c r="J203" i="1"/>
  <c r="I203" i="1"/>
  <c r="H203" i="1"/>
  <c r="G203" i="1"/>
  <c r="P202" i="1"/>
  <c r="O202" i="1"/>
  <c r="N202" i="1"/>
  <c r="M202" i="1"/>
  <c r="L202" i="1"/>
  <c r="K202" i="1"/>
  <c r="J202" i="1"/>
  <c r="I202" i="1"/>
  <c r="H202" i="1"/>
  <c r="G202" i="1"/>
  <c r="P201" i="1"/>
  <c r="O201" i="1"/>
  <c r="N201" i="1"/>
  <c r="M201" i="1"/>
  <c r="L201" i="1"/>
  <c r="K201" i="1"/>
  <c r="J201" i="1"/>
  <c r="I201" i="1"/>
  <c r="H201" i="1"/>
  <c r="G201" i="1"/>
  <c r="P200" i="1"/>
  <c r="O200" i="1"/>
  <c r="N200" i="1"/>
  <c r="M200" i="1"/>
  <c r="L200" i="1"/>
  <c r="K200" i="1"/>
  <c r="J200" i="1"/>
  <c r="I200" i="1"/>
  <c r="H200" i="1"/>
  <c r="G200" i="1"/>
  <c r="P199" i="1"/>
  <c r="O199" i="1"/>
  <c r="N199" i="1"/>
  <c r="M199" i="1"/>
  <c r="L199" i="1"/>
  <c r="K199" i="1"/>
  <c r="J199" i="1"/>
  <c r="I199" i="1"/>
  <c r="H199" i="1"/>
  <c r="G199" i="1"/>
  <c r="P198" i="1"/>
  <c r="O198" i="1"/>
  <c r="N198" i="1"/>
  <c r="M198" i="1"/>
  <c r="L198" i="1"/>
  <c r="K198" i="1"/>
  <c r="J198" i="1"/>
  <c r="I198" i="1"/>
  <c r="H198" i="1"/>
  <c r="G198" i="1"/>
  <c r="P197" i="1"/>
  <c r="O197" i="1"/>
  <c r="N197" i="1"/>
  <c r="M197" i="1"/>
  <c r="L197" i="1"/>
  <c r="K197" i="1"/>
  <c r="J197" i="1"/>
  <c r="I197" i="1"/>
  <c r="H197" i="1"/>
  <c r="G197" i="1"/>
  <c r="P196" i="1"/>
  <c r="O196" i="1"/>
  <c r="N196" i="1"/>
  <c r="M196" i="1"/>
  <c r="L196" i="1"/>
  <c r="K196" i="1"/>
  <c r="J196" i="1"/>
  <c r="I196" i="1"/>
  <c r="H196" i="1"/>
  <c r="G196" i="1"/>
  <c r="P195" i="1"/>
  <c r="O195" i="1"/>
  <c r="N195" i="1"/>
  <c r="M195" i="1"/>
  <c r="L195" i="1"/>
  <c r="K195" i="1"/>
  <c r="J195" i="1"/>
  <c r="I195" i="1"/>
  <c r="H195" i="1"/>
  <c r="G195" i="1"/>
  <c r="P194" i="1"/>
  <c r="O194" i="1"/>
  <c r="N194" i="1"/>
  <c r="M194" i="1"/>
  <c r="L194" i="1"/>
  <c r="K194" i="1"/>
  <c r="J194" i="1"/>
  <c r="I194" i="1"/>
  <c r="H194" i="1"/>
  <c r="G194" i="1"/>
  <c r="P193" i="1"/>
  <c r="O193" i="1"/>
  <c r="N193" i="1"/>
  <c r="M193" i="1"/>
  <c r="L193" i="1"/>
  <c r="K193" i="1"/>
  <c r="J193" i="1"/>
  <c r="I193" i="1"/>
  <c r="H193" i="1"/>
  <c r="G193" i="1"/>
  <c r="P192" i="1"/>
  <c r="O192" i="1"/>
  <c r="N192" i="1"/>
  <c r="M192" i="1"/>
  <c r="L192" i="1"/>
  <c r="K192" i="1"/>
  <c r="J192" i="1"/>
  <c r="I192" i="1"/>
  <c r="H192" i="1"/>
  <c r="G192" i="1"/>
  <c r="P191" i="1"/>
  <c r="O191" i="1"/>
  <c r="N191" i="1"/>
  <c r="M191" i="1"/>
  <c r="L191" i="1"/>
  <c r="K191" i="1"/>
  <c r="J191" i="1"/>
  <c r="I191" i="1"/>
  <c r="H191" i="1"/>
  <c r="G191" i="1"/>
  <c r="P190" i="1"/>
  <c r="O190" i="1"/>
  <c r="N190" i="1"/>
  <c r="M190" i="1"/>
  <c r="L190" i="1"/>
  <c r="K190" i="1"/>
  <c r="J190" i="1"/>
  <c r="I190" i="1"/>
  <c r="H190" i="1"/>
  <c r="G190" i="1"/>
  <c r="P189" i="1"/>
  <c r="O189" i="1"/>
  <c r="N189" i="1"/>
  <c r="M189" i="1"/>
  <c r="L189" i="1"/>
  <c r="K189" i="1"/>
  <c r="J189" i="1"/>
  <c r="I189" i="1"/>
  <c r="H189" i="1"/>
  <c r="G189" i="1"/>
  <c r="P188" i="1"/>
  <c r="O188" i="1"/>
  <c r="N188" i="1"/>
  <c r="M188" i="1"/>
  <c r="L188" i="1"/>
  <c r="K188" i="1"/>
  <c r="J188" i="1"/>
  <c r="I188" i="1"/>
  <c r="H188" i="1"/>
  <c r="G188" i="1"/>
  <c r="P187" i="1"/>
  <c r="O187" i="1"/>
  <c r="N187" i="1"/>
  <c r="M187" i="1"/>
  <c r="L187" i="1"/>
  <c r="K187" i="1"/>
  <c r="J187" i="1"/>
  <c r="I187" i="1"/>
  <c r="H187" i="1"/>
  <c r="G187" i="1"/>
  <c r="P186" i="1"/>
  <c r="O186" i="1"/>
  <c r="N186" i="1"/>
  <c r="M186" i="1"/>
  <c r="L186" i="1"/>
  <c r="K186" i="1"/>
  <c r="J186" i="1"/>
  <c r="I186" i="1"/>
  <c r="H186" i="1"/>
  <c r="G186" i="1"/>
  <c r="P185" i="1"/>
  <c r="O185" i="1"/>
  <c r="N185" i="1"/>
  <c r="M185" i="1"/>
  <c r="L185" i="1"/>
  <c r="K185" i="1"/>
  <c r="J185" i="1"/>
  <c r="I185" i="1"/>
  <c r="H185" i="1"/>
  <c r="G185" i="1"/>
  <c r="P184" i="1"/>
  <c r="O184" i="1"/>
  <c r="N184" i="1"/>
  <c r="M184" i="1"/>
  <c r="L184" i="1"/>
  <c r="K184" i="1"/>
  <c r="J184" i="1"/>
  <c r="I184" i="1"/>
  <c r="H184" i="1"/>
  <c r="G184" i="1"/>
  <c r="P183" i="1"/>
  <c r="O183" i="1"/>
  <c r="N183" i="1"/>
  <c r="M183" i="1"/>
  <c r="L183" i="1"/>
  <c r="K183" i="1"/>
  <c r="J183" i="1"/>
  <c r="I183" i="1"/>
  <c r="H183" i="1"/>
  <c r="G183" i="1"/>
  <c r="P182" i="1"/>
  <c r="O182" i="1"/>
  <c r="N182" i="1"/>
  <c r="M182" i="1"/>
  <c r="L182" i="1"/>
  <c r="K182" i="1"/>
  <c r="J182" i="1"/>
  <c r="I182" i="1"/>
  <c r="H182" i="1"/>
  <c r="G182" i="1"/>
  <c r="P181" i="1"/>
  <c r="O181" i="1"/>
  <c r="N181" i="1"/>
  <c r="M181" i="1"/>
  <c r="L181" i="1"/>
  <c r="K181" i="1"/>
  <c r="J181" i="1"/>
  <c r="I181" i="1"/>
  <c r="H181" i="1"/>
  <c r="G181" i="1"/>
  <c r="P180" i="1"/>
  <c r="O180" i="1"/>
  <c r="N180" i="1"/>
  <c r="M180" i="1"/>
  <c r="L180" i="1"/>
  <c r="K180" i="1"/>
  <c r="J180" i="1"/>
  <c r="I180" i="1"/>
  <c r="H180" i="1"/>
  <c r="G180" i="1"/>
  <c r="P179" i="1"/>
  <c r="O179" i="1"/>
  <c r="N179" i="1"/>
  <c r="M179" i="1"/>
  <c r="L179" i="1"/>
  <c r="K179" i="1"/>
  <c r="J179" i="1"/>
  <c r="I179" i="1"/>
  <c r="H179" i="1"/>
  <c r="G179" i="1"/>
  <c r="P178" i="1"/>
  <c r="O178" i="1"/>
  <c r="N178" i="1"/>
  <c r="M178" i="1"/>
  <c r="L178" i="1"/>
  <c r="K178" i="1"/>
  <c r="J178" i="1"/>
  <c r="I178" i="1"/>
  <c r="H178" i="1"/>
  <c r="G178" i="1"/>
  <c r="P177" i="1"/>
  <c r="O177" i="1"/>
  <c r="N177" i="1"/>
  <c r="M177" i="1"/>
  <c r="L177" i="1"/>
  <c r="K177" i="1"/>
  <c r="J177" i="1"/>
  <c r="I177" i="1"/>
  <c r="H177" i="1"/>
  <c r="G177" i="1"/>
  <c r="P176" i="1"/>
  <c r="O176" i="1"/>
  <c r="N176" i="1"/>
  <c r="M176" i="1"/>
  <c r="L176" i="1"/>
  <c r="K176" i="1"/>
  <c r="J176" i="1"/>
  <c r="I176" i="1"/>
  <c r="H176" i="1"/>
  <c r="G176" i="1"/>
  <c r="P175" i="1"/>
  <c r="O175" i="1"/>
  <c r="N175" i="1"/>
  <c r="M175" i="1"/>
  <c r="L175" i="1"/>
  <c r="K175" i="1"/>
  <c r="J175" i="1"/>
  <c r="I175" i="1"/>
  <c r="H175" i="1"/>
  <c r="G175" i="1"/>
  <c r="P174" i="1"/>
  <c r="O174" i="1"/>
  <c r="N174" i="1"/>
  <c r="M174" i="1"/>
  <c r="L174" i="1"/>
  <c r="K174" i="1"/>
  <c r="J174" i="1"/>
  <c r="I174" i="1"/>
  <c r="H174" i="1"/>
  <c r="G174" i="1"/>
  <c r="P173" i="1"/>
  <c r="O173" i="1"/>
  <c r="N173" i="1"/>
  <c r="M173" i="1"/>
  <c r="L173" i="1"/>
  <c r="K173" i="1"/>
  <c r="J173" i="1"/>
  <c r="I173" i="1"/>
  <c r="H173" i="1"/>
  <c r="G173" i="1"/>
  <c r="P172" i="1"/>
  <c r="O172" i="1"/>
  <c r="N172" i="1"/>
  <c r="M172" i="1"/>
  <c r="L172" i="1"/>
  <c r="K172" i="1"/>
  <c r="J172" i="1"/>
  <c r="I172" i="1"/>
  <c r="H172" i="1"/>
  <c r="G172" i="1"/>
  <c r="P171" i="1"/>
  <c r="O171" i="1"/>
  <c r="N171" i="1"/>
  <c r="M171" i="1"/>
  <c r="L171" i="1"/>
  <c r="K171" i="1"/>
  <c r="J171" i="1"/>
  <c r="I171" i="1"/>
  <c r="H171" i="1"/>
  <c r="G171" i="1"/>
  <c r="P170" i="1"/>
  <c r="O170" i="1"/>
  <c r="N170" i="1"/>
  <c r="M170" i="1"/>
  <c r="L170" i="1"/>
  <c r="K170" i="1"/>
  <c r="J170" i="1"/>
  <c r="I170" i="1"/>
  <c r="H170" i="1"/>
  <c r="G170" i="1"/>
  <c r="P169" i="1"/>
  <c r="O169" i="1"/>
  <c r="N169" i="1"/>
  <c r="M169" i="1"/>
  <c r="L169" i="1"/>
  <c r="K169" i="1"/>
  <c r="J169" i="1"/>
  <c r="I169" i="1"/>
  <c r="H169" i="1"/>
  <c r="G169" i="1"/>
  <c r="P168" i="1"/>
  <c r="O168" i="1"/>
  <c r="N168" i="1"/>
  <c r="M168" i="1"/>
  <c r="L168" i="1"/>
  <c r="K168" i="1"/>
  <c r="J168" i="1"/>
  <c r="I168" i="1"/>
  <c r="H168" i="1"/>
  <c r="G168" i="1"/>
  <c r="P167" i="1"/>
  <c r="O167" i="1"/>
  <c r="N167" i="1"/>
  <c r="M167" i="1"/>
  <c r="L167" i="1"/>
  <c r="K167" i="1"/>
  <c r="J167" i="1"/>
  <c r="I167" i="1"/>
  <c r="H167" i="1"/>
  <c r="G167" i="1"/>
  <c r="P166" i="1"/>
  <c r="O166" i="1"/>
  <c r="N166" i="1"/>
  <c r="M166" i="1"/>
  <c r="L166" i="1"/>
  <c r="K166" i="1"/>
  <c r="J166" i="1"/>
  <c r="I166" i="1"/>
  <c r="H166" i="1"/>
  <c r="G166" i="1"/>
  <c r="P165" i="1"/>
  <c r="O165" i="1"/>
  <c r="N165" i="1"/>
  <c r="M165" i="1"/>
  <c r="L165" i="1"/>
  <c r="K165" i="1"/>
  <c r="J165" i="1"/>
  <c r="I165" i="1"/>
  <c r="H165" i="1"/>
  <c r="G165" i="1"/>
  <c r="P164" i="1"/>
  <c r="O164" i="1"/>
  <c r="N164" i="1"/>
  <c r="M164" i="1"/>
  <c r="L164" i="1"/>
  <c r="K164" i="1"/>
  <c r="J164" i="1"/>
  <c r="I164" i="1"/>
  <c r="H164" i="1"/>
  <c r="G164" i="1"/>
  <c r="P163" i="1"/>
  <c r="O163" i="1"/>
  <c r="N163" i="1"/>
  <c r="M163" i="1"/>
  <c r="L163" i="1"/>
  <c r="K163" i="1"/>
  <c r="J163" i="1"/>
  <c r="I163" i="1"/>
  <c r="H163" i="1"/>
  <c r="G163" i="1"/>
  <c r="P162" i="1"/>
  <c r="O162" i="1"/>
  <c r="N162" i="1"/>
  <c r="M162" i="1"/>
  <c r="L162" i="1"/>
  <c r="K162" i="1"/>
  <c r="J162" i="1"/>
  <c r="I162" i="1"/>
  <c r="H162" i="1"/>
  <c r="G162" i="1"/>
  <c r="P161" i="1"/>
  <c r="O161" i="1"/>
  <c r="N161" i="1"/>
  <c r="M161" i="1"/>
  <c r="L161" i="1"/>
  <c r="K161" i="1"/>
  <c r="J161" i="1"/>
  <c r="I161" i="1"/>
  <c r="H161" i="1"/>
  <c r="G161" i="1"/>
  <c r="P160" i="1"/>
  <c r="O160" i="1"/>
  <c r="N160" i="1"/>
  <c r="M160" i="1"/>
  <c r="L160" i="1"/>
  <c r="K160" i="1"/>
  <c r="J160" i="1"/>
  <c r="I160" i="1"/>
  <c r="H160" i="1"/>
  <c r="G160" i="1"/>
  <c r="P159" i="1"/>
  <c r="O159" i="1"/>
  <c r="N159" i="1"/>
  <c r="M159" i="1"/>
  <c r="L159" i="1"/>
  <c r="K159" i="1"/>
  <c r="J159" i="1"/>
  <c r="I159" i="1"/>
  <c r="H159" i="1"/>
  <c r="G159" i="1"/>
  <c r="P158" i="1"/>
  <c r="O158" i="1"/>
  <c r="N158" i="1"/>
  <c r="M158" i="1"/>
  <c r="L158" i="1"/>
  <c r="K158" i="1"/>
  <c r="J158" i="1"/>
  <c r="I158" i="1"/>
  <c r="H158" i="1"/>
  <c r="G158" i="1"/>
  <c r="P157" i="1"/>
  <c r="O157" i="1"/>
  <c r="N157" i="1"/>
  <c r="M157" i="1"/>
  <c r="L157" i="1"/>
  <c r="K157" i="1"/>
  <c r="J157" i="1"/>
  <c r="I157" i="1"/>
  <c r="H157" i="1"/>
  <c r="G157" i="1"/>
  <c r="P156" i="1"/>
  <c r="O156" i="1"/>
  <c r="N156" i="1"/>
  <c r="M156" i="1"/>
  <c r="L156" i="1"/>
  <c r="K156" i="1"/>
  <c r="J156" i="1"/>
  <c r="I156" i="1"/>
  <c r="H156" i="1"/>
  <c r="G156" i="1"/>
  <c r="P155" i="1"/>
  <c r="O155" i="1"/>
  <c r="N155" i="1"/>
  <c r="M155" i="1"/>
  <c r="L155" i="1"/>
  <c r="K155" i="1"/>
  <c r="J155" i="1"/>
  <c r="I155" i="1"/>
  <c r="H155" i="1"/>
  <c r="G155" i="1"/>
  <c r="P154" i="1"/>
  <c r="O154" i="1"/>
  <c r="N154" i="1"/>
  <c r="M154" i="1"/>
  <c r="L154" i="1"/>
  <c r="K154" i="1"/>
  <c r="J154" i="1"/>
  <c r="I154" i="1"/>
  <c r="H154" i="1"/>
  <c r="G154" i="1"/>
  <c r="P153" i="1"/>
  <c r="O153" i="1"/>
  <c r="N153" i="1"/>
  <c r="M153" i="1"/>
  <c r="L153" i="1"/>
  <c r="K153" i="1"/>
  <c r="J153" i="1"/>
  <c r="I153" i="1"/>
  <c r="H153" i="1"/>
  <c r="G153" i="1"/>
  <c r="P152" i="1"/>
  <c r="O152" i="1"/>
  <c r="N152" i="1"/>
  <c r="M152" i="1"/>
  <c r="L152" i="1"/>
  <c r="K152" i="1"/>
  <c r="J152" i="1"/>
  <c r="I152" i="1"/>
  <c r="H152" i="1"/>
  <c r="G152" i="1"/>
  <c r="P151" i="1"/>
  <c r="O151" i="1"/>
  <c r="N151" i="1"/>
  <c r="M151" i="1"/>
  <c r="L151" i="1"/>
  <c r="K151" i="1"/>
  <c r="J151" i="1"/>
  <c r="I151" i="1"/>
  <c r="H151" i="1"/>
  <c r="G151" i="1"/>
  <c r="P150" i="1"/>
  <c r="O150" i="1"/>
  <c r="N150" i="1"/>
  <c r="M150" i="1"/>
  <c r="L150" i="1"/>
  <c r="K150" i="1"/>
  <c r="J150" i="1"/>
  <c r="I150" i="1"/>
  <c r="H150" i="1"/>
  <c r="G150" i="1"/>
  <c r="P149" i="1"/>
  <c r="O149" i="1"/>
  <c r="N149" i="1"/>
  <c r="M149" i="1"/>
  <c r="L149" i="1"/>
  <c r="K149" i="1"/>
  <c r="J149" i="1"/>
  <c r="I149" i="1"/>
  <c r="H149" i="1"/>
  <c r="G149" i="1"/>
  <c r="P148" i="1"/>
  <c r="O148" i="1"/>
  <c r="N148" i="1"/>
  <c r="M148" i="1"/>
  <c r="L148" i="1"/>
  <c r="K148" i="1"/>
  <c r="J148" i="1"/>
  <c r="I148" i="1"/>
  <c r="H148" i="1"/>
  <c r="G148" i="1"/>
  <c r="P147" i="1"/>
  <c r="O147" i="1"/>
  <c r="N147" i="1"/>
  <c r="M147" i="1"/>
  <c r="L147" i="1"/>
  <c r="K147" i="1"/>
  <c r="J147" i="1"/>
  <c r="I147" i="1"/>
  <c r="H147" i="1"/>
  <c r="G147" i="1"/>
  <c r="P146" i="1"/>
  <c r="O146" i="1"/>
  <c r="N146" i="1"/>
  <c r="M146" i="1"/>
  <c r="L146" i="1"/>
  <c r="K146" i="1"/>
  <c r="J146" i="1"/>
  <c r="I146" i="1"/>
  <c r="H146" i="1"/>
  <c r="G146" i="1"/>
  <c r="P145" i="1"/>
  <c r="O145" i="1"/>
  <c r="N145" i="1"/>
  <c r="M145" i="1"/>
  <c r="L145" i="1"/>
  <c r="K145" i="1"/>
  <c r="J145" i="1"/>
  <c r="I145" i="1"/>
  <c r="H145" i="1"/>
  <c r="G145" i="1"/>
  <c r="P144" i="1"/>
  <c r="O144" i="1"/>
  <c r="N144" i="1"/>
  <c r="M144" i="1"/>
  <c r="L144" i="1"/>
  <c r="K144" i="1"/>
  <c r="J144" i="1"/>
  <c r="I144" i="1"/>
  <c r="H144" i="1"/>
  <c r="G144" i="1"/>
  <c r="P143" i="1"/>
  <c r="O143" i="1"/>
  <c r="N143" i="1"/>
  <c r="M143" i="1"/>
  <c r="L143" i="1"/>
  <c r="K143" i="1"/>
  <c r="J143" i="1"/>
  <c r="I143" i="1"/>
  <c r="H143" i="1"/>
  <c r="G143" i="1"/>
  <c r="P142" i="1"/>
  <c r="O142" i="1"/>
  <c r="N142" i="1"/>
  <c r="M142" i="1"/>
  <c r="L142" i="1"/>
  <c r="K142" i="1"/>
  <c r="J142" i="1"/>
  <c r="I142" i="1"/>
  <c r="H142" i="1"/>
  <c r="G142" i="1"/>
  <c r="P141" i="1"/>
  <c r="O141" i="1"/>
  <c r="N141" i="1"/>
  <c r="M141" i="1"/>
  <c r="L141" i="1"/>
  <c r="K141" i="1"/>
  <c r="J141" i="1"/>
  <c r="I141" i="1"/>
  <c r="H141" i="1"/>
  <c r="G141" i="1"/>
  <c r="P140" i="1"/>
  <c r="O140" i="1"/>
  <c r="N140" i="1"/>
  <c r="M140" i="1"/>
  <c r="L140" i="1"/>
  <c r="K140" i="1"/>
  <c r="J140" i="1"/>
  <c r="I140" i="1"/>
  <c r="H140" i="1"/>
  <c r="G140" i="1"/>
  <c r="P139" i="1"/>
  <c r="O139" i="1"/>
  <c r="N139" i="1"/>
  <c r="M139" i="1"/>
  <c r="L139" i="1"/>
  <c r="K139" i="1"/>
  <c r="J139" i="1"/>
  <c r="I139" i="1"/>
  <c r="H139" i="1"/>
  <c r="G139" i="1"/>
  <c r="P138" i="1"/>
  <c r="O138" i="1"/>
  <c r="N138" i="1"/>
  <c r="M138" i="1"/>
  <c r="L138" i="1"/>
  <c r="K138" i="1"/>
  <c r="J138" i="1"/>
  <c r="I138" i="1"/>
  <c r="H138" i="1"/>
  <c r="G138" i="1"/>
  <c r="P137" i="1"/>
  <c r="O137" i="1"/>
  <c r="N137" i="1"/>
  <c r="M137" i="1"/>
  <c r="L137" i="1"/>
  <c r="K137" i="1"/>
  <c r="J137" i="1"/>
  <c r="I137" i="1"/>
  <c r="H137" i="1"/>
  <c r="G137" i="1"/>
  <c r="P136" i="1"/>
  <c r="O136" i="1"/>
  <c r="N136" i="1"/>
  <c r="M136" i="1"/>
  <c r="L136" i="1"/>
  <c r="K136" i="1"/>
  <c r="J136" i="1"/>
  <c r="I136" i="1"/>
  <c r="H136" i="1"/>
  <c r="G136" i="1"/>
  <c r="P135" i="1"/>
  <c r="O135" i="1"/>
  <c r="N135" i="1"/>
  <c r="M135" i="1"/>
  <c r="L135" i="1"/>
  <c r="K135" i="1"/>
  <c r="J135" i="1"/>
  <c r="I135" i="1"/>
  <c r="H135" i="1"/>
  <c r="G135" i="1"/>
  <c r="P134" i="1"/>
  <c r="O134" i="1"/>
  <c r="N134" i="1"/>
  <c r="M134" i="1"/>
  <c r="L134" i="1"/>
  <c r="K134" i="1"/>
  <c r="J134" i="1"/>
  <c r="I134" i="1"/>
  <c r="H134" i="1"/>
  <c r="G134" i="1"/>
  <c r="P133" i="1"/>
  <c r="O133" i="1"/>
  <c r="N133" i="1"/>
  <c r="M133" i="1"/>
  <c r="L133" i="1"/>
  <c r="K133" i="1"/>
  <c r="J133" i="1"/>
  <c r="I133" i="1"/>
  <c r="H133" i="1"/>
  <c r="G133" i="1"/>
  <c r="P132" i="1"/>
  <c r="O132" i="1"/>
  <c r="N132" i="1"/>
  <c r="M132" i="1"/>
  <c r="L132" i="1"/>
  <c r="K132" i="1"/>
  <c r="J132" i="1"/>
  <c r="I132" i="1"/>
  <c r="H132" i="1"/>
  <c r="G132" i="1"/>
  <c r="P131" i="1"/>
  <c r="O131" i="1"/>
  <c r="N131" i="1"/>
  <c r="M131" i="1"/>
  <c r="L131" i="1"/>
  <c r="K131" i="1"/>
  <c r="J131" i="1"/>
  <c r="I131" i="1"/>
  <c r="H131" i="1"/>
  <c r="G131" i="1"/>
  <c r="P130" i="1"/>
  <c r="O130" i="1"/>
  <c r="N130" i="1"/>
  <c r="M130" i="1"/>
  <c r="L130" i="1"/>
  <c r="K130" i="1"/>
  <c r="J130" i="1"/>
  <c r="I130" i="1"/>
  <c r="H130" i="1"/>
  <c r="G130" i="1"/>
  <c r="P129" i="1"/>
  <c r="O129" i="1"/>
  <c r="N129" i="1"/>
  <c r="M129" i="1"/>
  <c r="L129" i="1"/>
  <c r="K129" i="1"/>
  <c r="J129" i="1"/>
  <c r="I129" i="1"/>
  <c r="H129" i="1"/>
  <c r="G129" i="1"/>
  <c r="P128" i="1"/>
  <c r="O128" i="1"/>
  <c r="N128" i="1"/>
  <c r="M128" i="1"/>
  <c r="L128" i="1"/>
  <c r="K128" i="1"/>
  <c r="J128" i="1"/>
  <c r="I128" i="1"/>
  <c r="H128" i="1"/>
  <c r="G128" i="1"/>
  <c r="P127" i="1"/>
  <c r="O127" i="1"/>
  <c r="N127" i="1"/>
  <c r="M127" i="1"/>
  <c r="L127" i="1"/>
  <c r="K127" i="1"/>
  <c r="J127" i="1"/>
  <c r="I127" i="1"/>
  <c r="H127" i="1"/>
  <c r="G127" i="1"/>
  <c r="P126" i="1"/>
  <c r="O126" i="1"/>
  <c r="N126" i="1"/>
  <c r="M126" i="1"/>
  <c r="L126" i="1"/>
  <c r="K126" i="1"/>
  <c r="J126" i="1"/>
  <c r="I126" i="1"/>
  <c r="H126" i="1"/>
  <c r="G126" i="1"/>
  <c r="P125" i="1"/>
  <c r="O125" i="1"/>
  <c r="N125" i="1"/>
  <c r="M125" i="1"/>
  <c r="L125" i="1"/>
  <c r="K125" i="1"/>
  <c r="J125" i="1"/>
  <c r="I125" i="1"/>
  <c r="H125" i="1"/>
  <c r="G125" i="1"/>
  <c r="P124" i="1"/>
  <c r="O124" i="1"/>
  <c r="N124" i="1"/>
  <c r="M124" i="1"/>
  <c r="L124" i="1"/>
  <c r="K124" i="1"/>
  <c r="J124" i="1"/>
  <c r="I124" i="1"/>
  <c r="H124" i="1"/>
  <c r="G124" i="1"/>
  <c r="P123" i="1"/>
  <c r="O123" i="1"/>
  <c r="N123" i="1"/>
  <c r="M123" i="1"/>
  <c r="L123" i="1"/>
  <c r="K123" i="1"/>
  <c r="J123" i="1"/>
  <c r="I123" i="1"/>
  <c r="H123" i="1"/>
  <c r="G123" i="1"/>
  <c r="P122" i="1"/>
  <c r="O122" i="1"/>
  <c r="N122" i="1"/>
  <c r="M122" i="1"/>
  <c r="L122" i="1"/>
  <c r="K122" i="1"/>
  <c r="J122" i="1"/>
  <c r="I122" i="1"/>
  <c r="H122" i="1"/>
  <c r="G122" i="1"/>
  <c r="P121" i="1"/>
  <c r="O121" i="1"/>
  <c r="N121" i="1"/>
  <c r="M121" i="1"/>
  <c r="L121" i="1"/>
  <c r="K121" i="1"/>
  <c r="J121" i="1"/>
  <c r="I121" i="1"/>
  <c r="H121" i="1"/>
  <c r="G121" i="1"/>
  <c r="P120" i="1"/>
  <c r="O120" i="1"/>
  <c r="N120" i="1"/>
  <c r="M120" i="1"/>
  <c r="L120" i="1"/>
  <c r="K120" i="1"/>
  <c r="J120" i="1"/>
  <c r="I120" i="1"/>
  <c r="H120" i="1"/>
  <c r="G120" i="1"/>
  <c r="P119" i="1"/>
  <c r="O119" i="1"/>
  <c r="N119" i="1"/>
  <c r="M119" i="1"/>
  <c r="L119" i="1"/>
  <c r="K119" i="1"/>
  <c r="J119" i="1"/>
  <c r="I119" i="1"/>
  <c r="H119" i="1"/>
  <c r="G119" i="1"/>
  <c r="P118" i="1"/>
  <c r="O118" i="1"/>
  <c r="N118" i="1"/>
  <c r="M118" i="1"/>
  <c r="L118" i="1"/>
  <c r="K118" i="1"/>
  <c r="J118" i="1"/>
  <c r="I118" i="1"/>
  <c r="H118" i="1"/>
  <c r="G118" i="1"/>
  <c r="P117" i="1"/>
  <c r="O117" i="1"/>
  <c r="N117" i="1"/>
  <c r="M117" i="1"/>
  <c r="L117" i="1"/>
  <c r="K117" i="1"/>
  <c r="J117" i="1"/>
  <c r="I117" i="1"/>
  <c r="H117" i="1"/>
  <c r="G117" i="1"/>
  <c r="P116" i="1"/>
  <c r="O116" i="1"/>
  <c r="N116" i="1"/>
  <c r="M116" i="1"/>
  <c r="L116" i="1"/>
  <c r="K116" i="1"/>
  <c r="J116" i="1"/>
  <c r="I116" i="1"/>
  <c r="H116" i="1"/>
  <c r="G116" i="1"/>
  <c r="P115" i="1"/>
  <c r="O115" i="1"/>
  <c r="N115" i="1"/>
  <c r="M115" i="1"/>
  <c r="L115" i="1"/>
  <c r="K115" i="1"/>
  <c r="J115" i="1"/>
  <c r="I115" i="1"/>
  <c r="H115" i="1"/>
  <c r="G115" i="1"/>
  <c r="P114" i="1"/>
  <c r="O114" i="1"/>
  <c r="N114" i="1"/>
  <c r="M114" i="1"/>
  <c r="L114" i="1"/>
  <c r="K114" i="1"/>
  <c r="J114" i="1"/>
  <c r="I114" i="1"/>
  <c r="H114" i="1"/>
  <c r="G114" i="1"/>
  <c r="P113" i="1"/>
  <c r="O113" i="1"/>
  <c r="N113" i="1"/>
  <c r="M113" i="1"/>
  <c r="L113" i="1"/>
  <c r="K113" i="1"/>
  <c r="J113" i="1"/>
  <c r="I113" i="1"/>
  <c r="H113" i="1"/>
  <c r="G113" i="1"/>
  <c r="P112" i="1"/>
  <c r="O112" i="1"/>
  <c r="N112" i="1"/>
  <c r="M112" i="1"/>
  <c r="L112" i="1"/>
  <c r="K112" i="1"/>
  <c r="J112" i="1"/>
  <c r="I112" i="1"/>
  <c r="H112" i="1"/>
  <c r="G112" i="1"/>
  <c r="P111" i="1"/>
  <c r="O111" i="1"/>
  <c r="N111" i="1"/>
  <c r="M111" i="1"/>
  <c r="L111" i="1"/>
  <c r="K111" i="1"/>
  <c r="J111" i="1"/>
  <c r="I111" i="1"/>
  <c r="H111" i="1"/>
  <c r="G111" i="1"/>
  <c r="P110" i="1"/>
  <c r="O110" i="1"/>
  <c r="N110" i="1"/>
  <c r="M110" i="1"/>
  <c r="L110" i="1"/>
  <c r="K110" i="1"/>
  <c r="J110" i="1"/>
  <c r="I110" i="1"/>
  <c r="H110" i="1"/>
  <c r="G110" i="1"/>
  <c r="P109" i="1"/>
  <c r="O109" i="1"/>
  <c r="N109" i="1"/>
  <c r="M109" i="1"/>
  <c r="L109" i="1"/>
  <c r="K109" i="1"/>
  <c r="J109" i="1"/>
  <c r="I109" i="1"/>
  <c r="H109" i="1"/>
  <c r="G109" i="1"/>
  <c r="P108" i="1"/>
  <c r="O108" i="1"/>
  <c r="N108" i="1"/>
  <c r="M108" i="1"/>
  <c r="L108" i="1"/>
  <c r="K108" i="1"/>
  <c r="J108" i="1"/>
  <c r="I108" i="1"/>
  <c r="H108" i="1"/>
  <c r="G108" i="1"/>
  <c r="P107" i="1"/>
  <c r="O107" i="1"/>
  <c r="N107" i="1"/>
  <c r="M107" i="1"/>
  <c r="L107" i="1"/>
  <c r="K107" i="1"/>
  <c r="J107" i="1"/>
  <c r="I107" i="1"/>
  <c r="H107" i="1"/>
  <c r="G107" i="1"/>
  <c r="P106" i="1"/>
  <c r="O106" i="1"/>
  <c r="N106" i="1"/>
  <c r="M106" i="1"/>
  <c r="L106" i="1"/>
  <c r="K106" i="1"/>
  <c r="J106" i="1"/>
  <c r="I106" i="1"/>
  <c r="H106" i="1"/>
  <c r="G106" i="1"/>
  <c r="P105" i="1"/>
  <c r="O105" i="1"/>
  <c r="N105" i="1"/>
  <c r="M105" i="1"/>
  <c r="L105" i="1"/>
  <c r="K105" i="1"/>
  <c r="J105" i="1"/>
  <c r="I105" i="1"/>
  <c r="H105" i="1"/>
  <c r="G105" i="1"/>
  <c r="P104" i="1"/>
  <c r="O104" i="1"/>
  <c r="N104" i="1"/>
  <c r="M104" i="1"/>
  <c r="L104" i="1"/>
  <c r="K104" i="1"/>
  <c r="J104" i="1"/>
  <c r="I104" i="1"/>
  <c r="H104" i="1"/>
  <c r="G104" i="1"/>
  <c r="P103" i="1"/>
  <c r="O103" i="1"/>
  <c r="N103" i="1"/>
  <c r="M103" i="1"/>
  <c r="L103" i="1"/>
  <c r="K103" i="1"/>
  <c r="J103" i="1"/>
  <c r="I103" i="1"/>
  <c r="H103" i="1"/>
  <c r="G103" i="1"/>
  <c r="P102" i="1"/>
  <c r="O102" i="1"/>
  <c r="N102" i="1"/>
  <c r="M102" i="1"/>
  <c r="L102" i="1"/>
  <c r="K102" i="1"/>
  <c r="J102" i="1"/>
  <c r="I102" i="1"/>
  <c r="H102" i="1"/>
  <c r="G102" i="1"/>
  <c r="P101" i="1"/>
  <c r="O101" i="1"/>
  <c r="N101" i="1"/>
  <c r="M101" i="1"/>
  <c r="L101" i="1"/>
  <c r="K101" i="1"/>
  <c r="J101" i="1"/>
  <c r="I101" i="1"/>
  <c r="H101" i="1"/>
  <c r="G101" i="1"/>
  <c r="P100" i="1"/>
  <c r="O100" i="1"/>
  <c r="N100" i="1"/>
  <c r="M100" i="1"/>
  <c r="L100" i="1"/>
  <c r="K100" i="1"/>
  <c r="J100" i="1"/>
  <c r="I100" i="1"/>
  <c r="H100" i="1"/>
  <c r="G100" i="1"/>
  <c r="P99" i="1"/>
  <c r="O99" i="1"/>
  <c r="N99" i="1"/>
  <c r="M99" i="1"/>
  <c r="L99" i="1"/>
  <c r="K99" i="1"/>
  <c r="J99" i="1"/>
  <c r="I99" i="1"/>
  <c r="H99" i="1"/>
  <c r="G99" i="1"/>
  <c r="P98" i="1"/>
  <c r="O98" i="1"/>
  <c r="N98" i="1"/>
  <c r="M98" i="1"/>
  <c r="L98" i="1"/>
  <c r="K98" i="1"/>
  <c r="J98" i="1"/>
  <c r="I98" i="1"/>
  <c r="H98" i="1"/>
  <c r="G98" i="1"/>
  <c r="P97" i="1"/>
  <c r="O97" i="1"/>
  <c r="N97" i="1"/>
  <c r="M97" i="1"/>
  <c r="L97" i="1"/>
  <c r="K97" i="1"/>
  <c r="J97" i="1"/>
  <c r="I97" i="1"/>
  <c r="H97" i="1"/>
  <c r="G97" i="1"/>
  <c r="P96" i="1"/>
  <c r="O96" i="1"/>
  <c r="N96" i="1"/>
  <c r="M96" i="1"/>
  <c r="L96" i="1"/>
  <c r="K96" i="1"/>
  <c r="J96" i="1"/>
  <c r="I96" i="1"/>
  <c r="H96" i="1"/>
  <c r="G96" i="1"/>
  <c r="P95" i="1"/>
  <c r="O95" i="1"/>
  <c r="N95" i="1"/>
  <c r="M95" i="1"/>
  <c r="L95" i="1"/>
  <c r="K95" i="1"/>
  <c r="J95" i="1"/>
  <c r="I95" i="1"/>
  <c r="H95" i="1"/>
  <c r="G95" i="1"/>
  <c r="P94" i="1"/>
  <c r="O94" i="1"/>
  <c r="N94" i="1"/>
  <c r="M94" i="1"/>
  <c r="L94" i="1"/>
  <c r="K94" i="1"/>
  <c r="J94" i="1"/>
  <c r="I94" i="1"/>
  <c r="H94" i="1"/>
  <c r="G94" i="1"/>
  <c r="P93" i="1"/>
  <c r="O93" i="1"/>
  <c r="N93" i="1"/>
  <c r="M93" i="1"/>
  <c r="L93" i="1"/>
  <c r="K93" i="1"/>
  <c r="J93" i="1"/>
  <c r="I93" i="1"/>
  <c r="H93" i="1"/>
  <c r="G93" i="1"/>
  <c r="P92" i="1"/>
  <c r="O92" i="1"/>
  <c r="N92" i="1"/>
  <c r="M92" i="1"/>
  <c r="L92" i="1"/>
  <c r="K92" i="1"/>
  <c r="J92" i="1"/>
  <c r="I92" i="1"/>
  <c r="H92" i="1"/>
  <c r="G92" i="1"/>
  <c r="P91" i="1"/>
  <c r="O91" i="1"/>
  <c r="N91" i="1"/>
  <c r="M91" i="1"/>
  <c r="L91" i="1"/>
  <c r="K91" i="1"/>
  <c r="J91" i="1"/>
  <c r="I91" i="1"/>
  <c r="H91" i="1"/>
  <c r="G91" i="1"/>
  <c r="P90" i="1"/>
  <c r="O90" i="1"/>
  <c r="N90" i="1"/>
  <c r="M90" i="1"/>
  <c r="L90" i="1"/>
  <c r="K90" i="1"/>
  <c r="J90" i="1"/>
  <c r="I90" i="1"/>
  <c r="H90" i="1"/>
  <c r="G90" i="1"/>
  <c r="P89" i="1"/>
  <c r="O89" i="1"/>
  <c r="N89" i="1"/>
  <c r="M89" i="1"/>
  <c r="L89" i="1"/>
  <c r="K89" i="1"/>
  <c r="J89" i="1"/>
  <c r="I89" i="1"/>
  <c r="H89" i="1"/>
  <c r="G89" i="1"/>
  <c r="P88" i="1"/>
  <c r="O88" i="1"/>
  <c r="N88" i="1"/>
  <c r="M88" i="1"/>
  <c r="L88" i="1"/>
  <c r="K88" i="1"/>
  <c r="J88" i="1"/>
  <c r="I88" i="1"/>
  <c r="H88" i="1"/>
  <c r="G88" i="1"/>
  <c r="P87" i="1"/>
  <c r="O87" i="1"/>
  <c r="N87" i="1"/>
  <c r="M87" i="1"/>
  <c r="L87" i="1"/>
  <c r="K87" i="1"/>
  <c r="J87" i="1"/>
  <c r="I87" i="1"/>
  <c r="H87" i="1"/>
  <c r="G87" i="1"/>
  <c r="P86" i="1"/>
  <c r="O86" i="1"/>
  <c r="N86" i="1"/>
  <c r="M86" i="1"/>
  <c r="L86" i="1"/>
  <c r="K86" i="1"/>
  <c r="J86" i="1"/>
  <c r="I86" i="1"/>
  <c r="H86" i="1"/>
  <c r="G86" i="1"/>
  <c r="P85" i="1"/>
  <c r="O85" i="1"/>
  <c r="N85" i="1"/>
  <c r="M85" i="1"/>
  <c r="L85" i="1"/>
  <c r="K85" i="1"/>
  <c r="J85" i="1"/>
  <c r="I85" i="1"/>
  <c r="H85" i="1"/>
  <c r="G85" i="1"/>
  <c r="P84" i="1"/>
  <c r="O84" i="1"/>
  <c r="N84" i="1"/>
  <c r="M84" i="1"/>
  <c r="L84" i="1"/>
  <c r="K84" i="1"/>
  <c r="J84" i="1"/>
  <c r="I84" i="1"/>
  <c r="H84" i="1"/>
  <c r="G84" i="1"/>
  <c r="P83" i="1"/>
  <c r="O83" i="1"/>
  <c r="N83" i="1"/>
  <c r="M83" i="1"/>
  <c r="L83" i="1"/>
  <c r="K83" i="1"/>
  <c r="J83" i="1"/>
  <c r="I83" i="1"/>
  <c r="H83" i="1"/>
  <c r="G83" i="1"/>
  <c r="P82" i="1"/>
  <c r="O82" i="1"/>
  <c r="N82" i="1"/>
  <c r="M82" i="1"/>
  <c r="L82" i="1"/>
  <c r="K82" i="1"/>
  <c r="J82" i="1"/>
  <c r="I82" i="1"/>
  <c r="H82" i="1"/>
  <c r="G82" i="1"/>
  <c r="P81" i="1"/>
  <c r="O81" i="1"/>
  <c r="N81" i="1"/>
  <c r="M81" i="1"/>
  <c r="L81" i="1"/>
  <c r="K81" i="1"/>
  <c r="J81" i="1"/>
  <c r="I81" i="1"/>
  <c r="H81" i="1"/>
  <c r="G81" i="1"/>
  <c r="P80" i="1"/>
  <c r="O80" i="1"/>
  <c r="N80" i="1"/>
  <c r="M80" i="1"/>
  <c r="L80" i="1"/>
  <c r="K80" i="1"/>
  <c r="J80" i="1"/>
  <c r="I80" i="1"/>
  <c r="H80" i="1"/>
  <c r="G80" i="1"/>
  <c r="P79" i="1"/>
  <c r="O79" i="1"/>
  <c r="N79" i="1"/>
  <c r="M79" i="1"/>
  <c r="L79" i="1"/>
  <c r="K79" i="1"/>
  <c r="J79" i="1"/>
  <c r="I79" i="1"/>
  <c r="H79" i="1"/>
  <c r="G79" i="1"/>
  <c r="P78" i="1"/>
  <c r="O78" i="1"/>
  <c r="N78" i="1"/>
  <c r="M78" i="1"/>
  <c r="L78" i="1"/>
  <c r="K78" i="1"/>
  <c r="J78" i="1"/>
  <c r="I78" i="1"/>
  <c r="H78" i="1"/>
  <c r="G78" i="1"/>
  <c r="P77" i="1"/>
  <c r="O77" i="1"/>
  <c r="N77" i="1"/>
  <c r="M77" i="1"/>
  <c r="L77" i="1"/>
  <c r="K77" i="1"/>
  <c r="J77" i="1"/>
  <c r="I77" i="1"/>
  <c r="H77" i="1"/>
  <c r="G77" i="1"/>
  <c r="P76" i="1"/>
  <c r="O76" i="1"/>
  <c r="N76" i="1"/>
  <c r="M76" i="1"/>
  <c r="L76" i="1"/>
  <c r="K76" i="1"/>
  <c r="J76" i="1"/>
  <c r="I76" i="1"/>
  <c r="H76" i="1"/>
  <c r="G76" i="1"/>
  <c r="P75" i="1"/>
  <c r="O75" i="1"/>
  <c r="N75" i="1"/>
  <c r="M75" i="1"/>
  <c r="L75" i="1"/>
  <c r="K75" i="1"/>
  <c r="J75" i="1"/>
  <c r="I75" i="1"/>
  <c r="H75" i="1"/>
  <c r="G75" i="1"/>
  <c r="P74" i="1"/>
  <c r="O74" i="1"/>
  <c r="N74" i="1"/>
  <c r="M74" i="1"/>
  <c r="L74" i="1"/>
  <c r="K74" i="1"/>
  <c r="J74" i="1"/>
  <c r="I74" i="1"/>
  <c r="H74" i="1"/>
  <c r="G74" i="1"/>
  <c r="P73" i="1"/>
  <c r="O73" i="1"/>
  <c r="N73" i="1"/>
  <c r="M73" i="1"/>
  <c r="L73" i="1"/>
  <c r="K73" i="1"/>
  <c r="J73" i="1"/>
  <c r="I73" i="1"/>
  <c r="H73" i="1"/>
  <c r="G73" i="1"/>
  <c r="P72" i="1"/>
  <c r="O72" i="1"/>
  <c r="N72" i="1"/>
  <c r="M72" i="1"/>
  <c r="L72" i="1"/>
  <c r="K72" i="1"/>
  <c r="J72" i="1"/>
  <c r="I72" i="1"/>
  <c r="H72" i="1"/>
  <c r="G72" i="1"/>
  <c r="P71" i="1"/>
  <c r="O71" i="1"/>
  <c r="N71" i="1"/>
  <c r="M71" i="1"/>
  <c r="L71" i="1"/>
  <c r="K71" i="1"/>
  <c r="J71" i="1"/>
  <c r="I71" i="1"/>
  <c r="H71" i="1"/>
  <c r="G71" i="1"/>
  <c r="P70" i="1"/>
  <c r="O70" i="1"/>
  <c r="N70" i="1"/>
  <c r="M70" i="1"/>
  <c r="L70" i="1"/>
  <c r="K70" i="1"/>
  <c r="J70" i="1"/>
  <c r="I70" i="1"/>
  <c r="H70" i="1"/>
  <c r="G70" i="1"/>
  <c r="P69" i="1"/>
  <c r="O69" i="1"/>
  <c r="N69" i="1"/>
  <c r="M69" i="1"/>
  <c r="L69" i="1"/>
  <c r="K69" i="1"/>
  <c r="J69" i="1"/>
  <c r="I69" i="1"/>
  <c r="H69" i="1"/>
  <c r="G69" i="1"/>
  <c r="P68" i="1"/>
  <c r="O68" i="1"/>
  <c r="N68" i="1"/>
  <c r="M68" i="1"/>
  <c r="L68" i="1"/>
  <c r="K68" i="1"/>
  <c r="J68" i="1"/>
  <c r="I68" i="1"/>
  <c r="H68" i="1"/>
  <c r="G68" i="1"/>
  <c r="P67" i="1"/>
  <c r="O67" i="1"/>
  <c r="N67" i="1"/>
  <c r="M67" i="1"/>
  <c r="L67" i="1"/>
  <c r="K67" i="1"/>
  <c r="J67" i="1"/>
  <c r="I67" i="1"/>
  <c r="H67" i="1"/>
  <c r="G67" i="1"/>
  <c r="P66" i="1"/>
  <c r="O66" i="1"/>
  <c r="N66" i="1"/>
  <c r="M66" i="1"/>
  <c r="L66" i="1"/>
  <c r="K66" i="1"/>
  <c r="J66" i="1"/>
  <c r="I66" i="1"/>
  <c r="H66" i="1"/>
  <c r="G66" i="1"/>
  <c r="P65" i="1"/>
  <c r="O65" i="1"/>
  <c r="N65" i="1"/>
  <c r="M65" i="1"/>
  <c r="L65" i="1"/>
  <c r="K65" i="1"/>
  <c r="J65" i="1"/>
  <c r="I65" i="1"/>
  <c r="H65" i="1"/>
  <c r="G65" i="1"/>
  <c r="P64" i="1"/>
  <c r="O64" i="1"/>
  <c r="N64" i="1"/>
  <c r="M64" i="1"/>
  <c r="L64" i="1"/>
  <c r="K64" i="1"/>
  <c r="J64" i="1"/>
  <c r="I64" i="1"/>
  <c r="H64" i="1"/>
  <c r="G64" i="1"/>
  <c r="P63" i="1"/>
  <c r="O63" i="1"/>
  <c r="N63" i="1"/>
  <c r="M63" i="1"/>
  <c r="L63" i="1"/>
  <c r="K63" i="1"/>
  <c r="J63" i="1"/>
  <c r="I63" i="1"/>
  <c r="H63" i="1"/>
  <c r="G63" i="1"/>
  <c r="P62" i="1"/>
  <c r="O62" i="1"/>
  <c r="N62" i="1"/>
  <c r="M62" i="1"/>
  <c r="L62" i="1"/>
  <c r="K62" i="1"/>
  <c r="J62" i="1"/>
  <c r="I62" i="1"/>
  <c r="H62" i="1"/>
  <c r="G62" i="1"/>
  <c r="P61" i="1"/>
  <c r="O61" i="1"/>
  <c r="N61" i="1"/>
  <c r="M61" i="1"/>
  <c r="L61" i="1"/>
  <c r="K61" i="1"/>
  <c r="J61" i="1"/>
  <c r="I61" i="1"/>
  <c r="H61" i="1"/>
  <c r="G61" i="1"/>
  <c r="P60" i="1"/>
  <c r="O60" i="1"/>
  <c r="N60" i="1"/>
  <c r="M60" i="1"/>
  <c r="L60" i="1"/>
  <c r="K60" i="1"/>
  <c r="J60" i="1"/>
  <c r="I60" i="1"/>
  <c r="H60" i="1"/>
  <c r="G60" i="1"/>
  <c r="P59" i="1"/>
  <c r="O59" i="1"/>
  <c r="N59" i="1"/>
  <c r="M59" i="1"/>
  <c r="L59" i="1"/>
  <c r="K59" i="1"/>
  <c r="J59" i="1"/>
  <c r="I59" i="1"/>
  <c r="H59" i="1"/>
  <c r="G59" i="1"/>
  <c r="P58" i="1"/>
  <c r="O58" i="1"/>
  <c r="N58" i="1"/>
  <c r="M58" i="1"/>
  <c r="L58" i="1"/>
  <c r="K58" i="1"/>
  <c r="J58" i="1"/>
  <c r="I58" i="1"/>
  <c r="H58" i="1"/>
  <c r="G58" i="1"/>
  <c r="P57" i="1"/>
  <c r="O57" i="1"/>
  <c r="N57" i="1"/>
  <c r="M57" i="1"/>
  <c r="L57" i="1"/>
  <c r="K57" i="1"/>
  <c r="J57" i="1"/>
  <c r="I57" i="1"/>
  <c r="H57" i="1"/>
  <c r="G57" i="1"/>
  <c r="P56" i="1"/>
  <c r="O56" i="1"/>
  <c r="N56" i="1"/>
  <c r="M56" i="1"/>
  <c r="L56" i="1"/>
  <c r="K56" i="1"/>
  <c r="J56" i="1"/>
  <c r="I56" i="1"/>
  <c r="H56" i="1"/>
  <c r="G56" i="1"/>
  <c r="P55" i="1"/>
  <c r="O55" i="1"/>
  <c r="N55" i="1"/>
  <c r="M55" i="1"/>
  <c r="L55" i="1"/>
  <c r="K55" i="1"/>
  <c r="J55" i="1"/>
  <c r="I55" i="1"/>
  <c r="H55" i="1"/>
  <c r="G55" i="1"/>
  <c r="P54" i="1"/>
  <c r="O54" i="1"/>
  <c r="N54" i="1"/>
  <c r="M54" i="1"/>
  <c r="L54" i="1"/>
  <c r="K54" i="1"/>
  <c r="J54" i="1"/>
  <c r="I54" i="1"/>
  <c r="H54" i="1"/>
  <c r="G54" i="1"/>
  <c r="P53" i="1"/>
  <c r="O53" i="1"/>
  <c r="N53" i="1"/>
  <c r="M53" i="1"/>
  <c r="L53" i="1"/>
  <c r="K53" i="1"/>
  <c r="J53" i="1"/>
  <c r="I53" i="1"/>
  <c r="H53" i="1"/>
  <c r="G53" i="1"/>
  <c r="P52" i="1"/>
  <c r="O52" i="1"/>
  <c r="N52" i="1"/>
  <c r="M52" i="1"/>
  <c r="L52" i="1"/>
  <c r="K52" i="1"/>
  <c r="J52" i="1"/>
  <c r="I52" i="1"/>
  <c r="H52" i="1"/>
  <c r="G52" i="1"/>
  <c r="P51" i="1"/>
  <c r="O51" i="1"/>
  <c r="N51" i="1"/>
  <c r="M51" i="1"/>
  <c r="L51" i="1"/>
  <c r="K51" i="1"/>
  <c r="J51" i="1"/>
  <c r="I51" i="1"/>
  <c r="H51" i="1"/>
  <c r="G51" i="1"/>
  <c r="P50" i="1"/>
  <c r="O50" i="1"/>
  <c r="N50" i="1"/>
  <c r="M50" i="1"/>
  <c r="L50" i="1"/>
  <c r="K50" i="1"/>
  <c r="J50" i="1"/>
  <c r="I50" i="1"/>
  <c r="H50" i="1"/>
  <c r="G50" i="1"/>
  <c r="P49" i="1"/>
  <c r="O49" i="1"/>
  <c r="N49" i="1"/>
  <c r="M49" i="1"/>
  <c r="L49" i="1"/>
  <c r="K49" i="1"/>
  <c r="J49" i="1"/>
  <c r="I49" i="1"/>
  <c r="H49" i="1"/>
  <c r="G49" i="1"/>
  <c r="P48" i="1"/>
  <c r="O48" i="1"/>
  <c r="N48" i="1"/>
  <c r="M48" i="1"/>
  <c r="L48" i="1"/>
  <c r="K48" i="1"/>
  <c r="J48" i="1"/>
  <c r="I48" i="1"/>
  <c r="H48" i="1"/>
  <c r="G48" i="1"/>
  <c r="P47" i="1"/>
  <c r="O47" i="1"/>
  <c r="N47" i="1"/>
  <c r="M47" i="1"/>
  <c r="L47" i="1"/>
  <c r="K47" i="1"/>
  <c r="J47" i="1"/>
  <c r="I47" i="1"/>
  <c r="H47" i="1"/>
  <c r="G47" i="1"/>
  <c r="P46" i="1"/>
  <c r="O46" i="1"/>
  <c r="N46" i="1"/>
  <c r="M46" i="1"/>
  <c r="L46" i="1"/>
  <c r="K46" i="1"/>
  <c r="J46" i="1"/>
  <c r="I46" i="1"/>
  <c r="H46" i="1"/>
  <c r="G46" i="1"/>
  <c r="P45" i="1"/>
  <c r="O45" i="1"/>
  <c r="N45" i="1"/>
  <c r="M45" i="1"/>
  <c r="L45" i="1"/>
  <c r="K45" i="1"/>
  <c r="J45" i="1"/>
  <c r="I45" i="1"/>
  <c r="H45" i="1"/>
  <c r="G45" i="1"/>
  <c r="P44" i="1"/>
  <c r="O44" i="1"/>
  <c r="N44" i="1"/>
  <c r="M44" i="1"/>
  <c r="L44" i="1"/>
  <c r="K44" i="1"/>
  <c r="J44" i="1"/>
  <c r="I44" i="1"/>
  <c r="H44" i="1"/>
  <c r="G44" i="1"/>
  <c r="P43" i="1"/>
  <c r="O43" i="1"/>
  <c r="N43" i="1"/>
  <c r="M43" i="1"/>
  <c r="L43" i="1"/>
  <c r="K43" i="1"/>
  <c r="J43" i="1"/>
  <c r="I43" i="1"/>
  <c r="H43" i="1"/>
  <c r="G43" i="1"/>
  <c r="P42" i="1"/>
  <c r="O42" i="1"/>
  <c r="N42" i="1"/>
  <c r="M42" i="1"/>
  <c r="L42" i="1"/>
  <c r="K42" i="1"/>
  <c r="J42" i="1"/>
  <c r="I42" i="1"/>
  <c r="H42" i="1"/>
  <c r="G42" i="1"/>
  <c r="P41" i="1"/>
  <c r="O41" i="1"/>
  <c r="N41" i="1"/>
  <c r="M41" i="1"/>
  <c r="L41" i="1"/>
  <c r="K41" i="1"/>
  <c r="J41" i="1"/>
  <c r="I41" i="1"/>
  <c r="H41" i="1"/>
  <c r="G41" i="1"/>
  <c r="P40" i="1"/>
  <c r="O40" i="1"/>
  <c r="N40" i="1"/>
  <c r="M40" i="1"/>
  <c r="L40" i="1"/>
  <c r="K40" i="1"/>
  <c r="J40" i="1"/>
  <c r="I40" i="1"/>
  <c r="H40" i="1"/>
  <c r="G40" i="1"/>
  <c r="P39" i="1"/>
  <c r="O39" i="1"/>
  <c r="N39" i="1"/>
  <c r="M39" i="1"/>
  <c r="L39" i="1"/>
  <c r="K39" i="1"/>
  <c r="J39" i="1"/>
  <c r="I39" i="1"/>
  <c r="H39" i="1"/>
  <c r="G39" i="1"/>
  <c r="P38" i="1"/>
  <c r="O38" i="1"/>
  <c r="N38" i="1"/>
  <c r="M38" i="1"/>
  <c r="L38" i="1"/>
  <c r="K38" i="1"/>
  <c r="J38" i="1"/>
  <c r="I38" i="1"/>
  <c r="H38" i="1"/>
  <c r="G38" i="1"/>
  <c r="P37" i="1"/>
  <c r="O37" i="1"/>
  <c r="N37" i="1"/>
  <c r="M37" i="1"/>
  <c r="L37" i="1"/>
  <c r="K37" i="1"/>
  <c r="J37" i="1"/>
  <c r="I37" i="1"/>
  <c r="H37" i="1"/>
  <c r="G37" i="1"/>
  <c r="P36" i="1"/>
  <c r="O36" i="1"/>
  <c r="N36" i="1"/>
  <c r="M36" i="1"/>
  <c r="L36" i="1"/>
  <c r="K36" i="1"/>
  <c r="J36" i="1"/>
  <c r="I36" i="1"/>
  <c r="H36" i="1"/>
  <c r="G36" i="1"/>
  <c r="P35" i="1"/>
  <c r="O35" i="1"/>
  <c r="N35" i="1"/>
  <c r="M35" i="1"/>
  <c r="L35" i="1"/>
  <c r="K35" i="1"/>
  <c r="J35" i="1"/>
  <c r="I35" i="1"/>
  <c r="H35" i="1"/>
  <c r="G35" i="1"/>
  <c r="P34" i="1"/>
  <c r="O34" i="1"/>
  <c r="N34" i="1"/>
  <c r="M34" i="1"/>
  <c r="L34" i="1"/>
  <c r="K34" i="1"/>
  <c r="J34" i="1"/>
  <c r="I34" i="1"/>
  <c r="H34" i="1"/>
  <c r="G34" i="1"/>
  <c r="P33" i="1"/>
  <c r="O33" i="1"/>
  <c r="N33" i="1"/>
  <c r="M33" i="1"/>
  <c r="L33" i="1"/>
  <c r="K33" i="1"/>
  <c r="J33" i="1"/>
  <c r="I33" i="1"/>
  <c r="H33" i="1"/>
  <c r="G33" i="1"/>
  <c r="P32" i="1"/>
  <c r="O32" i="1"/>
  <c r="N32" i="1"/>
  <c r="M32" i="1"/>
  <c r="L32" i="1"/>
  <c r="K32" i="1"/>
  <c r="J32" i="1"/>
  <c r="I32" i="1"/>
  <c r="H32" i="1"/>
  <c r="G32" i="1"/>
  <c r="P31" i="1"/>
  <c r="O31" i="1"/>
  <c r="N31" i="1"/>
  <c r="M31" i="1"/>
  <c r="L31" i="1"/>
  <c r="K31" i="1"/>
  <c r="J31" i="1"/>
  <c r="I31" i="1"/>
  <c r="H31" i="1"/>
  <c r="G31" i="1"/>
  <c r="P30" i="1"/>
  <c r="O30" i="1"/>
  <c r="N30" i="1"/>
  <c r="M30" i="1"/>
  <c r="L30" i="1"/>
  <c r="K30" i="1"/>
  <c r="J30" i="1"/>
  <c r="I30" i="1"/>
  <c r="H30" i="1"/>
  <c r="G30" i="1"/>
  <c r="P29" i="1"/>
  <c r="O29" i="1"/>
  <c r="N29" i="1"/>
  <c r="M29" i="1"/>
  <c r="L29" i="1"/>
  <c r="K29" i="1"/>
  <c r="J29" i="1"/>
  <c r="I29" i="1"/>
  <c r="H29" i="1"/>
  <c r="G29" i="1"/>
  <c r="P28" i="1"/>
  <c r="O28" i="1"/>
  <c r="N28" i="1"/>
  <c r="M28" i="1"/>
  <c r="L28" i="1"/>
  <c r="K28" i="1"/>
  <c r="J28" i="1"/>
  <c r="I28" i="1"/>
  <c r="H28" i="1"/>
  <c r="G28" i="1"/>
  <c r="P27" i="1"/>
  <c r="O27" i="1"/>
  <c r="N27" i="1"/>
  <c r="M27" i="1"/>
  <c r="L27" i="1"/>
  <c r="K27" i="1"/>
  <c r="J27" i="1"/>
  <c r="I27" i="1"/>
  <c r="H27" i="1"/>
  <c r="G27" i="1"/>
  <c r="P26" i="1"/>
  <c r="O26" i="1"/>
  <c r="N26" i="1"/>
  <c r="M26" i="1"/>
  <c r="L26" i="1"/>
  <c r="K26" i="1"/>
  <c r="J26" i="1"/>
  <c r="I26" i="1"/>
  <c r="H26" i="1"/>
  <c r="G26" i="1"/>
  <c r="P25" i="1"/>
  <c r="O25" i="1"/>
  <c r="N25" i="1"/>
  <c r="M25" i="1"/>
  <c r="L25" i="1"/>
  <c r="K25" i="1"/>
  <c r="J25" i="1"/>
  <c r="I25" i="1"/>
  <c r="H25" i="1"/>
  <c r="G25" i="1"/>
  <c r="P24" i="1"/>
  <c r="O24" i="1"/>
  <c r="N24" i="1"/>
  <c r="M24" i="1"/>
  <c r="L24" i="1"/>
  <c r="K24" i="1"/>
  <c r="J24" i="1"/>
  <c r="I24" i="1"/>
  <c r="H24" i="1"/>
  <c r="G24" i="1"/>
  <c r="P23" i="1"/>
  <c r="O23" i="1"/>
  <c r="N23" i="1"/>
  <c r="M23" i="1"/>
  <c r="L23" i="1"/>
  <c r="K23" i="1"/>
  <c r="J23" i="1"/>
  <c r="I23" i="1"/>
  <c r="H23" i="1"/>
  <c r="G23" i="1"/>
  <c r="P22" i="1"/>
  <c r="O22" i="1"/>
  <c r="N22" i="1"/>
  <c r="M22" i="1"/>
  <c r="L22" i="1"/>
  <c r="K22" i="1"/>
  <c r="J22" i="1"/>
  <c r="I22" i="1"/>
  <c r="H22" i="1"/>
  <c r="G22" i="1"/>
  <c r="P21" i="1"/>
  <c r="O21" i="1"/>
  <c r="N21" i="1"/>
  <c r="M21" i="1"/>
  <c r="L21" i="1"/>
  <c r="K21" i="1"/>
  <c r="J21" i="1"/>
  <c r="I21" i="1"/>
  <c r="H21" i="1"/>
  <c r="G21" i="1"/>
  <c r="P20" i="1"/>
  <c r="O20" i="1"/>
  <c r="N20" i="1"/>
  <c r="M20" i="1"/>
  <c r="L20" i="1"/>
  <c r="K20" i="1"/>
  <c r="J20" i="1"/>
  <c r="I20" i="1"/>
  <c r="H20" i="1"/>
  <c r="G20" i="1"/>
  <c r="P19" i="1"/>
  <c r="O19" i="1"/>
  <c r="N19" i="1"/>
  <c r="M19" i="1"/>
  <c r="L19" i="1"/>
  <c r="K19" i="1"/>
  <c r="J19" i="1"/>
  <c r="I19" i="1"/>
  <c r="H19" i="1"/>
  <c r="G19" i="1"/>
  <c r="P18" i="1"/>
  <c r="O18" i="1"/>
  <c r="N18" i="1"/>
  <c r="M18" i="1"/>
  <c r="L18" i="1"/>
  <c r="K18" i="1"/>
  <c r="J18" i="1"/>
  <c r="I18" i="1"/>
  <c r="H18" i="1"/>
  <c r="G18" i="1"/>
  <c r="P17" i="1"/>
  <c r="O17" i="1"/>
  <c r="N17" i="1"/>
  <c r="M17" i="1"/>
  <c r="L17" i="1"/>
  <c r="K17" i="1"/>
  <c r="J17" i="1"/>
  <c r="I17" i="1"/>
  <c r="H17" i="1"/>
  <c r="G17" i="1"/>
  <c r="P16" i="1"/>
  <c r="O16" i="1"/>
  <c r="N16" i="1"/>
  <c r="M16" i="1"/>
  <c r="L16" i="1"/>
  <c r="K16" i="1"/>
  <c r="J16" i="1"/>
  <c r="I16" i="1"/>
  <c r="H16" i="1"/>
  <c r="G16" i="1"/>
  <c r="P15" i="1"/>
  <c r="O15" i="1"/>
  <c r="N15" i="1"/>
  <c r="M15" i="1"/>
  <c r="L15" i="1"/>
  <c r="K15" i="1"/>
  <c r="J15" i="1"/>
  <c r="I15" i="1"/>
  <c r="H15" i="1"/>
  <c r="G15" i="1"/>
  <c r="P14" i="1"/>
  <c r="O14" i="1"/>
  <c r="N14" i="1"/>
  <c r="M14" i="1"/>
  <c r="L14" i="1"/>
  <c r="K14" i="1"/>
  <c r="J14" i="1"/>
  <c r="I14" i="1"/>
  <c r="H14" i="1"/>
  <c r="G14" i="1"/>
  <c r="P13" i="1"/>
  <c r="O13" i="1"/>
  <c r="N13" i="1"/>
  <c r="M13" i="1"/>
  <c r="L13" i="1"/>
  <c r="K13" i="1"/>
  <c r="J13" i="1"/>
  <c r="I13" i="1"/>
  <c r="H13" i="1"/>
  <c r="G13" i="1"/>
  <c r="P12" i="1"/>
  <c r="O12" i="1"/>
  <c r="N12" i="1"/>
  <c r="M12" i="1"/>
  <c r="L12" i="1"/>
  <c r="K12" i="1"/>
  <c r="J12" i="1"/>
  <c r="I12" i="1"/>
  <c r="H12" i="1"/>
  <c r="G12" i="1"/>
  <c r="P11" i="1"/>
  <c r="O11" i="1"/>
  <c r="N11" i="1"/>
  <c r="M11" i="1"/>
  <c r="L11" i="1"/>
  <c r="K11" i="1"/>
  <c r="J11" i="1"/>
  <c r="I11" i="1"/>
  <c r="H11" i="1"/>
  <c r="G11" i="1"/>
  <c r="P10" i="1"/>
  <c r="O10" i="1"/>
  <c r="N10" i="1"/>
  <c r="M10" i="1"/>
  <c r="L10" i="1"/>
  <c r="K10" i="1"/>
  <c r="J10" i="1"/>
  <c r="I10" i="1"/>
  <c r="H10" i="1"/>
  <c r="G10" i="1"/>
  <c r="P9" i="1"/>
  <c r="O9" i="1"/>
  <c r="N9" i="1"/>
  <c r="M9" i="1"/>
  <c r="L9" i="1"/>
  <c r="K9" i="1"/>
  <c r="J9" i="1"/>
  <c r="I9" i="1"/>
  <c r="H9" i="1"/>
  <c r="G9" i="1"/>
  <c r="P8" i="1"/>
  <c r="O8" i="1"/>
  <c r="N8" i="1"/>
  <c r="M8" i="1"/>
  <c r="L8" i="1"/>
  <c r="K8" i="1"/>
  <c r="J8" i="1"/>
  <c r="I8" i="1"/>
  <c r="H8" i="1"/>
  <c r="G8" i="1"/>
  <c r="P7" i="1"/>
  <c r="O7" i="1"/>
  <c r="N7" i="1"/>
  <c r="M7" i="1"/>
  <c r="L7" i="1"/>
  <c r="K7" i="1"/>
  <c r="J7" i="1"/>
  <c r="H7" i="1"/>
  <c r="G7" i="1"/>
  <c r="P6" i="1"/>
  <c r="O6" i="1"/>
  <c r="N6" i="1"/>
  <c r="M6" i="1"/>
  <c r="L6" i="1"/>
  <c r="K6" i="1"/>
  <c r="J6" i="1"/>
  <c r="I6" i="1"/>
  <c r="H6" i="1"/>
  <c r="G6" i="1"/>
  <c r="P5" i="1"/>
  <c r="O5" i="1"/>
  <c r="N5" i="1"/>
  <c r="M5" i="1"/>
  <c r="L5" i="1"/>
  <c r="K5" i="1"/>
  <c r="J5" i="1"/>
  <c r="I5" i="1"/>
  <c r="H5" i="1"/>
  <c r="G5" i="1"/>
  <c r="P4" i="1"/>
  <c r="O4" i="1"/>
  <c r="N4" i="1"/>
  <c r="M4" i="1"/>
  <c r="L4" i="1"/>
  <c r="K4" i="1"/>
  <c r="J4" i="1"/>
  <c r="I4" i="1"/>
  <c r="H4" i="1"/>
  <c r="G4" i="1"/>
  <c r="M3" i="1"/>
  <c r="L3" i="1"/>
  <c r="K3" i="1"/>
  <c r="J3" i="1"/>
  <c r="I3" i="1"/>
  <c r="H3" i="1"/>
  <c r="G3" i="1"/>
  <c r="P3" i="1"/>
  <c r="O3" i="1"/>
  <c r="N3" i="1"/>
  <c r="P2" i="1"/>
  <c r="O2" i="1"/>
  <c r="N2" i="1"/>
  <c r="M2" i="1"/>
  <c r="L2" i="1"/>
  <c r="P7" i="6"/>
  <c r="P6" i="6"/>
  <c r="P5" i="6"/>
  <c r="O17" i="6"/>
  <c r="M9" i="6"/>
  <c r="M4" i="6" a="1"/>
  <c r="M4" i="6" s="1"/>
  <c r="J8" i="6"/>
  <c r="I8" i="6" a="1"/>
  <c r="I8" i="6" s="1"/>
  <c r="J11" i="6"/>
  <c r="I11" i="6"/>
  <c r="G11" i="6"/>
  <c r="F11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4" i="6" s="1"/>
  <c r="O1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N17" i="6"/>
  <c r="M17" i="6"/>
  <c r="F161" i="8" l="1"/>
  <c r="K31" i="8"/>
  <c r="K43" i="8"/>
  <c r="K55" i="8"/>
  <c r="K79" i="8"/>
  <c r="K91" i="8"/>
  <c r="K103" i="8"/>
  <c r="K115" i="8"/>
  <c r="K127" i="8"/>
  <c r="K151" i="8"/>
  <c r="K175" i="8"/>
  <c r="K199" i="8"/>
  <c r="K223" i="8"/>
  <c r="K247" i="8"/>
  <c r="K192" i="8"/>
  <c r="K33" i="8"/>
  <c r="K57" i="8"/>
  <c r="K105" i="8"/>
  <c r="K129" i="8"/>
  <c r="K153" i="8"/>
  <c r="K177" i="8"/>
  <c r="K225" i="8"/>
  <c r="K249" i="8"/>
  <c r="K34" i="8"/>
  <c r="K58" i="8"/>
  <c r="K106" i="8"/>
  <c r="K130" i="8"/>
  <c r="K154" i="8"/>
  <c r="K178" i="8"/>
  <c r="K226" i="8"/>
  <c r="K81" i="8"/>
  <c r="K250" i="8"/>
  <c r="K20" i="8"/>
  <c r="K44" i="8"/>
  <c r="K68" i="8"/>
  <c r="K92" i="8"/>
  <c r="K116" i="8"/>
  <c r="K140" i="8"/>
  <c r="K164" i="8"/>
  <c r="K188" i="8"/>
  <c r="K212" i="8"/>
  <c r="K236" i="8"/>
  <c r="K260" i="8"/>
  <c r="K82" i="8"/>
  <c r="K201" i="8"/>
  <c r="K202" i="8"/>
  <c r="K23" i="8"/>
  <c r="K35" i="8"/>
  <c r="K47" i="8"/>
  <c r="K59" i="8"/>
  <c r="K71" i="8"/>
  <c r="K83" i="8"/>
  <c r="K95" i="8"/>
  <c r="K107" i="8"/>
  <c r="K119" i="8"/>
  <c r="K131" i="8"/>
  <c r="K143" i="8"/>
  <c r="K155" i="8"/>
  <c r="K167" i="8"/>
  <c r="K179" i="8"/>
  <c r="K191" i="8"/>
  <c r="K203" i="8"/>
  <c r="K215" i="8"/>
  <c r="K227" i="8"/>
  <c r="K239" i="8"/>
  <c r="K251" i="8"/>
  <c r="K263" i="8"/>
  <c r="K96" i="8"/>
  <c r="K108" i="8"/>
  <c r="K120" i="8"/>
  <c r="K132" i="8"/>
  <c r="K144" i="8"/>
  <c r="K156" i="8"/>
  <c r="K168" i="8"/>
  <c r="K180" i="8"/>
  <c r="K204" i="8"/>
  <c r="K216" i="8"/>
  <c r="K228" i="8"/>
  <c r="K26" i="8"/>
  <c r="K38" i="8"/>
  <c r="K50" i="8"/>
  <c r="K62" i="8"/>
  <c r="K74" i="8"/>
  <c r="K86" i="8"/>
  <c r="K98" i="8"/>
  <c r="K110" i="8"/>
  <c r="K122" i="8"/>
  <c r="K134" i="8"/>
  <c r="K146" i="8"/>
  <c r="K158" i="8"/>
  <c r="K170" i="8"/>
  <c r="K182" i="8"/>
  <c r="K194" i="8"/>
  <c r="K206" i="8"/>
  <c r="K218" i="8"/>
  <c r="K230" i="8"/>
  <c r="K242" i="8"/>
  <c r="K254" i="8"/>
  <c r="K207" i="8"/>
  <c r="K219" i="8"/>
  <c r="K243" i="8"/>
  <c r="K255" i="8"/>
  <c r="F198" i="8"/>
  <c r="F210" i="8"/>
  <c r="F222" i="8"/>
  <c r="K28" i="8"/>
  <c r="K40" i="8"/>
  <c r="K52" i="8"/>
  <c r="F21" i="8"/>
  <c r="F33" i="8"/>
  <c r="F45" i="8"/>
  <c r="F57" i="8"/>
  <c r="F69" i="8"/>
  <c r="F81" i="8"/>
  <c r="F93" i="8"/>
  <c r="F105" i="8"/>
  <c r="F117" i="8"/>
  <c r="F129" i="8"/>
  <c r="F141" i="8"/>
  <c r="F153" i="8"/>
  <c r="F165" i="8"/>
  <c r="F177" i="8"/>
  <c r="F189" i="8"/>
  <c r="F225" i="8"/>
  <c r="F261" i="8"/>
  <c r="K222" i="8"/>
  <c r="K24" i="8"/>
  <c r="K36" i="8"/>
  <c r="K48" i="8"/>
  <c r="K60" i="8"/>
  <c r="K72" i="8"/>
  <c r="K84" i="8"/>
  <c r="K240" i="8"/>
  <c r="K252" i="8"/>
  <c r="K264" i="8"/>
  <c r="K25" i="8"/>
  <c r="K37" i="8"/>
  <c r="K49" i="8"/>
  <c r="K61" i="8"/>
  <c r="K73" i="8"/>
  <c r="K85" i="8"/>
  <c r="K97" i="8"/>
  <c r="K109" i="8"/>
  <c r="K121" i="8"/>
  <c r="K133" i="8"/>
  <c r="K145" i="8"/>
  <c r="K157" i="8"/>
  <c r="K169" i="8"/>
  <c r="K181" i="8"/>
  <c r="K193" i="8"/>
  <c r="K205" i="8"/>
  <c r="K217" i="8"/>
  <c r="K229" i="8"/>
  <c r="K241" i="8"/>
  <c r="K253" i="8"/>
  <c r="K265" i="8"/>
  <c r="K21" i="8"/>
  <c r="K45" i="8"/>
  <c r="K69" i="8"/>
  <c r="K93" i="8"/>
  <c r="K117" i="8"/>
  <c r="K141" i="8"/>
  <c r="K165" i="8"/>
  <c r="K189" i="8"/>
  <c r="K213" i="8"/>
  <c r="K237" i="8"/>
  <c r="K261" i="8"/>
  <c r="K22" i="8"/>
  <c r="K46" i="8"/>
  <c r="K70" i="8"/>
  <c r="K94" i="8"/>
  <c r="K118" i="8"/>
  <c r="K142" i="8"/>
  <c r="K166" i="8"/>
  <c r="K190" i="8"/>
  <c r="K214" i="8"/>
  <c r="K238" i="8"/>
  <c r="K262" i="8"/>
  <c r="F26" i="8"/>
  <c r="F38" i="8"/>
  <c r="F50" i="8"/>
  <c r="F62" i="8"/>
  <c r="F74" i="8"/>
  <c r="F86" i="8"/>
  <c r="F98" i="8"/>
  <c r="F110" i="8"/>
  <c r="F122" i="8"/>
  <c r="F134" i="8"/>
  <c r="F146" i="8"/>
  <c r="F158" i="8"/>
  <c r="F170" i="8"/>
  <c r="F182" i="8"/>
  <c r="F194" i="8"/>
  <c r="F206" i="8"/>
  <c r="F218" i="8"/>
  <c r="F230" i="8"/>
  <c r="F242" i="8"/>
  <c r="F254" i="8"/>
  <c r="F266" i="8"/>
  <c r="K32" i="8"/>
  <c r="K56" i="8"/>
  <c r="K80" i="8"/>
  <c r="K104" i="8"/>
  <c r="K128" i="8"/>
  <c r="K152" i="8"/>
  <c r="K176" i="8"/>
  <c r="K200" i="8"/>
  <c r="K224" i="8"/>
  <c r="K248" i="8"/>
  <c r="K266" i="8"/>
  <c r="F30" i="8"/>
  <c r="F42" i="8"/>
  <c r="F54" i="8"/>
  <c r="F66" i="8"/>
  <c r="F78" i="8"/>
  <c r="F90" i="8"/>
  <c r="F102" i="8"/>
  <c r="F114" i="8"/>
  <c r="F126" i="8"/>
  <c r="F138" i="8"/>
  <c r="F150" i="8"/>
  <c r="F162" i="8"/>
  <c r="F174" i="8"/>
  <c r="F186" i="8"/>
  <c r="F209" i="8"/>
  <c r="F234" i="8"/>
  <c r="F246" i="8"/>
  <c r="F245" i="8"/>
  <c r="F257" i="8"/>
  <c r="K27" i="8"/>
  <c r="K39" i="8"/>
  <c r="K51" i="8"/>
  <c r="K63" i="8"/>
  <c r="K75" i="8"/>
  <c r="K87" i="8"/>
  <c r="K99" i="8"/>
  <c r="K111" i="8"/>
  <c r="K123" i="8"/>
  <c r="K135" i="8"/>
  <c r="K147" i="8"/>
  <c r="K159" i="8"/>
  <c r="K171" i="8"/>
  <c r="K183" i="8"/>
  <c r="K195" i="8"/>
  <c r="K231" i="8"/>
  <c r="K267" i="8"/>
  <c r="K64" i="8"/>
  <c r="K76" i="8"/>
  <c r="K88" i="8"/>
  <c r="K100" i="8"/>
  <c r="K112" i="8"/>
  <c r="K124" i="8"/>
  <c r="K136" i="8"/>
  <c r="K148" i="8"/>
  <c r="K160" i="8"/>
  <c r="K172" i="8"/>
  <c r="K184" i="8"/>
  <c r="K196" i="8"/>
  <c r="K208" i="8"/>
  <c r="K220" i="8"/>
  <c r="K232" i="8"/>
  <c r="K244" i="8"/>
  <c r="K256" i="8"/>
  <c r="K268" i="8"/>
  <c r="F187" i="8"/>
  <c r="K29" i="8"/>
  <c r="K41" i="8"/>
  <c r="K53" i="8"/>
  <c r="K65" i="8"/>
  <c r="K77" i="8"/>
  <c r="K89" i="8"/>
  <c r="K101" i="8"/>
  <c r="K113" i="8"/>
  <c r="K125" i="8"/>
  <c r="K137" i="8"/>
  <c r="K149" i="8"/>
  <c r="K161" i="8"/>
  <c r="K173" i="8"/>
  <c r="K185" i="8"/>
  <c r="K197" i="8"/>
  <c r="K209" i="8"/>
  <c r="K221" i="8"/>
  <c r="K233" i="8"/>
  <c r="K245" i="8"/>
  <c r="K257" i="8"/>
  <c r="K234" i="8"/>
  <c r="K246" i="8"/>
  <c r="K258" i="8"/>
  <c r="K19" i="8"/>
  <c r="K139" i="8"/>
  <c r="K163" i="8"/>
  <c r="K187" i="8"/>
  <c r="K211" i="8"/>
  <c r="K235" i="8"/>
  <c r="K259" i="8"/>
  <c r="K30" i="8"/>
  <c r="K42" i="8"/>
  <c r="K54" i="8"/>
  <c r="K66" i="8"/>
  <c r="K78" i="8"/>
  <c r="K90" i="8"/>
  <c r="K102" i="8"/>
  <c r="K114" i="8"/>
  <c r="K126" i="8"/>
  <c r="K138" i="8"/>
  <c r="K150" i="8"/>
  <c r="K162" i="8"/>
  <c r="K174" i="8"/>
  <c r="K186" i="8"/>
  <c r="K198" i="8"/>
  <c r="K210" i="8"/>
  <c r="K67" i="8"/>
  <c r="F248" i="8"/>
  <c r="F201" i="8"/>
  <c r="F213" i="8"/>
  <c r="F237" i="8"/>
  <c r="F249" i="8"/>
  <c r="F24" i="8"/>
  <c r="F36" i="8"/>
  <c r="F48" i="8"/>
  <c r="F60" i="8"/>
  <c r="F72" i="8"/>
  <c r="F84" i="8"/>
  <c r="F96" i="8"/>
  <c r="F108" i="8"/>
  <c r="F120" i="8"/>
  <c r="F132" i="8"/>
  <c r="F144" i="8"/>
  <c r="F156" i="8"/>
  <c r="F168" i="8"/>
  <c r="F180" i="8"/>
  <c r="F192" i="8"/>
  <c r="F204" i="8"/>
  <c r="F216" i="8"/>
  <c r="F228" i="8"/>
  <c r="F240" i="8"/>
  <c r="F252" i="8"/>
  <c r="F264" i="8"/>
  <c r="F25" i="8"/>
  <c r="F37" i="8"/>
  <c r="F49" i="8"/>
  <c r="F61" i="8"/>
  <c r="F73" i="8"/>
  <c r="F85" i="8"/>
  <c r="F97" i="8"/>
  <c r="F109" i="8"/>
  <c r="F121" i="8"/>
  <c r="F133" i="8"/>
  <c r="F145" i="8"/>
  <c r="F157" i="8"/>
  <c r="F169" i="8"/>
  <c r="F181" i="8"/>
  <c r="F193" i="8"/>
  <c r="F205" i="8"/>
  <c r="F217" i="8"/>
  <c r="F229" i="8"/>
  <c r="F241" i="8"/>
  <c r="F253" i="8"/>
  <c r="F265" i="8"/>
  <c r="F223" i="8"/>
  <c r="F188" i="8"/>
  <c r="F202" i="8"/>
  <c r="F235" i="8"/>
  <c r="F27" i="8"/>
  <c r="F39" i="8"/>
  <c r="F51" i="8"/>
  <c r="F63" i="8"/>
  <c r="F75" i="8"/>
  <c r="F87" i="8"/>
  <c r="F99" i="8"/>
  <c r="F111" i="8"/>
  <c r="F123" i="8"/>
  <c r="F135" i="8"/>
  <c r="F147" i="8"/>
  <c r="F159" i="8"/>
  <c r="F171" i="8"/>
  <c r="F183" i="8"/>
  <c r="F195" i="8"/>
  <c r="F207" i="8"/>
  <c r="F219" i="8"/>
  <c r="F231" i="8"/>
  <c r="F243" i="8"/>
  <c r="F255" i="8"/>
  <c r="F267" i="8"/>
  <c r="F211" i="8"/>
  <c r="F28" i="8"/>
  <c r="F40" i="8"/>
  <c r="F52" i="8"/>
  <c r="F64" i="8"/>
  <c r="F76" i="8"/>
  <c r="F88" i="8"/>
  <c r="F100" i="8"/>
  <c r="F112" i="8"/>
  <c r="F124" i="8"/>
  <c r="F136" i="8"/>
  <c r="F148" i="8"/>
  <c r="F160" i="8"/>
  <c r="F172" i="8"/>
  <c r="F184" i="8"/>
  <c r="F196" i="8"/>
  <c r="F208" i="8"/>
  <c r="F220" i="8"/>
  <c r="F232" i="8"/>
  <c r="F244" i="8"/>
  <c r="F256" i="8"/>
  <c r="F268" i="8"/>
  <c r="F250" i="8"/>
  <c r="F19" i="8"/>
  <c r="F214" i="8"/>
  <c r="F238" i="8"/>
  <c r="F31" i="8"/>
  <c r="F43" i="8"/>
  <c r="F55" i="8"/>
  <c r="F67" i="8"/>
  <c r="F79" i="8"/>
  <c r="F91" i="8"/>
  <c r="F103" i="8"/>
  <c r="F115" i="8"/>
  <c r="F127" i="8"/>
  <c r="F139" i="8"/>
  <c r="F151" i="8"/>
  <c r="F163" i="8"/>
  <c r="F175" i="8"/>
  <c r="F199" i="8"/>
  <c r="F247" i="8"/>
  <c r="F259" i="8"/>
  <c r="F149" i="8"/>
  <c r="F258" i="8"/>
  <c r="F233" i="8"/>
  <c r="F221" i="8"/>
  <c r="F29" i="8"/>
  <c r="F41" i="8"/>
  <c r="F53" i="8"/>
  <c r="F65" i="8"/>
  <c r="F77" i="8"/>
  <c r="F89" i="8"/>
  <c r="F101" i="8"/>
  <c r="F113" i="8"/>
  <c r="F125" i="8"/>
  <c r="F137" i="8"/>
  <c r="F185" i="8"/>
  <c r="F197" i="8"/>
  <c r="F173" i="8"/>
  <c r="I7" i="7"/>
  <c r="P264" i="7"/>
  <c r="P49" i="7"/>
  <c r="P61" i="7"/>
  <c r="P73" i="7"/>
  <c r="P85" i="7"/>
  <c r="P97" i="7"/>
  <c r="P109" i="7"/>
  <c r="P121" i="7"/>
  <c r="P133" i="7"/>
  <c r="P145" i="7"/>
  <c r="P157" i="7"/>
  <c r="P169" i="7"/>
  <c r="P181" i="7"/>
  <c r="P193" i="7"/>
  <c r="P205" i="7"/>
  <c r="P217" i="7"/>
  <c r="P229" i="7"/>
  <c r="P241" i="7"/>
  <c r="P253" i="7"/>
  <c r="P265" i="7"/>
  <c r="P21" i="7"/>
  <c r="P62" i="7"/>
  <c r="P74" i="7"/>
  <c r="P86" i="7"/>
  <c r="P98" i="7"/>
  <c r="P110" i="7"/>
  <c r="P122" i="7"/>
  <c r="P134" i="7"/>
  <c r="P146" i="7"/>
  <c r="P158" i="7"/>
  <c r="P170" i="7"/>
  <c r="P182" i="7"/>
  <c r="P194" i="7"/>
  <c r="P206" i="7"/>
  <c r="P218" i="7"/>
  <c r="P230" i="7"/>
  <c r="P242" i="7"/>
  <c r="P254" i="7"/>
  <c r="P266" i="7"/>
  <c r="P27" i="7"/>
  <c r="P39" i="7"/>
  <c r="P51" i="7"/>
  <c r="P63" i="7"/>
  <c r="P75" i="7"/>
  <c r="P87" i="7"/>
  <c r="P99" i="7"/>
  <c r="P111" i="7"/>
  <c r="P123" i="7"/>
  <c r="P135" i="7"/>
  <c r="P147" i="7"/>
  <c r="P159" i="7"/>
  <c r="P171" i="7"/>
  <c r="P183" i="7"/>
  <c r="P195" i="7"/>
  <c r="P207" i="7"/>
  <c r="P219" i="7"/>
  <c r="P231" i="7"/>
  <c r="P243" i="7"/>
  <c r="P255" i="7"/>
  <c r="P28" i="7"/>
  <c r="P40" i="7"/>
  <c r="P52" i="7"/>
  <c r="P64" i="7"/>
  <c r="P76" i="7"/>
  <c r="P88" i="7"/>
  <c r="P100" i="7"/>
  <c r="P112" i="7"/>
  <c r="P124" i="7"/>
  <c r="P136" i="7"/>
  <c r="P148" i="7"/>
  <c r="P160" i="7"/>
  <c r="P172" i="7"/>
  <c r="P184" i="7"/>
  <c r="P196" i="7"/>
  <c r="P208" i="7"/>
  <c r="P220" i="7"/>
  <c r="P232" i="7"/>
  <c r="P244" i="7"/>
  <c r="P256" i="7"/>
  <c r="P29" i="7"/>
  <c r="P41" i="7"/>
  <c r="P53" i="7"/>
  <c r="P65" i="7"/>
  <c r="P77" i="7"/>
  <c r="P89" i="7"/>
  <c r="P101" i="7"/>
  <c r="P113" i="7"/>
  <c r="P125" i="7"/>
  <c r="P137" i="7"/>
  <c r="P149" i="7"/>
  <c r="P161" i="7"/>
  <c r="P173" i="7"/>
  <c r="P185" i="7"/>
  <c r="P197" i="7"/>
  <c r="P209" i="7"/>
  <c r="P221" i="7"/>
  <c r="P233" i="7"/>
  <c r="P245" i="7"/>
  <c r="P257" i="7"/>
  <c r="P30" i="7"/>
  <c r="P42" i="7"/>
  <c r="P54" i="7"/>
  <c r="P66" i="7"/>
  <c r="P78" i="7"/>
  <c r="P90" i="7"/>
  <c r="P102" i="7"/>
  <c r="P114" i="7"/>
  <c r="P126" i="7"/>
  <c r="P138" i="7"/>
  <c r="P150" i="7"/>
  <c r="P162" i="7"/>
  <c r="P174" i="7"/>
  <c r="P186" i="7"/>
  <c r="P198" i="7"/>
  <c r="P210" i="7"/>
  <c r="P222" i="7"/>
  <c r="P234" i="7"/>
  <c r="P246" i="7"/>
  <c r="P258" i="7"/>
  <c r="M22" i="7"/>
  <c r="M6" i="6"/>
  <c r="M5" i="6"/>
  <c r="M11" i="6"/>
  <c r="M10" i="6"/>
  <c r="J11" i="8" l="1"/>
  <c r="J12" i="8" s="1"/>
  <c r="J9" i="8"/>
  <c r="J10" i="8" s="1"/>
  <c r="J5" i="8"/>
  <c r="J6" i="8" s="1"/>
  <c r="J3" i="8"/>
  <c r="J4" i="8" s="1"/>
  <c r="I8" i="7"/>
  <c r="M23" i="7"/>
  <c r="M24" i="7" l="1"/>
  <c r="M25" i="7" l="1"/>
  <c r="M26" i="7" l="1"/>
  <c r="M27" i="7" l="1"/>
  <c r="M28" i="7" l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M103" i="7" s="1"/>
  <c r="M104" i="7" s="1"/>
  <c r="M105" i="7" s="1"/>
  <c r="M106" i="7" s="1"/>
  <c r="M107" i="7" s="1"/>
  <c r="M108" i="7" s="1"/>
  <c r="M109" i="7" s="1"/>
  <c r="M110" i="7" s="1"/>
  <c r="M111" i="7" s="1"/>
  <c r="M112" i="7" s="1"/>
  <c r="M113" i="7" s="1"/>
  <c r="M114" i="7" s="1"/>
  <c r="M115" i="7" s="1"/>
  <c r="M116" i="7" s="1"/>
  <c r="M117" i="7" s="1"/>
  <c r="M118" i="7" s="1"/>
  <c r="M119" i="7" s="1"/>
  <c r="M120" i="7" s="1"/>
  <c r="M121" i="7" s="1"/>
  <c r="M122" i="7" s="1"/>
  <c r="M123" i="7" s="1"/>
  <c r="M124" i="7" s="1"/>
  <c r="M125" i="7" s="1"/>
  <c r="M126" i="7" s="1"/>
  <c r="M127" i="7" s="1"/>
  <c r="M128" i="7" s="1"/>
  <c r="M129" i="7" s="1"/>
  <c r="M130" i="7" s="1"/>
  <c r="M131" i="7" s="1"/>
  <c r="M132" i="7" s="1"/>
  <c r="M133" i="7" s="1"/>
  <c r="M134" i="7" s="1"/>
  <c r="M135" i="7" s="1"/>
  <c r="M136" i="7" s="1"/>
  <c r="M137" i="7" s="1"/>
  <c r="M138" i="7" s="1"/>
  <c r="M139" i="7" s="1"/>
  <c r="M140" i="7" s="1"/>
  <c r="M141" i="7" s="1"/>
  <c r="M142" i="7" s="1"/>
  <c r="M143" i="7" s="1"/>
  <c r="M144" i="7" s="1"/>
  <c r="M145" i="7" s="1"/>
  <c r="M146" i="7" s="1"/>
  <c r="M147" i="7" s="1"/>
  <c r="M148" i="7" s="1"/>
  <c r="M149" i="7" s="1"/>
  <c r="M150" i="7" s="1"/>
  <c r="M151" i="7" s="1"/>
  <c r="M152" i="7" s="1"/>
  <c r="M153" i="7" s="1"/>
  <c r="M154" i="7" s="1"/>
  <c r="M155" i="7" s="1"/>
  <c r="M156" i="7" s="1"/>
  <c r="M157" i="7" s="1"/>
  <c r="M158" i="7" s="1"/>
  <c r="M159" i="7" s="1"/>
  <c r="M160" i="7" s="1"/>
  <c r="M161" i="7" s="1"/>
  <c r="M162" i="7" s="1"/>
  <c r="M163" i="7" s="1"/>
  <c r="M164" i="7" s="1"/>
  <c r="M165" i="7" s="1"/>
  <c r="M166" i="7" s="1"/>
  <c r="M167" i="7" s="1"/>
  <c r="M168" i="7" s="1"/>
  <c r="M169" i="7" s="1"/>
  <c r="M170" i="7" s="1"/>
  <c r="M171" i="7" s="1"/>
  <c r="M172" i="7" s="1"/>
  <c r="M173" i="7" s="1"/>
  <c r="M174" i="7" s="1"/>
  <c r="M175" i="7" s="1"/>
  <c r="M176" i="7" s="1"/>
  <c r="M177" i="7" s="1"/>
  <c r="M178" i="7" s="1"/>
  <c r="M179" i="7" s="1"/>
  <c r="M180" i="7" s="1"/>
  <c r="M181" i="7" s="1"/>
  <c r="M182" i="7" s="1"/>
  <c r="M183" i="7" s="1"/>
  <c r="M184" i="7" s="1"/>
  <c r="M185" i="7" s="1"/>
  <c r="M186" i="7" s="1"/>
  <c r="M187" i="7" s="1"/>
  <c r="M188" i="7" s="1"/>
  <c r="M189" i="7" s="1"/>
  <c r="M190" i="7" s="1"/>
  <c r="M191" i="7" s="1"/>
  <c r="M192" i="7" s="1"/>
  <c r="M193" i="7" s="1"/>
  <c r="M194" i="7" s="1"/>
  <c r="M195" i="7" s="1"/>
  <c r="M196" i="7" s="1"/>
  <c r="M197" i="7" s="1"/>
  <c r="M198" i="7" s="1"/>
  <c r="M199" i="7" s="1"/>
  <c r="M200" i="7" s="1"/>
  <c r="M201" i="7" s="1"/>
  <c r="M202" i="7" s="1"/>
  <c r="M203" i="7" s="1"/>
  <c r="M204" i="7" s="1"/>
  <c r="M205" i="7" s="1"/>
  <c r="M206" i="7" s="1"/>
  <c r="M207" i="7" s="1"/>
  <c r="M208" i="7" s="1"/>
  <c r="M209" i="7" s="1"/>
  <c r="M210" i="7" s="1"/>
  <c r="M211" i="7" s="1"/>
  <c r="M212" i="7" s="1"/>
  <c r="M213" i="7" s="1"/>
  <c r="M214" i="7" s="1"/>
  <c r="M215" i="7" s="1"/>
  <c r="M216" i="7" s="1"/>
  <c r="M217" i="7" s="1"/>
  <c r="M218" i="7" s="1"/>
  <c r="M219" i="7" s="1"/>
  <c r="M220" i="7" s="1"/>
  <c r="M221" i="7" s="1"/>
  <c r="M222" i="7" s="1"/>
  <c r="M223" i="7" s="1"/>
  <c r="M224" i="7" s="1"/>
  <c r="M225" i="7" s="1"/>
  <c r="M226" i="7" s="1"/>
  <c r="M227" i="7" s="1"/>
  <c r="M228" i="7" s="1"/>
  <c r="M229" i="7" s="1"/>
  <c r="M230" i="7" s="1"/>
  <c r="M231" i="7" s="1"/>
  <c r="M232" i="7" s="1"/>
  <c r="M233" i="7" s="1"/>
  <c r="M234" i="7" s="1"/>
  <c r="M235" i="7" s="1"/>
  <c r="M236" i="7" s="1"/>
  <c r="M237" i="7" s="1"/>
  <c r="M238" i="7" s="1"/>
  <c r="M239" i="7" s="1"/>
  <c r="M240" i="7" s="1"/>
  <c r="M241" i="7" s="1"/>
  <c r="M242" i="7" s="1"/>
  <c r="M243" i="7" s="1"/>
  <c r="M244" i="7" s="1"/>
  <c r="M245" i="7" s="1"/>
  <c r="M246" i="7" s="1"/>
  <c r="M247" i="7" s="1"/>
  <c r="M248" i="7" s="1"/>
  <c r="M249" i="7" s="1"/>
  <c r="M250" i="7" s="1"/>
  <c r="M252" i="7" s="1"/>
  <c r="M253" i="7" l="1"/>
  <c r="M254" i="7" l="1"/>
  <c r="M255" i="7" l="1"/>
  <c r="M256" i="7" l="1"/>
  <c r="M257" i="7" l="1"/>
  <c r="M258" i="7" l="1"/>
  <c r="M259" i="7" l="1"/>
  <c r="M260" i="7" l="1"/>
  <c r="M261" i="7" l="1"/>
  <c r="M262" i="7" l="1"/>
  <c r="M263" i="7" l="1"/>
  <c r="M264" i="7" l="1"/>
  <c r="M265" i="7" l="1"/>
  <c r="M266" i="7" l="1"/>
  <c r="M267" i="7" l="1"/>
  <c r="N267" i="6" l="1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D12" i="6"/>
  <c r="D11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L17" i="6"/>
  <c r="K17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J17" i="6"/>
  <c r="I17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F17" i="6"/>
  <c r="H17" i="6" s="1"/>
  <c r="G17" i="6"/>
  <c r="J365" i="4" l="1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I9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D180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C21" i="6"/>
  <c r="C19" i="6"/>
  <c r="C1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0" i="6"/>
  <c r="C12" i="6"/>
  <c r="I14" i="4"/>
  <c r="H15" i="4"/>
  <c r="I300" i="4"/>
  <c r="C11" i="6"/>
  <c r="I365" i="4" l="1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3" i="4"/>
  <c r="I12" i="4"/>
  <c r="I11" i="4"/>
  <c r="I10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4" i="4"/>
  <c r="H13" i="4"/>
  <c r="H12" i="4"/>
  <c r="H11" i="4"/>
  <c r="H10" i="4"/>
  <c r="H9" i="4"/>
  <c r="E699" i="1"/>
  <c r="E674" i="1"/>
  <c r="E630" i="1"/>
  <c r="E619" i="1"/>
  <c r="E6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<sst xmlns="http://schemas.openxmlformats.org/spreadsheetml/2006/main" count="936" uniqueCount="371">
  <si>
    <t># bonds</t>
  </si>
  <si>
    <t>Negative #bonds means you are short</t>
  </si>
  <si>
    <t xml:space="preserve">Notes: </t>
  </si>
  <si>
    <t>zero</t>
  </si>
  <si>
    <t># contracts</t>
  </si>
  <si>
    <t>option</t>
  </si>
  <si>
    <t>long put</t>
  </si>
  <si>
    <t>underlying</t>
  </si>
  <si>
    <t>SREN</t>
  </si>
  <si>
    <t>K</t>
  </si>
  <si>
    <t>T (in years)</t>
  </si>
  <si>
    <t>Beta</t>
  </si>
  <si>
    <t>date</t>
  </si>
  <si>
    <t>risk free rate</t>
  </si>
  <si>
    <t>σ (annual)</t>
  </si>
  <si>
    <t>1y</t>
  </si>
  <si>
    <t>2y</t>
  </si>
  <si>
    <t>3y</t>
  </si>
  <si>
    <t>4y</t>
  </si>
  <si>
    <t>5y</t>
  </si>
  <si>
    <t>NESN</t>
  </si>
  <si>
    <t>NSEN</t>
  </si>
  <si>
    <t>short call</t>
  </si>
  <si>
    <t>SMI</t>
  </si>
  <si>
    <t>maturity in years</t>
  </si>
  <si>
    <t>annual coupon</t>
  </si>
  <si>
    <t>VCV</t>
  </si>
  <si>
    <t xml:space="preserve">NESTLE </t>
  </si>
  <si>
    <t>SWISS RE</t>
  </si>
  <si>
    <t xml:space="preserve"> CHF/USD </t>
  </si>
  <si>
    <t>R_SREN</t>
  </si>
  <si>
    <t>R_CHF/USD</t>
  </si>
  <si>
    <t>R_SMI</t>
  </si>
  <si>
    <t>R_NSEN</t>
  </si>
  <si>
    <t>x</t>
  </si>
  <si>
    <t>P_SMI</t>
  </si>
  <si>
    <t>P_SREN</t>
  </si>
  <si>
    <t>d1_SREN</t>
  </si>
  <si>
    <t>d2_SREN</t>
  </si>
  <si>
    <t>N(d1)_SREN</t>
  </si>
  <si>
    <t>N(d2)_SREN</t>
  </si>
  <si>
    <t>π</t>
  </si>
  <si>
    <t>R_π</t>
  </si>
  <si>
    <t>P_NESN</t>
  </si>
  <si>
    <t>d1_NESN</t>
  </si>
  <si>
    <t>d2_NESN</t>
  </si>
  <si>
    <t>N(d1)_NESN</t>
  </si>
  <si>
    <t>N(d2)_NESN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</si>
  <si>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</si>
  <si>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</si>
  <si>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</si>
  <si>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</si>
  <si>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</si>
  <si>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</si>
  <si>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</si>
  <si>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</si>
  <si>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</si>
  <si>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</si>
  <si>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</si>
  <si>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</si>
  <si>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</si>
  <si>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</si>
  <si>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</si>
  <si>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</si>
  <si>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</si>
  <si>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</si>
  <si>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</si>
  <si>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</si>
  <si>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</si>
  <si>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</si>
  <si>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</si>
  <si>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</si>
  <si>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</si>
  <si>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</si>
  <si>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</si>
  <si>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</si>
  <si>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</si>
  <si>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</si>
  <si>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</si>
  <si>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</si>
  <si>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</si>
  <si>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</si>
  <si>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</si>
  <si>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</si>
  <si>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</si>
  <si>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</si>
  <si>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</si>
  <si>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</si>
  <si>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</si>
  <si>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</si>
  <si>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</si>
  <si>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</si>
  <si>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</si>
  <si>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</si>
  <si>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</si>
  <si>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</si>
  <si>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</si>
  <si>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</si>
  <si>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</si>
  <si>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</si>
  <si>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</si>
  <si>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</si>
  <si>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</si>
  <si>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</si>
  <si>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</si>
  <si>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</si>
  <si>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</si>
  <si>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</si>
  <si>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</si>
  <si>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</si>
  <si>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</si>
  <si>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</si>
  <si>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</si>
  <si>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</si>
  <si>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</si>
  <si>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</si>
  <si>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</si>
  <si>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</si>
  <si>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</si>
  <si>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</si>
  <si>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</si>
  <si>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</si>
  <si>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</si>
  <si>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</si>
  <si>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</si>
  <si>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</si>
  <si>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</si>
  <si>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</si>
  <si>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</si>
  <si>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</si>
  <si>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</si>
  <si>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</si>
  <si>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</si>
  <si>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</si>
  <si>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</si>
  <si>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</si>
  <si>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</si>
  <si>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</si>
  <si>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</si>
  <si>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</si>
  <si>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</si>
  <si>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</si>
  <si>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</si>
  <si>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</si>
  <si>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</si>
  <si>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</si>
  <si>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</si>
  <si>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</si>
  <si>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</si>
  <si>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</si>
  <si>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</si>
  <si>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</si>
  <si>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</si>
  <si>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</si>
  <si>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</si>
  <si>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</si>
  <si>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</si>
  <si>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</si>
  <si>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</si>
  <si>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</si>
  <si>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</si>
  <si>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</si>
  <si>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</si>
  <si>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</si>
  <si>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</si>
  <si>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</si>
  <si>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</si>
  <si>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</si>
  <si>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</si>
  <si>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</si>
  <si>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</si>
  <si>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</si>
  <si>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</si>
  <si>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</si>
  <si>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</si>
  <si>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</si>
  <si>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</si>
  <si>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</si>
  <si>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</si>
  <si>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</si>
  <si>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</si>
  <si>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</si>
  <si>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</si>
  <si>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</si>
  <si>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</si>
  <si>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</si>
  <si>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</si>
  <si>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</si>
  <si>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</si>
  <si>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</si>
  <si>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</si>
  <si>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</si>
  <si>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</si>
  <si>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</si>
  <si>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</si>
  <si>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</si>
  <si>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</si>
  <si>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</si>
  <si>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</si>
  <si>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</si>
  <si>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</si>
  <si>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</si>
  <si>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</si>
  <si>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</si>
  <si>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</si>
  <si>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</si>
  <si>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</si>
  <si>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</si>
  <si>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</si>
  <si>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</si>
  <si>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</si>
  <si>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</si>
  <si>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</si>
  <si>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</si>
  <si>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</si>
  <si>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</si>
  <si>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</si>
  <si>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</si>
  <si>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</si>
  <si>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</si>
  <si>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</si>
  <si>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</si>
  <si>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</si>
  <si>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</si>
  <si>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</si>
  <si>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</si>
  <si>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</si>
  <si>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</si>
  <si>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</si>
  <si>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</si>
  <si>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</si>
  <si>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</si>
  <si>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</si>
  <si>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</si>
  <si>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</si>
  <si>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</si>
  <si>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</si>
  <si>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</si>
  <si>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</si>
  <si>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</si>
  <si>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</si>
  <si>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</si>
  <si>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</si>
  <si>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</si>
  <si>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</si>
  <si>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</si>
  <si>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</si>
  <si>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</si>
  <si>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</si>
  <si>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</si>
  <si>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</si>
  <si>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</si>
  <si>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</si>
  <si>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</si>
  <si>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</si>
  <si>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</si>
  <si>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</si>
  <si>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</si>
  <si>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</si>
  <si>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</si>
  <si>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</si>
  <si>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</si>
  <si>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</si>
  <si>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</si>
  <si>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</si>
  <si>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</si>
  <si>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</si>
  <si>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</si>
  <si>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</si>
  <si>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</si>
  <si>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</si>
  <si>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</si>
  <si>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</si>
  <si>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</si>
  <si>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</si>
  <si>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</si>
  <si>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</si>
  <si>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</si>
  <si>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</si>
  <si>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</si>
  <si>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</si>
  <si>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</si>
  <si>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</si>
  <si>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</si>
  <si>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</si>
  <si>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</si>
  <si>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</si>
  <si>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</si>
  <si>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</si>
  <si>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</si>
  <si>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</si>
  <si>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</si>
  <si>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</si>
  <si>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</si>
  <si>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</si>
  <si>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</si>
  <si>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</si>
  <si>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</si>
  <si>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Call_SREN</t>
  </si>
  <si>
    <t>Put_NESN</t>
  </si>
  <si>
    <t>VALUE_NESN</t>
  </si>
  <si>
    <t>VALUE_SREN</t>
  </si>
  <si>
    <t>Weight_SREN</t>
  </si>
  <si>
    <t>Weight_NESN</t>
  </si>
  <si>
    <t>σ</t>
  </si>
  <si>
    <t>VaR(99%,1)</t>
  </si>
  <si>
    <t>ES(99%,1)</t>
  </si>
  <si>
    <t>β_π</t>
  </si>
  <si>
    <t>σ_Market</t>
  </si>
  <si>
    <t xml:space="preserve">1st percentile Return : </t>
  </si>
  <si>
    <t>VaR(99%,1) :</t>
  </si>
  <si>
    <t>Mean Below VaR :</t>
  </si>
  <si>
    <t>ES(99%,1) :</t>
  </si>
  <si>
    <t xml:space="preserve">1st percentile Return </t>
  </si>
  <si>
    <t xml:space="preserve">The portfolio includes a long position in 7,000 NESN puts </t>
  </si>
  <si>
    <t>and a short position in 2,000 SREN calls, each referencing 1,000 shares.</t>
  </si>
  <si>
    <t>VaR(99%): CHF 14,536,382.70</t>
  </si>
  <si>
    <t xml:space="preserve"> ES(99%): CHF 17,813,658.16 </t>
  </si>
  <si>
    <t xml:space="preserve">This approach captures linear risk through deltas and provides </t>
  </si>
  <si>
    <t>a fast approximation of market risk</t>
  </si>
  <si>
    <t>bonds</t>
  </si>
  <si>
    <t xml:space="preserve">bond </t>
  </si>
  <si>
    <t>price</t>
  </si>
  <si>
    <t>value</t>
  </si>
  <si>
    <t>YIELDS</t>
  </si>
  <si>
    <t>VARIATIONS</t>
  </si>
  <si>
    <t>FIXED INCOME PORTFOLIO</t>
  </si>
  <si>
    <t>T</t>
  </si>
  <si>
    <t>yT</t>
  </si>
  <si>
    <t>MD</t>
  </si>
  <si>
    <t>V</t>
  </si>
  <si>
    <t>Pos A</t>
  </si>
  <si>
    <t>Pos B</t>
  </si>
  <si>
    <t>Pos C</t>
  </si>
  <si>
    <t>πZCB</t>
  </si>
  <si>
    <t>DF</t>
  </si>
  <si>
    <t>A</t>
  </si>
  <si>
    <t>B</t>
  </si>
  <si>
    <t>C</t>
  </si>
  <si>
    <t>Vector V</t>
  </si>
  <si>
    <t>R_Changes</t>
  </si>
  <si>
    <t xml:space="preserve">π : </t>
  </si>
  <si>
    <t>Price</t>
  </si>
  <si>
    <t xml:space="preserve">π </t>
  </si>
  <si>
    <t>π return</t>
  </si>
  <si>
    <t>Years maturity</t>
  </si>
  <si>
    <t>TOTAL FUND RISK</t>
  </si>
  <si>
    <t>π_Options</t>
  </si>
  <si>
    <t>π_FI (USD)</t>
  </si>
  <si>
    <t>π (Mixed)</t>
  </si>
  <si>
    <t>R_π (Mixed)</t>
  </si>
  <si>
    <t>CHF/USD</t>
  </si>
  <si>
    <t>π_FI</t>
  </si>
  <si>
    <t>R_π (CHF)</t>
  </si>
  <si>
    <t xml:space="preserve">while ES(99%,1) shows that if losses exceed VaR, they average CHF 23–25 million. </t>
  </si>
  <si>
    <t xml:space="preserve">This reflects a left-skewed distribution with considerable tail risk, </t>
  </si>
  <si>
    <t>which should be closely monitored under stressed conditions</t>
  </si>
  <si>
    <t xml:space="preserve">The VaR(99%,1) estimates a potential one-day loss of CHF 15–17 million with 99% confidence, </t>
  </si>
  <si>
    <t xml:space="preserve">with the expected shortfall ranging from $2.61M to $5.45M, depending on the risk assessment method. </t>
  </si>
  <si>
    <t xml:space="preserve">The historical simulation approach reveals slightly higher tail risk than the variance-covariance method, suggesting sensitivity to nonlinearities in yield changes. </t>
  </si>
  <si>
    <t xml:space="preserve">The portfolio remains exposed mainly at the 5-year maturity due to concentration, indicating moderate risk under normal conditions, </t>
  </si>
  <si>
    <t>but significant potential losses under stress scenarios.</t>
  </si>
  <si>
    <t xml:space="preserve">The fixed-income portfolio, primarily composed of USD-denominated government bonds, shows a 1-day VaR(99%) between $2.27M and $2.42M, </t>
  </si>
  <si>
    <t>OPTION PORTFOLIO</t>
  </si>
  <si>
    <t>Total VaR (CHF)</t>
  </si>
  <si>
    <t xml:space="preserve">Derived the 1-day risk measures: </t>
  </si>
  <si>
    <t>Insights</t>
  </si>
  <si>
    <t>Objective</t>
  </si>
  <si>
    <t>Historical Simulation captured tail-risk more effectively than the Delta-Normal framework
Fixed income risk remained sensitive to yield curve movements
Portfolio aggregation reduced overall risk exposure due to diversification effects</t>
  </si>
  <si>
    <t>Key Insights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</si>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</sst>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* #,##0.00\ &quot;€&quot;_-;\-* #,##0.00\ &quot;€&quot;_-;_-* &quot;-&quot;??\ &quot;€&quot;_-;_-@_-"/>
    <numFmt numFmtId="164" formatCode="_ * #,##0.00_ ;_ * \-#,##0.00_ ;_ * &quot;-&quot;??_ ;_ @_ "/>
    <numFmt numFmtId="165" formatCode="_ [$€-2]\ * #,##0_ ;_ [$€-2]\ * \-#,##0_ ;_ [$€-2]\ * &quot;-&quot;??_ ;_ @_ "/>
    <numFmt numFmtId="167" formatCode="#,##0.00\ [$CHF]"/>
    <numFmt numFmtId="168" formatCode="#,##0\ [$CHF];\-#,##0\ [$CHF]"/>
    <numFmt numFmtId="169" formatCode="0.000%"/>
    <numFmt numFmtId="170" formatCode="0.0000000"/>
    <numFmt numFmtId="171" formatCode="0.0000%"/>
    <numFmt numFmtId="172" formatCode="0.000000000"/>
    <numFmt numFmtId="173" formatCode="#,##0.000000"/>
    <numFmt numFmtId="174" formatCode="0.000"/>
    <numFmt numFmtId="175" formatCode="[$$-409]#,##0.00"/>
    <numFmt numFmtId="176" formatCode="[$$-409]#,##0"/>
    <numFmt numFmtId="177" formatCode="0.00000000"/>
    <numFmt numFmtId="178" formatCode="0.000000"/>
    <numFmt numFmtId="179" formatCode="0.0000"/>
    <numFmt numFmtId="180" formatCode="_ &quot;CHF&quot;\ * #,##0.00_ ;_ &quot;CHF&quot;\ * \-#,##0.00_ ;_ &quot;CHF&quot;\ * &quot;-&quot;??_ ;_ @_ "/>
    <numFmt numFmtId="181" formatCode="#,##0.00\ [$CHF];\-#,##0.00\ [$CHF]"/>
    <numFmt numFmtId="182" formatCode="_-* #,##0\ [$CHF-100C]_-;\-* #,##0\ [$CHF-100C]_-;_-* &quot;-&quot;??\ [$CHF-100C]_-;_-@_-"/>
    <numFmt numFmtId="184" formatCode="[$-809]dd\ mmmm\ 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 body"/>
    </font>
    <font>
      <b/>
      <i/>
      <sz val="12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0F0F0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3" fontId="2" fillId="0" borderId="0" xfId="1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1" xfId="0" applyBorder="1"/>
    <xf numFmtId="14" fontId="0" fillId="0" borderId="0" xfId="0" applyNumberFormat="1"/>
    <xf numFmtId="167" fontId="0" fillId="0" borderId="0" xfId="0" applyNumberFormat="1"/>
    <xf numFmtId="0" fontId="3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169" fontId="0" fillId="0" borderId="0" xfId="0" applyNumberFormat="1"/>
    <xf numFmtId="0" fontId="5" fillId="0" borderId="0" xfId="0" applyFont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4" xfId="0" applyFill="1" applyBorder="1"/>
    <xf numFmtId="0" fontId="0" fillId="7" borderId="9" xfId="0" applyFill="1" applyBorder="1"/>
    <xf numFmtId="0" fontId="0" fillId="7" borderId="5" xfId="0" applyFill="1" applyBorder="1"/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0" fontId="0" fillId="0" borderId="0" xfId="2" applyNumberFormat="1" applyFont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5" xfId="0" applyNumberFormat="1" applyBorder="1"/>
    <xf numFmtId="14" fontId="0" fillId="0" borderId="16" xfId="0" applyNumberFormat="1" applyBorder="1"/>
    <xf numFmtId="14" fontId="0" fillId="0" borderId="8" xfId="0" applyNumberFormat="1" applyBorder="1"/>
    <xf numFmtId="0" fontId="4" fillId="0" borderId="2" xfId="0" applyFont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10" xfId="0" applyBorder="1"/>
    <xf numFmtId="0" fontId="5" fillId="4" borderId="15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9" fontId="0" fillId="0" borderId="0" xfId="2" applyNumberFormat="1" applyFont="1"/>
    <xf numFmtId="171" fontId="0" fillId="0" borderId="0" xfId="2" applyNumberFormat="1" applyFont="1"/>
    <xf numFmtId="170" fontId="0" fillId="0" borderId="15" xfId="0" applyNumberFormat="1" applyBorder="1"/>
    <xf numFmtId="170" fontId="0" fillId="0" borderId="2" xfId="0" applyNumberFormat="1" applyBorder="1"/>
    <xf numFmtId="172" fontId="0" fillId="0" borderId="4" xfId="0" applyNumberFormat="1" applyBorder="1"/>
    <xf numFmtId="0" fontId="4" fillId="10" borderId="2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7" xfId="0" applyBorder="1"/>
    <xf numFmtId="167" fontId="0" fillId="0" borderId="10" xfId="0" applyNumberFormat="1" applyBorder="1"/>
    <xf numFmtId="167" fontId="0" fillId="0" borderId="7" xfId="0" applyNumberFormat="1" applyBorder="1"/>
    <xf numFmtId="167" fontId="0" fillId="0" borderId="11" xfId="0" applyNumberFormat="1" applyBorder="1"/>
    <xf numFmtId="167" fontId="0" fillId="0" borderId="12" xfId="0" applyNumberFormat="1" applyBorder="1"/>
    <xf numFmtId="167" fontId="0" fillId="0" borderId="13" xfId="0" applyNumberFormat="1" applyBorder="1"/>
    <xf numFmtId="167" fontId="0" fillId="0" borderId="14" xfId="0" applyNumberFormat="1" applyBorder="1"/>
    <xf numFmtId="0" fontId="0" fillId="7" borderId="10" xfId="0" applyFill="1" applyBorder="1"/>
    <xf numFmtId="0" fontId="5" fillId="13" borderId="5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7" fontId="0" fillId="0" borderId="2" xfId="0" applyNumberFormat="1" applyBorder="1"/>
    <xf numFmtId="10" fontId="0" fillId="0" borderId="5" xfId="2" applyNumberFormat="1" applyFont="1" applyBorder="1"/>
    <xf numFmtId="0" fontId="4" fillId="8" borderId="4" xfId="0" applyFont="1" applyFill="1" applyBorder="1"/>
    <xf numFmtId="0" fontId="4" fillId="8" borderId="5" xfId="0" applyFont="1" applyFill="1" applyBorder="1"/>
    <xf numFmtId="0" fontId="4" fillId="8" borderId="2" xfId="0" applyFont="1" applyFill="1" applyBorder="1"/>
    <xf numFmtId="10" fontId="0" fillId="0" borderId="2" xfId="2" applyNumberFormat="1" applyFont="1" applyBorder="1"/>
    <xf numFmtId="175" fontId="9" fillId="14" borderId="21" xfId="0" applyNumberFormat="1" applyFont="1" applyFill="1" applyBorder="1" applyAlignment="1">
      <alignment horizontal="center"/>
    </xf>
    <xf numFmtId="176" fontId="0" fillId="0" borderId="22" xfId="0" applyNumberFormat="1" applyBorder="1"/>
    <xf numFmtId="175" fontId="4" fillId="9" borderId="19" xfId="0" applyNumberFormat="1" applyFont="1" applyFill="1" applyBorder="1" applyAlignment="1">
      <alignment horizontal="center"/>
    </xf>
    <xf numFmtId="176" fontId="0" fillId="0" borderId="23" xfId="0" applyNumberFormat="1" applyBorder="1"/>
    <xf numFmtId="175" fontId="4" fillId="9" borderId="24" xfId="0" applyNumberFormat="1" applyFont="1" applyFill="1" applyBorder="1" applyAlignment="1">
      <alignment horizontal="center"/>
    </xf>
    <xf numFmtId="176" fontId="0" fillId="0" borderId="25" xfId="0" applyNumberFormat="1" applyBorder="1"/>
    <xf numFmtId="0" fontId="5" fillId="13" borderId="4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70" fontId="0" fillId="0" borderId="4" xfId="0" applyNumberFormat="1" applyBorder="1"/>
    <xf numFmtId="174" fontId="0" fillId="0" borderId="4" xfId="0" applyNumberFormat="1" applyBorder="1"/>
    <xf numFmtId="178" fontId="0" fillId="0" borderId="5" xfId="0" applyNumberFormat="1" applyBorder="1"/>
    <xf numFmtId="176" fontId="0" fillId="0" borderId="3" xfId="0" applyNumberFormat="1" applyBorder="1"/>
    <xf numFmtId="176" fontId="0" fillId="0" borderId="14" xfId="0" applyNumberFormat="1" applyBorder="1"/>
    <xf numFmtId="0" fontId="8" fillId="8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175" fontId="9" fillId="14" borderId="4" xfId="0" applyNumberFormat="1" applyFont="1" applyFill="1" applyBorder="1" applyAlignment="1">
      <alignment horizontal="center"/>
    </xf>
    <xf numFmtId="176" fontId="0" fillId="0" borderId="2" xfId="0" applyNumberFormat="1" applyBorder="1"/>
    <xf numFmtId="175" fontId="4" fillId="8" borderId="2" xfId="0" applyNumberFormat="1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175" fontId="9" fillId="14" borderId="2" xfId="0" applyNumberFormat="1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4" fillId="14" borderId="19" xfId="0" applyFont="1" applyFill="1" applyBorder="1"/>
    <xf numFmtId="10" fontId="0" fillId="0" borderId="23" xfId="2" applyNumberFormat="1" applyFont="1" applyBorder="1"/>
    <xf numFmtId="0" fontId="4" fillId="9" borderId="21" xfId="0" applyFont="1" applyFill="1" applyBorder="1" applyAlignment="1">
      <alignment horizontal="left"/>
    </xf>
    <xf numFmtId="0" fontId="4" fillId="14" borderId="19" xfId="0" applyFont="1" applyFill="1" applyBorder="1" applyAlignment="1">
      <alignment horizontal="left"/>
    </xf>
    <xf numFmtId="0" fontId="4" fillId="9" borderId="24" xfId="0" applyFont="1" applyFill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8" xfId="0" applyBorder="1"/>
    <xf numFmtId="169" fontId="0" fillId="0" borderId="2" xfId="2" applyNumberFormat="1" applyFont="1" applyBorder="1"/>
    <xf numFmtId="0" fontId="0" fillId="8" borderId="5" xfId="0" applyFill="1" applyBorder="1"/>
    <xf numFmtId="0" fontId="0" fillId="14" borderId="15" xfId="0" applyFill="1" applyBorder="1"/>
    <xf numFmtId="0" fontId="0" fillId="14" borderId="2" xfId="0" applyFill="1" applyBorder="1"/>
    <xf numFmtId="0" fontId="10" fillId="8" borderId="4" xfId="0" applyFont="1" applyFill="1" applyBorder="1" applyAlignment="1">
      <alignment horizontal="center"/>
    </xf>
    <xf numFmtId="0" fontId="0" fillId="0" borderId="9" xfId="0" applyBorder="1"/>
    <xf numFmtId="167" fontId="0" fillId="0" borderId="6" xfId="0" applyNumberFormat="1" applyBorder="1"/>
    <xf numFmtId="167" fontId="0" fillId="0" borderId="1" xfId="0" applyNumberFormat="1" applyBorder="1"/>
    <xf numFmtId="174" fontId="0" fillId="0" borderId="10" xfId="0" applyNumberFormat="1" applyBorder="1"/>
    <xf numFmtId="174" fontId="0" fillId="0" borderId="7" xfId="0" applyNumberFormat="1" applyBorder="1"/>
    <xf numFmtId="174" fontId="0" fillId="0" borderId="11" xfId="0" applyNumberFormat="1" applyBorder="1"/>
    <xf numFmtId="174" fontId="0" fillId="0" borderId="12" xfId="0" applyNumberFormat="1" applyBorder="1"/>
    <xf numFmtId="174" fontId="0" fillId="0" borderId="13" xfId="0" applyNumberFormat="1" applyBorder="1"/>
    <xf numFmtId="174" fontId="0" fillId="0" borderId="14" xfId="0" applyNumberFormat="1" applyBorder="1"/>
    <xf numFmtId="167" fontId="0" fillId="0" borderId="15" xfId="0" applyNumberFormat="1" applyBorder="1"/>
    <xf numFmtId="167" fontId="0" fillId="0" borderId="16" xfId="0" applyNumberFormat="1" applyBorder="1"/>
    <xf numFmtId="167" fontId="0" fillId="0" borderId="8" xfId="0" applyNumberFormat="1" applyBorder="1"/>
    <xf numFmtId="10" fontId="0" fillId="0" borderId="15" xfId="2" applyNumberFormat="1" applyFont="1" applyBorder="1"/>
    <xf numFmtId="10" fontId="0" fillId="0" borderId="16" xfId="2" applyNumberFormat="1" applyFont="1" applyBorder="1"/>
    <xf numFmtId="10" fontId="0" fillId="0" borderId="8" xfId="2" applyNumberFormat="1" applyFont="1" applyBorder="1"/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5" xfId="0" applyFont="1" applyBorder="1"/>
    <xf numFmtId="3" fontId="2" fillId="0" borderId="10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2" fillId="0" borderId="7" xfId="0" applyFont="1" applyBorder="1"/>
    <xf numFmtId="3" fontId="2" fillId="0" borderId="11" xfId="1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0" fontId="2" fillId="0" borderId="12" xfId="0" applyFont="1" applyBorder="1"/>
    <xf numFmtId="3" fontId="2" fillId="0" borderId="13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2" fillId="0" borderId="14" xfId="0" applyFont="1" applyBorder="1"/>
    <xf numFmtId="0" fontId="3" fillId="8" borderId="4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2" fillId="8" borderId="5" xfId="0" applyFont="1" applyFill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168" fontId="2" fillId="0" borderId="16" xfId="0" applyNumberFormat="1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0" xfId="3" applyNumberFormat="1" applyFont="1" applyFill="1" applyBorder="1"/>
    <xf numFmtId="2" fontId="0" fillId="0" borderId="6" xfId="3" applyNumberFormat="1" applyFont="1" applyFill="1" applyBorder="1"/>
    <xf numFmtId="2" fontId="0" fillId="0" borderId="7" xfId="3" applyNumberFormat="1" applyFont="1" applyFill="1" applyBorder="1"/>
    <xf numFmtId="10" fontId="11" fillId="0" borderId="10" xfId="2" applyNumberFormat="1" applyFont="1" applyBorder="1"/>
    <xf numFmtId="10" fontId="11" fillId="0" borderId="6" xfId="2" applyNumberFormat="1" applyFont="1" applyBorder="1"/>
    <xf numFmtId="10" fontId="11" fillId="0" borderId="7" xfId="2" applyNumberFormat="1" applyFont="1" applyBorder="1"/>
    <xf numFmtId="179" fontId="0" fillId="0" borderId="0" xfId="3" applyNumberFormat="1" applyFont="1" applyFill="1" applyBorder="1"/>
    <xf numFmtId="10" fontId="11" fillId="0" borderId="0" xfId="2" applyNumberFormat="1" applyFont="1" applyBorder="1"/>
    <xf numFmtId="0" fontId="3" fillId="17" borderId="2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179" fontId="0" fillId="0" borderId="11" xfId="3" applyNumberFormat="1" applyFont="1" applyFill="1" applyBorder="1"/>
    <xf numFmtId="179" fontId="0" fillId="0" borderId="12" xfId="3" applyNumberFormat="1" applyFont="1" applyFill="1" applyBorder="1"/>
    <xf numFmtId="10" fontId="11" fillId="0" borderId="11" xfId="2" applyNumberFormat="1" applyFont="1" applyBorder="1"/>
    <xf numFmtId="10" fontId="11" fillId="0" borderId="12" xfId="2" applyNumberFormat="1" applyFont="1" applyBorder="1"/>
    <xf numFmtId="10" fontId="11" fillId="0" borderId="13" xfId="2" applyNumberFormat="1" applyFont="1" applyBorder="1"/>
    <xf numFmtId="10" fontId="11" fillId="0" borderId="1" xfId="2" applyNumberFormat="1" applyFont="1" applyBorder="1"/>
    <xf numFmtId="10" fontId="11" fillId="0" borderId="14" xfId="2" applyNumberFormat="1" applyFont="1" applyBorder="1"/>
    <xf numFmtId="0" fontId="12" fillId="2" borderId="4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2" fontId="12" fillId="2" borderId="9" xfId="0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6" xfId="0" applyFont="1" applyFill="1" applyBorder="1" applyAlignment="1">
      <alignment horizontal="center"/>
    </xf>
    <xf numFmtId="2" fontId="12" fillId="18" borderId="6" xfId="0" applyNumberFormat="1" applyFont="1" applyFill="1" applyBorder="1" applyAlignment="1">
      <alignment horizontal="center"/>
    </xf>
    <xf numFmtId="0" fontId="12" fillId="18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2" fontId="12" fillId="16" borderId="6" xfId="0" applyNumberFormat="1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2" fontId="0" fillId="0" borderId="4" xfId="0" applyNumberFormat="1" applyBorder="1"/>
    <xf numFmtId="2" fontId="0" fillId="0" borderId="2" xfId="0" applyNumberFormat="1" applyBorder="1"/>
    <xf numFmtId="177" fontId="0" fillId="0" borderId="11" xfId="0" applyNumberFormat="1" applyBorder="1"/>
    <xf numFmtId="174" fontId="0" fillId="0" borderId="2" xfId="0" applyNumberFormat="1" applyBorder="1"/>
    <xf numFmtId="0" fontId="4" fillId="0" borderId="15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0" fillId="8" borderId="4" xfId="0" applyFill="1" applyBorder="1"/>
    <xf numFmtId="0" fontId="0" fillId="8" borderId="9" xfId="0" applyFill="1" applyBorder="1"/>
    <xf numFmtId="177" fontId="0" fillId="0" borderId="26" xfId="0" applyNumberFormat="1" applyBorder="1"/>
    <xf numFmtId="177" fontId="0" fillId="0" borderId="0" xfId="0" applyNumberFormat="1"/>
    <xf numFmtId="0" fontId="4" fillId="8" borderId="9" xfId="0" applyFont="1" applyFill="1" applyBorder="1"/>
    <xf numFmtId="177" fontId="0" fillId="0" borderId="10" xfId="0" applyNumberFormat="1" applyBorder="1"/>
    <xf numFmtId="177" fontId="0" fillId="0" borderId="6" xfId="0" applyNumberFormat="1" applyBorder="1"/>
    <xf numFmtId="177" fontId="0" fillId="0" borderId="7" xfId="0" applyNumberFormat="1" applyBorder="1"/>
    <xf numFmtId="177" fontId="0" fillId="0" borderId="12" xfId="0" applyNumberFormat="1" applyBorder="1"/>
    <xf numFmtId="177" fontId="0" fillId="0" borderId="13" xfId="0" applyNumberFormat="1" applyBorder="1"/>
    <xf numFmtId="177" fontId="0" fillId="0" borderId="1" xfId="0" applyNumberFormat="1" applyBorder="1"/>
    <xf numFmtId="177" fontId="0" fillId="0" borderId="14" xfId="0" applyNumberFormat="1" applyBorder="1"/>
    <xf numFmtId="175" fontId="14" fillId="0" borderId="9" xfId="0" applyNumberFormat="1" applyFont="1" applyBorder="1"/>
    <xf numFmtId="10" fontId="14" fillId="0" borderId="5" xfId="0" applyNumberFormat="1" applyFont="1" applyBorder="1"/>
    <xf numFmtId="174" fontId="14" fillId="0" borderId="4" xfId="0" applyNumberFormat="1" applyFont="1" applyBorder="1"/>
    <xf numFmtId="176" fontId="14" fillId="0" borderId="4" xfId="0" applyNumberFormat="1" applyFont="1" applyBorder="1"/>
    <xf numFmtId="175" fontId="14" fillId="0" borderId="4" xfId="0" applyNumberFormat="1" applyFont="1" applyBorder="1"/>
    <xf numFmtId="175" fontId="14" fillId="0" borderId="5" xfId="0" applyNumberFormat="1" applyFont="1" applyBorder="1"/>
    <xf numFmtId="174" fontId="0" fillId="0" borderId="9" xfId="0" applyNumberFormat="1" applyBorder="1"/>
    <xf numFmtId="175" fontId="0" fillId="0" borderId="9" xfId="0" applyNumberFormat="1" applyBorder="1"/>
    <xf numFmtId="175" fontId="4" fillId="9" borderId="23" xfId="0" applyNumberFormat="1" applyFont="1" applyFill="1" applyBorder="1" applyAlignment="1">
      <alignment horizontal="center"/>
    </xf>
    <xf numFmtId="0" fontId="4" fillId="8" borderId="21" xfId="0" applyFont="1" applyFill="1" applyBorder="1" applyAlignment="1">
      <alignment horizontal="left"/>
    </xf>
    <xf numFmtId="0" fontId="4" fillId="8" borderId="24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8" borderId="9" xfId="0" applyFill="1" applyBorder="1" applyAlignment="1">
      <alignment horizontal="center"/>
    </xf>
    <xf numFmtId="171" fontId="0" fillId="0" borderId="23" xfId="2" applyNumberFormat="1" applyFont="1" applyBorder="1"/>
    <xf numFmtId="14" fontId="0" fillId="0" borderId="15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80" fontId="7" fillId="0" borderId="0" xfId="0" applyNumberFormat="1" applyFont="1"/>
    <xf numFmtId="44" fontId="0" fillId="0" borderId="6" xfId="0" applyNumberFormat="1" applyBorder="1"/>
    <xf numFmtId="10" fontId="0" fillId="0" borderId="7" xfId="2" applyNumberFormat="1" applyFont="1" applyBorder="1"/>
    <xf numFmtId="44" fontId="0" fillId="0" borderId="11" xfId="3" applyFont="1" applyBorder="1"/>
    <xf numFmtId="44" fontId="0" fillId="0" borderId="0" xfId="0" applyNumberFormat="1"/>
    <xf numFmtId="10" fontId="0" fillId="0" borderId="12" xfId="2" applyNumberFormat="1" applyFont="1" applyBorder="1"/>
    <xf numFmtId="44" fontId="0" fillId="0" borderId="13" xfId="3" applyFont="1" applyBorder="1"/>
    <xf numFmtId="44" fontId="0" fillId="0" borderId="1" xfId="0" applyNumberFormat="1" applyBorder="1"/>
    <xf numFmtId="10" fontId="0" fillId="0" borderId="14" xfId="2" applyNumberFormat="1" applyFont="1" applyBorder="1"/>
    <xf numFmtId="173" fontId="0" fillId="0" borderId="10" xfId="0" applyNumberFormat="1" applyBorder="1" applyAlignment="1">
      <alignment horizontal="right"/>
    </xf>
    <xf numFmtId="180" fontId="7" fillId="0" borderId="6" xfId="0" applyNumberFormat="1" applyFont="1" applyBorder="1"/>
    <xf numFmtId="173" fontId="0" fillId="12" borderId="11" xfId="0" applyNumberFormat="1" applyFill="1" applyBorder="1" applyAlignment="1">
      <alignment horizontal="right"/>
    </xf>
    <xf numFmtId="173" fontId="0" fillId="0" borderId="11" xfId="0" applyNumberFormat="1" applyBorder="1" applyAlignment="1">
      <alignment horizontal="right"/>
    </xf>
    <xf numFmtId="173" fontId="0" fillId="0" borderId="13" xfId="0" applyNumberFormat="1" applyBorder="1" applyAlignment="1">
      <alignment horizontal="right"/>
    </xf>
    <xf numFmtId="180" fontId="7" fillId="0" borderId="1" xfId="0" applyNumberFormat="1" applyFont="1" applyBorder="1"/>
    <xf numFmtId="182" fontId="0" fillId="0" borderId="22" xfId="0" applyNumberFormat="1" applyBorder="1"/>
    <xf numFmtId="0" fontId="4" fillId="7" borderId="10" xfId="0" applyFont="1" applyFill="1" applyBorder="1"/>
    <xf numFmtId="0" fontId="4" fillId="7" borderId="6" xfId="0" applyFont="1" applyFill="1" applyBorder="1"/>
    <xf numFmtId="0" fontId="4" fillId="7" borderId="7" xfId="0" applyFont="1" applyFill="1" applyBorder="1"/>
    <xf numFmtId="0" fontId="4" fillId="7" borderId="11" xfId="0" applyFont="1" applyFill="1" applyBorder="1"/>
    <xf numFmtId="0" fontId="4" fillId="7" borderId="0" xfId="0" applyFont="1" applyFill="1"/>
    <xf numFmtId="0" fontId="4" fillId="7" borderId="12" xfId="0" applyFont="1" applyFill="1" applyBorder="1"/>
    <xf numFmtId="0" fontId="4" fillId="7" borderId="13" xfId="0" applyFont="1" applyFill="1" applyBorder="1"/>
    <xf numFmtId="0" fontId="4" fillId="7" borderId="1" xfId="0" applyFont="1" applyFill="1" applyBorder="1"/>
    <xf numFmtId="0" fontId="4" fillId="7" borderId="14" xfId="0" applyFont="1" applyFill="1" applyBorder="1"/>
    <xf numFmtId="176" fontId="14" fillId="0" borderId="2" xfId="0" applyNumberFormat="1" applyFont="1" applyBorder="1"/>
    <xf numFmtId="177" fontId="0" fillId="0" borderId="15" xfId="0" applyNumberFormat="1" applyBorder="1"/>
    <xf numFmtId="177" fontId="0" fillId="0" borderId="16" xfId="0" applyNumberFormat="1" applyBorder="1"/>
    <xf numFmtId="177" fontId="0" fillId="0" borderId="8" xfId="0" applyNumberFormat="1" applyBorder="1"/>
    <xf numFmtId="175" fontId="0" fillId="0" borderId="4" xfId="0" applyNumberFormat="1" applyBorder="1"/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169" fontId="0" fillId="0" borderId="0" xfId="1" applyNumberFormat="1" applyFont="1" applyFill="1"/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169" fontId="4" fillId="10" borderId="2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 vertical="center"/>
    </xf>
    <xf numFmtId="179" fontId="0" fillId="0" borderId="13" xfId="3" applyNumberFormat="1" applyFont="1" applyFill="1" applyBorder="1"/>
    <xf numFmtId="179" fontId="0" fillId="0" borderId="1" xfId="3" applyNumberFormat="1" applyFont="1" applyFill="1" applyBorder="1"/>
    <xf numFmtId="179" fontId="0" fillId="0" borderId="14" xfId="3" applyNumberFormat="1" applyFont="1" applyFill="1" applyBorder="1"/>
    <xf numFmtId="0" fontId="0" fillId="8" borderId="15" xfId="0" applyFill="1" applyBorder="1" applyAlignment="1">
      <alignment horizontal="center"/>
    </xf>
    <xf numFmtId="176" fontId="0" fillId="0" borderId="10" xfId="0" applyNumberFormat="1" applyBorder="1"/>
    <xf numFmtId="0" fontId="4" fillId="8" borderId="19" xfId="0" applyFont="1" applyFill="1" applyBorder="1" applyAlignment="1">
      <alignment horizontal="left"/>
    </xf>
    <xf numFmtId="182" fontId="0" fillId="0" borderId="23" xfId="0" applyNumberFormat="1" applyBorder="1"/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5" fillId="13" borderId="19" xfId="0" applyFont="1" applyFill="1" applyBorder="1" applyAlignment="1">
      <alignment horizontal="center"/>
    </xf>
    <xf numFmtId="0" fontId="15" fillId="13" borderId="27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15" borderId="4" xfId="0" applyFont="1" applyFill="1" applyBorder="1" applyAlignment="1">
      <alignment horizontal="center"/>
    </xf>
    <xf numFmtId="0" fontId="16" fillId="15" borderId="9" xfId="0" applyFont="1" applyFill="1" applyBorder="1" applyAlignment="1">
      <alignment horizontal="center"/>
    </xf>
    <xf numFmtId="0" fontId="16" fillId="15" borderId="5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0" fillId="0" borderId="4" xfId="0" applyFont="1" applyBorder="1"/>
    <xf numFmtId="0" fontId="0" fillId="0" borderId="9" xfId="0" applyFont="1" applyBorder="1"/>
    <xf numFmtId="0" fontId="0" fillId="0" borderId="5" xfId="0" applyFont="1" applyBorder="1"/>
    <xf numFmtId="181" fontId="0" fillId="0" borderId="15" xfId="0" applyNumberFormat="1" applyFont="1" applyBorder="1"/>
    <xf numFmtId="181" fontId="0" fillId="0" borderId="16" xfId="0" applyNumberFormat="1" applyFont="1" applyBorder="1"/>
    <xf numFmtId="181" fontId="0" fillId="0" borderId="8" xfId="0" applyNumberFormat="1" applyFont="1" applyBorder="1"/>
    <xf numFmtId="0" fontId="0" fillId="0" borderId="0" xfId="0" applyFont="1"/>
    <xf numFmtId="3" fontId="0" fillId="0" borderId="10" xfId="1" applyNumberFormat="1" applyFont="1" applyBorder="1" applyAlignment="1">
      <alignment horizontal="center"/>
    </xf>
    <xf numFmtId="3" fontId="0" fillId="0" borderId="11" xfId="1" applyNumberFormat="1" applyFont="1" applyBorder="1" applyAlignment="1">
      <alignment horizontal="center"/>
    </xf>
    <xf numFmtId="3" fontId="0" fillId="0" borderId="13" xfId="1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/>
    </xf>
    <xf numFmtId="0" fontId="4" fillId="14" borderId="16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13" fillId="14" borderId="15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82" fontId="0" fillId="9" borderId="2" xfId="0" applyNumberFormat="1" applyFill="1" applyBorder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184" fontId="3" fillId="0" borderId="1" xfId="0" applyNumberFormat="1" applyFont="1" applyBorder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</cellXfs>
  <cellStyles count="4">
    <cellStyle name="Migliaia" xfId="1" builtinId="3"/>
    <cellStyle name="Normale" xfId="0" builtinId="0"/>
    <cellStyle name="Percentuale" xfId="2" builtinId="5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673940949935813E-3"/>
          <c:y val="0.16204972689224659"/>
          <c:w val="0.78771107719365629"/>
          <c:h val="0.7613736965311768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59A-5E47-9C9D-2A544F4055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59A-5E47-9C9D-2A544F4055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Fund Risk'!$C$17:$D$17</c:f>
              <c:strCache>
                <c:ptCount val="2"/>
                <c:pt idx="0">
                  <c:v>π_Options</c:v>
                </c:pt>
                <c:pt idx="1">
                  <c:v>π_FI (USD)</c:v>
                </c:pt>
              </c:strCache>
            </c:strRef>
          </c:cat>
          <c:val>
            <c:numRef>
              <c:f>'Total Fund Risk'!$C$18:$D$18</c:f>
              <c:numCache>
                <c:formatCode>[$$-409]#,##0</c:formatCode>
                <c:ptCount val="2"/>
                <c:pt idx="0">
                  <c:v>28226585.200994831</c:v>
                </c:pt>
                <c:pt idx="1">
                  <c:v>403624060.45268559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7-6040-A21F-C242F2E720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6350</xdr:colOff>
      <xdr:row>0</xdr:row>
      <xdr:rowOff>0</xdr:rowOff>
    </xdr:from>
    <xdr:to>
      <xdr:col>18</xdr:col>
      <xdr:colOff>0</xdr:colOff>
      <xdr:row>14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4E886F-E48D-FEA0-E1A3-46D57084C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9"/>
  <sheetViews>
    <sheetView zoomScale="130" zoomScaleNormal="130" workbookViewId="0">
      <selection activeCell="B3" sqref="B3:C3"/>
    </sheetView>
  </sheetViews>
  <sheetFormatPr baseColWidth="10" defaultColWidth="8.83203125" defaultRowHeight="16"/>
  <cols>
    <col min="1" max="1" width="8.83203125" style="1"/>
    <col min="2" max="2" width="13.1640625" style="1" bestFit="1" customWidth="1"/>
    <col min="3" max="3" width="9.33203125" style="1" bestFit="1" customWidth="1"/>
    <col min="4" max="4" width="12.5" style="1" bestFit="1" customWidth="1"/>
    <col min="5" max="5" width="11.83203125" style="1" customWidth="1"/>
    <col min="6" max="6" width="13.5" style="1" bestFit="1" customWidth="1"/>
    <col min="7" max="7" width="12.1640625" style="1" bestFit="1" customWidth="1"/>
    <col min="8" max="8" width="15.5" style="1" bestFit="1" customWidth="1"/>
    <col min="9" max="16384" width="8.83203125" style="1"/>
  </cols>
  <sheetData>
    <row r="2" spans="2:14">
      <c r="I2"/>
      <c r="J2"/>
      <c r="K2"/>
      <c r="L2"/>
      <c r="M2"/>
      <c r="N2"/>
    </row>
    <row r="3" spans="2:14">
      <c r="B3" s="253" t="s">
        <v>4</v>
      </c>
      <c r="C3" s="254" t="s">
        <v>5</v>
      </c>
      <c r="D3" s="254" t="s">
        <v>7</v>
      </c>
      <c r="E3" s="254" t="s">
        <v>9</v>
      </c>
      <c r="F3" s="254" t="s">
        <v>10</v>
      </c>
      <c r="G3" s="254" t="s">
        <v>14</v>
      </c>
      <c r="H3" s="255" t="s">
        <v>13</v>
      </c>
    </row>
    <row r="4" spans="2:14">
      <c r="B4" s="128">
        <v>7000</v>
      </c>
      <c r="C4" s="129" t="s">
        <v>6</v>
      </c>
      <c r="D4" s="129" t="s">
        <v>20</v>
      </c>
      <c r="E4" s="129">
        <v>85</v>
      </c>
      <c r="F4" s="129">
        <v>0.5</v>
      </c>
      <c r="G4" s="129">
        <v>0.17</v>
      </c>
      <c r="H4" s="244">
        <v>0.01</v>
      </c>
    </row>
    <row r="5" spans="2:14">
      <c r="B5" s="135">
        <v>2000</v>
      </c>
      <c r="C5" s="136" t="s">
        <v>22</v>
      </c>
      <c r="D5" s="136" t="s">
        <v>8</v>
      </c>
      <c r="E5" s="136">
        <v>120</v>
      </c>
      <c r="F5" s="136">
        <v>0.5</v>
      </c>
      <c r="G5" s="136">
        <v>0.22</v>
      </c>
      <c r="H5" s="245">
        <v>0.01</v>
      </c>
    </row>
    <row r="6" spans="2:14">
      <c r="B6" s="4"/>
      <c r="C6" s="3"/>
      <c r="D6" s="5"/>
      <c r="E6" s="3"/>
      <c r="F6" s="3"/>
      <c r="G6" s="3"/>
      <c r="H6" s="10"/>
    </row>
    <row r="7" spans="2:14">
      <c r="B7" s="4"/>
      <c r="C7" s="3"/>
      <c r="D7" s="3"/>
    </row>
    <row r="9" spans="2:14"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94"/>
  <sheetViews>
    <sheetView zoomScale="99" workbookViewId="0">
      <selection activeCell="K5" sqref="K5"/>
    </sheetView>
  </sheetViews>
  <sheetFormatPr baseColWidth="10" defaultColWidth="11.5" defaultRowHeight="15"/>
  <cols>
    <col min="9" max="9" width="15.1640625" bestFit="1" customWidth="1"/>
    <col min="10" max="10" width="22" bestFit="1" customWidth="1"/>
  </cols>
  <sheetData>
    <row r="2" spans="1:11" ht="16">
      <c r="B2" s="6"/>
      <c r="C2" s="9" t="s">
        <v>11</v>
      </c>
    </row>
    <row r="3" spans="1:11" ht="16">
      <c r="B3" s="22" t="s">
        <v>21</v>
      </c>
      <c r="C3" s="22">
        <v>0.75</v>
      </c>
    </row>
    <row r="4" spans="1:11" ht="16">
      <c r="B4" s="23" t="s">
        <v>8</v>
      </c>
      <c r="C4" s="21">
        <v>1.1000000000000001</v>
      </c>
    </row>
    <row r="5" spans="1:11" ht="16">
      <c r="B5" s="3"/>
      <c r="C5" s="3"/>
    </row>
    <row r="7" spans="1:11">
      <c r="A7" s="37" t="s">
        <v>12</v>
      </c>
      <c r="C7" s="251" t="s">
        <v>21</v>
      </c>
      <c r="D7" s="251" t="s">
        <v>8</v>
      </c>
      <c r="E7" s="250" t="s">
        <v>35</v>
      </c>
      <c r="F7" s="252" t="s">
        <v>23</v>
      </c>
      <c r="G7" s="249" t="s">
        <v>29</v>
      </c>
      <c r="H7" s="49" t="s">
        <v>33</v>
      </c>
      <c r="I7" s="49" t="s">
        <v>30</v>
      </c>
      <c r="J7" s="49" t="s">
        <v>32</v>
      </c>
      <c r="K7" s="49" t="s">
        <v>31</v>
      </c>
    </row>
    <row r="8" spans="1:11">
      <c r="A8" s="34">
        <v>45232</v>
      </c>
      <c r="B8" s="7"/>
      <c r="C8" s="8">
        <v>100.52</v>
      </c>
      <c r="D8" s="8">
        <v>100.4</v>
      </c>
      <c r="E8" s="246">
        <v>10591.9794172</v>
      </c>
      <c r="F8" s="12">
        <v>8.3865591969280989E-3</v>
      </c>
      <c r="G8" s="247">
        <v>1.1034482999999999</v>
      </c>
      <c r="H8">
        <v>0</v>
      </c>
      <c r="I8">
        <v>0</v>
      </c>
      <c r="J8">
        <v>0</v>
      </c>
      <c r="K8">
        <v>0</v>
      </c>
    </row>
    <row r="9" spans="1:11">
      <c r="A9" s="35">
        <v>45233</v>
      </c>
      <c r="B9" s="7"/>
      <c r="C9" s="8">
        <v>99.75</v>
      </c>
      <c r="D9" s="8">
        <v>99.26</v>
      </c>
      <c r="E9" s="246">
        <v>10579.6716056</v>
      </c>
      <c r="F9" s="248">
        <v>-1.1619935344675499E-3</v>
      </c>
      <c r="G9" s="247">
        <v>1.1131519000000001</v>
      </c>
      <c r="H9" s="24">
        <f>(C9/C8)-1</f>
        <v>-7.6601671309192154E-3</v>
      </c>
      <c r="I9" s="24">
        <f>(D9/D8)-1</f>
        <v>-1.1354581673306829E-2</v>
      </c>
      <c r="J9" s="12">
        <f>(E9/E8)-1</f>
        <v>-1.1619935344675536E-3</v>
      </c>
      <c r="K9" s="44">
        <f>(G9/G8)-1</f>
        <v>8.7938873076338631E-3</v>
      </c>
    </row>
    <row r="10" spans="1:11">
      <c r="A10" s="35">
        <v>45236</v>
      </c>
      <c r="B10" s="7"/>
      <c r="C10" s="8">
        <v>99.87</v>
      </c>
      <c r="D10" s="8">
        <v>99.1</v>
      </c>
      <c r="E10" s="246">
        <v>10576.754007</v>
      </c>
      <c r="F10" s="248">
        <v>-2.7577402293432697E-4</v>
      </c>
      <c r="G10" s="247">
        <v>1.1146408000000001</v>
      </c>
      <c r="H10" s="24">
        <f t="shared" ref="H10:H73" si="0">(C10/C9)-1</f>
        <v>1.2030075187969835E-3</v>
      </c>
      <c r="I10" s="24">
        <f t="shared" ref="I10:I73" si="1">(D10/D9)-1</f>
        <v>-1.6119282691920978E-3</v>
      </c>
      <c r="J10" s="12">
        <f t="shared" ref="J10:J73" si="2">(E10/E9)-1</f>
        <v>-2.7577402293432751E-4</v>
      </c>
      <c r="K10" s="44">
        <f t="shared" ref="K10:K73" si="3">(G10/G9)-1</f>
        <v>1.3375533024737596E-3</v>
      </c>
    </row>
    <row r="11" spans="1:11">
      <c r="A11" s="35">
        <v>45237</v>
      </c>
      <c r="B11" s="7"/>
      <c r="C11" s="8">
        <v>99.62</v>
      </c>
      <c r="D11" s="8">
        <v>98.84</v>
      </c>
      <c r="E11" s="246">
        <v>10571.032598199999</v>
      </c>
      <c r="F11" s="248">
        <v>-5.4094184247954703E-4</v>
      </c>
      <c r="G11" s="247">
        <v>1.1106792999999999</v>
      </c>
      <c r="H11" s="24">
        <f t="shared" si="0"/>
        <v>-2.5032542304996852E-3</v>
      </c>
      <c r="I11" s="24">
        <f t="shared" si="1"/>
        <v>-2.6236125126134491E-3</v>
      </c>
      <c r="J11" s="12">
        <f t="shared" si="2"/>
        <v>-5.4094184247954757E-4</v>
      </c>
      <c r="K11" s="44">
        <f t="shared" si="3"/>
        <v>-3.5540597473197044E-3</v>
      </c>
    </row>
    <row r="12" spans="1:11">
      <c r="A12" s="35">
        <v>45238</v>
      </c>
      <c r="B12" s="7"/>
      <c r="C12" s="8">
        <v>99.07</v>
      </c>
      <c r="D12" s="8">
        <v>98.7</v>
      </c>
      <c r="E12" s="246">
        <v>10595.0608386</v>
      </c>
      <c r="F12" s="248">
        <v>2.2730268000585798E-3</v>
      </c>
      <c r="G12" s="247">
        <v>1.1129661</v>
      </c>
      <c r="H12" s="24">
        <f t="shared" si="0"/>
        <v>-5.5209797229472946E-3</v>
      </c>
      <c r="I12" s="24">
        <f t="shared" si="1"/>
        <v>-1.4164305949008194E-3</v>
      </c>
      <c r="J12" s="12">
        <f t="shared" si="2"/>
        <v>2.2730268000585863E-3</v>
      </c>
      <c r="K12" s="44">
        <f t="shared" si="3"/>
        <v>2.0589201581411309E-3</v>
      </c>
    </row>
    <row r="13" spans="1:11">
      <c r="A13" s="35">
        <v>45239</v>
      </c>
      <c r="B13" s="7"/>
      <c r="C13" s="8">
        <v>99.91</v>
      </c>
      <c r="D13" s="8">
        <v>98.36</v>
      </c>
      <c r="E13" s="246">
        <v>10644.9895763</v>
      </c>
      <c r="F13" s="248">
        <v>4.7124540821983302E-3</v>
      </c>
      <c r="G13" s="247">
        <v>1.1119142</v>
      </c>
      <c r="H13" s="24">
        <f t="shared" si="0"/>
        <v>8.4788533360251606E-3</v>
      </c>
      <c r="I13" s="24">
        <f t="shared" si="1"/>
        <v>-3.4447821681864443E-3</v>
      </c>
      <c r="J13" s="12">
        <f t="shared" si="2"/>
        <v>4.7124540821983363E-3</v>
      </c>
      <c r="K13" s="44">
        <f t="shared" si="3"/>
        <v>-9.4513211139135578E-4</v>
      </c>
    </row>
    <row r="14" spans="1:11">
      <c r="A14" s="35">
        <v>45240</v>
      </c>
      <c r="B14" s="7"/>
      <c r="C14" s="8">
        <v>99.38</v>
      </c>
      <c r="D14" s="8">
        <v>97.96</v>
      </c>
      <c r="E14" s="246">
        <v>10555.3534513</v>
      </c>
      <c r="F14" s="248">
        <v>-8.4204990862148891E-3</v>
      </c>
      <c r="G14" s="247">
        <v>1.1073583</v>
      </c>
      <c r="H14" s="24">
        <f t="shared" si="0"/>
        <v>-5.3047742968671541E-3</v>
      </c>
      <c r="I14" s="24">
        <f>(D14/D13)-1</f>
        <v>-4.066693777958541E-3</v>
      </c>
      <c r="J14" s="12">
        <f t="shared" si="2"/>
        <v>-8.4204990862148943E-3</v>
      </c>
      <c r="K14" s="44">
        <f t="shared" si="3"/>
        <v>-4.0973485184377934E-3</v>
      </c>
    </row>
    <row r="15" spans="1:11">
      <c r="A15" s="35">
        <v>45243</v>
      </c>
      <c r="B15" s="7"/>
      <c r="C15" s="8">
        <v>98.9</v>
      </c>
      <c r="D15" s="8">
        <v>99.2</v>
      </c>
      <c r="E15" s="246">
        <v>10590.3926904</v>
      </c>
      <c r="F15" s="248">
        <v>3.31957042098718E-3</v>
      </c>
      <c r="G15" s="247">
        <v>1.1080946</v>
      </c>
      <c r="H15" s="24">
        <f>(C15/C14)-1</f>
        <v>-4.8299456631112347E-3</v>
      </c>
      <c r="I15" s="24">
        <f t="shared" si="1"/>
        <v>1.2658227848101333E-2</v>
      </c>
      <c r="J15" s="12">
        <f t="shared" si="2"/>
        <v>3.3195704209871835E-3</v>
      </c>
      <c r="K15" s="44">
        <f t="shared" si="3"/>
        <v>6.6491577297078663E-4</v>
      </c>
    </row>
    <row r="16" spans="1:11">
      <c r="A16" s="35">
        <v>45244</v>
      </c>
      <c r="B16" s="7"/>
      <c r="C16" s="8">
        <v>99.4</v>
      </c>
      <c r="D16" s="8">
        <v>99.1</v>
      </c>
      <c r="E16" s="246">
        <v>10715.7303176</v>
      </c>
      <c r="F16" s="248">
        <v>1.18350311328507E-2</v>
      </c>
      <c r="G16" s="247">
        <v>1.1208878</v>
      </c>
      <c r="H16" s="24">
        <f t="shared" si="0"/>
        <v>5.0556117290192493E-3</v>
      </c>
      <c r="I16" s="24">
        <f t="shared" si="1"/>
        <v>-1.0080645161291146E-3</v>
      </c>
      <c r="J16" s="12">
        <f t="shared" si="2"/>
        <v>1.1835031132850782E-2</v>
      </c>
      <c r="K16" s="44">
        <f t="shared" si="3"/>
        <v>1.15452236659217E-2</v>
      </c>
    </row>
    <row r="17" spans="1:11">
      <c r="A17" s="35">
        <v>45245</v>
      </c>
      <c r="B17" s="7"/>
      <c r="C17" s="8">
        <v>99.6</v>
      </c>
      <c r="D17" s="8">
        <v>99.14</v>
      </c>
      <c r="E17" s="246">
        <v>10708.194625599999</v>
      </c>
      <c r="F17" s="248">
        <v>-7.0323643621605892E-4</v>
      </c>
      <c r="G17" s="247">
        <v>1.1284133999999999</v>
      </c>
      <c r="H17" s="24">
        <f t="shared" si="0"/>
        <v>2.012072434607548E-3</v>
      </c>
      <c r="I17" s="24">
        <f t="shared" si="1"/>
        <v>4.036326942482571E-4</v>
      </c>
      <c r="J17" s="12">
        <f t="shared" si="2"/>
        <v>-7.0323643621605925E-4</v>
      </c>
      <c r="K17" s="44">
        <f t="shared" si="3"/>
        <v>6.7139636991320195E-3</v>
      </c>
    </row>
    <row r="18" spans="1:11">
      <c r="A18" s="35">
        <v>45246</v>
      </c>
      <c r="B18" s="7"/>
      <c r="C18" s="8">
        <v>98.63</v>
      </c>
      <c r="D18" s="8">
        <v>99.06</v>
      </c>
      <c r="E18" s="246">
        <v>10643.068593100001</v>
      </c>
      <c r="F18" s="248">
        <v>-6.0818872627046404E-3</v>
      </c>
      <c r="G18" s="247">
        <v>1.126824</v>
      </c>
      <c r="H18" s="24">
        <f t="shared" si="0"/>
        <v>-9.738955823293205E-3</v>
      </c>
      <c r="I18" s="24">
        <f t="shared" si="1"/>
        <v>-8.0693968125877813E-4</v>
      </c>
      <c r="J18" s="12">
        <f t="shared" si="2"/>
        <v>-6.0818872627046439E-3</v>
      </c>
      <c r="K18" s="44">
        <f t="shared" si="3"/>
        <v>-1.4085263432708217E-3</v>
      </c>
    </row>
    <row r="19" spans="1:11">
      <c r="A19" s="35">
        <v>45247</v>
      </c>
      <c r="B19" s="7"/>
      <c r="C19" s="8">
        <v>98.99</v>
      </c>
      <c r="D19" s="8">
        <v>99.98</v>
      </c>
      <c r="E19" s="246">
        <v>10737.367472</v>
      </c>
      <c r="F19" s="248">
        <v>8.8601213151189295E-3</v>
      </c>
      <c r="G19" s="247">
        <v>1.1280315999999999</v>
      </c>
      <c r="H19" s="24">
        <f t="shared" si="0"/>
        <v>3.6500050694514563E-3</v>
      </c>
      <c r="I19" s="24">
        <f t="shared" si="1"/>
        <v>9.2873006258833435E-3</v>
      </c>
      <c r="J19" s="12">
        <f t="shared" si="2"/>
        <v>8.8601213151189295E-3</v>
      </c>
      <c r="K19" s="44">
        <f t="shared" si="3"/>
        <v>1.0716846641531941E-3</v>
      </c>
    </row>
    <row r="20" spans="1:11">
      <c r="A20" s="35">
        <v>45250</v>
      </c>
      <c r="B20" s="7"/>
      <c r="C20" s="8">
        <v>98.29</v>
      </c>
      <c r="D20" s="8">
        <v>100.95</v>
      </c>
      <c r="E20" s="246">
        <v>10740.2685279</v>
      </c>
      <c r="F20" s="248">
        <v>2.7018316245253001E-4</v>
      </c>
      <c r="G20" s="247">
        <v>1.1309019</v>
      </c>
      <c r="H20" s="24">
        <f t="shared" si="0"/>
        <v>-7.0714213556923866E-3</v>
      </c>
      <c r="I20" s="24">
        <f t="shared" si="1"/>
        <v>9.7019403880775901E-3</v>
      </c>
      <c r="J20" s="12">
        <f t="shared" si="2"/>
        <v>2.7018316245253082E-4</v>
      </c>
      <c r="K20" s="44">
        <f t="shared" si="3"/>
        <v>2.5445209159034032E-3</v>
      </c>
    </row>
    <row r="21" spans="1:11">
      <c r="A21" s="35">
        <v>45251</v>
      </c>
      <c r="B21" s="7"/>
      <c r="C21" s="8">
        <v>99.75</v>
      </c>
      <c r="D21" s="8">
        <v>101.55</v>
      </c>
      <c r="E21" s="246">
        <v>10782.234012999999</v>
      </c>
      <c r="F21" s="248">
        <v>3.9073031545706601E-3</v>
      </c>
      <c r="G21" s="247">
        <v>1.1330802</v>
      </c>
      <c r="H21" s="24">
        <f t="shared" si="0"/>
        <v>1.4854003459151333E-2</v>
      </c>
      <c r="I21" s="24">
        <f t="shared" si="1"/>
        <v>5.9435364041604544E-3</v>
      </c>
      <c r="J21" s="12">
        <f t="shared" si="2"/>
        <v>3.9073031545706627E-3</v>
      </c>
      <c r="K21" s="44">
        <f t="shared" si="3"/>
        <v>1.9261617652246432E-3</v>
      </c>
    </row>
    <row r="22" spans="1:11">
      <c r="A22" s="35">
        <v>45252</v>
      </c>
      <c r="B22" s="7"/>
      <c r="C22" s="8">
        <v>100.3</v>
      </c>
      <c r="D22" s="8">
        <v>101.85</v>
      </c>
      <c r="E22" s="246">
        <v>10832.3909616</v>
      </c>
      <c r="F22" s="248">
        <v>4.6518141360618595E-3</v>
      </c>
      <c r="G22" s="247">
        <v>1.1289867</v>
      </c>
      <c r="H22" s="24">
        <f t="shared" si="0"/>
        <v>5.5137844611528042E-3</v>
      </c>
      <c r="I22" s="24">
        <f t="shared" si="1"/>
        <v>2.9542097488921559E-3</v>
      </c>
      <c r="J22" s="12">
        <f t="shared" si="2"/>
        <v>4.6518141360618603E-3</v>
      </c>
      <c r="K22" s="44">
        <f t="shared" si="3"/>
        <v>-3.6127186760478436E-3</v>
      </c>
    </row>
    <row r="23" spans="1:11">
      <c r="A23" s="35">
        <v>45254</v>
      </c>
      <c r="B23" s="7"/>
      <c r="C23" s="8">
        <v>100.48</v>
      </c>
      <c r="D23" s="8">
        <v>102.65</v>
      </c>
      <c r="E23" s="246">
        <v>10879.521151299999</v>
      </c>
      <c r="F23" s="248">
        <v>4.3508575223210003E-3</v>
      </c>
      <c r="G23" s="247">
        <v>1.1316698000000001</v>
      </c>
      <c r="H23" s="24">
        <f t="shared" si="0"/>
        <v>1.794616151545414E-3</v>
      </c>
      <c r="I23" s="24">
        <f t="shared" si="1"/>
        <v>7.8546882670595952E-3</v>
      </c>
      <c r="J23" s="12">
        <f t="shared" si="2"/>
        <v>4.3508575223210055E-3</v>
      </c>
      <c r="K23" s="44">
        <f t="shared" si="3"/>
        <v>2.3765558974255807E-3</v>
      </c>
    </row>
    <row r="24" spans="1:11">
      <c r="A24" s="35">
        <v>45257</v>
      </c>
      <c r="B24" s="7"/>
      <c r="C24" s="8">
        <v>100.22</v>
      </c>
      <c r="D24" s="8">
        <v>103.05</v>
      </c>
      <c r="E24" s="246">
        <v>10821.0561966</v>
      </c>
      <c r="F24" s="248">
        <v>-5.3738536730555397E-3</v>
      </c>
      <c r="G24" s="247">
        <v>1.1339797</v>
      </c>
      <c r="H24" s="24">
        <f t="shared" si="0"/>
        <v>-2.5875796178344013E-3</v>
      </c>
      <c r="I24" s="24">
        <f t="shared" si="1"/>
        <v>3.8967364831952178E-3</v>
      </c>
      <c r="J24" s="12">
        <f t="shared" si="2"/>
        <v>-5.3738536730555397E-3</v>
      </c>
      <c r="K24" s="44">
        <f t="shared" si="3"/>
        <v>2.0411430966877919E-3</v>
      </c>
    </row>
    <row r="25" spans="1:11">
      <c r="A25" s="35">
        <v>45258</v>
      </c>
      <c r="B25" s="7"/>
      <c r="C25" s="8">
        <v>99.4</v>
      </c>
      <c r="D25" s="8">
        <v>103.3</v>
      </c>
      <c r="E25" s="246">
        <v>10760.377124099999</v>
      </c>
      <c r="F25" s="248">
        <v>-5.6074999886855902E-3</v>
      </c>
      <c r="G25" s="247">
        <v>1.1350738</v>
      </c>
      <c r="H25" s="24">
        <f t="shared" si="0"/>
        <v>-8.1819996008779539E-3</v>
      </c>
      <c r="I25" s="24">
        <f t="shared" si="1"/>
        <v>2.4260067928190132E-3</v>
      </c>
      <c r="J25" s="12">
        <f t="shared" si="2"/>
        <v>-5.6074999886855936E-3</v>
      </c>
      <c r="K25" s="44">
        <f t="shared" si="3"/>
        <v>9.6483208650033347E-4</v>
      </c>
    </row>
    <row r="26" spans="1:11">
      <c r="A26" s="35">
        <v>45259</v>
      </c>
      <c r="B26" s="7"/>
      <c r="C26" s="8">
        <v>99.13</v>
      </c>
      <c r="D26" s="8">
        <v>102.75</v>
      </c>
      <c r="E26" s="246">
        <v>10802.8755427</v>
      </c>
      <c r="F26" s="248">
        <v>3.9495287302540004E-3</v>
      </c>
      <c r="G26" s="247">
        <v>1.1384983</v>
      </c>
      <c r="H26" s="24">
        <f t="shared" si="0"/>
        <v>-2.7162977867204452E-3</v>
      </c>
      <c r="I26" s="24">
        <f t="shared" si="1"/>
        <v>-5.3242981606970163E-3</v>
      </c>
      <c r="J26" s="12">
        <f t="shared" si="2"/>
        <v>3.9495287302540039E-3</v>
      </c>
      <c r="K26" s="44">
        <f t="shared" si="3"/>
        <v>3.0169844462977213E-3</v>
      </c>
    </row>
    <row r="27" spans="1:11">
      <c r="A27" s="35">
        <v>45260</v>
      </c>
      <c r="B27" s="7"/>
      <c r="C27" s="8">
        <v>99.35</v>
      </c>
      <c r="D27" s="8">
        <v>103.25</v>
      </c>
      <c r="E27" s="246">
        <v>10854.3243002</v>
      </c>
      <c r="F27" s="248">
        <v>4.7625058065920902E-3</v>
      </c>
      <c r="G27" s="247">
        <v>1.1429225000000001</v>
      </c>
      <c r="H27" s="24">
        <f t="shared" si="0"/>
        <v>2.219307979421048E-3</v>
      </c>
      <c r="I27" s="24">
        <f t="shared" si="1"/>
        <v>4.8661800486617945E-3</v>
      </c>
      <c r="J27" s="12">
        <f t="shared" si="2"/>
        <v>4.7625058065920989E-3</v>
      </c>
      <c r="K27" s="44">
        <f t="shared" si="3"/>
        <v>3.8859961407058385E-3</v>
      </c>
    </row>
    <row r="28" spans="1:11">
      <c r="A28" s="35">
        <v>45261</v>
      </c>
      <c r="B28" s="7"/>
      <c r="C28" s="8">
        <v>98.95</v>
      </c>
      <c r="D28" s="8">
        <v>98.34</v>
      </c>
      <c r="E28" s="246">
        <v>10887.363248400001</v>
      </c>
      <c r="F28" s="248">
        <v>3.0438512141555104E-3</v>
      </c>
      <c r="G28" s="247">
        <v>1.1500201000000001</v>
      </c>
      <c r="H28" s="24">
        <f t="shared" si="0"/>
        <v>-4.0261701056868437E-3</v>
      </c>
      <c r="I28" s="24">
        <f t="shared" si="1"/>
        <v>-4.7554479418886131E-2</v>
      </c>
      <c r="J28" s="12">
        <f t="shared" si="2"/>
        <v>3.043851214155513E-3</v>
      </c>
      <c r="K28" s="44">
        <f t="shared" si="3"/>
        <v>6.2100448630593164E-3</v>
      </c>
    </row>
    <row r="29" spans="1:11">
      <c r="A29" s="35">
        <v>45264</v>
      </c>
      <c r="B29" s="7"/>
      <c r="C29" s="8">
        <v>99.97</v>
      </c>
      <c r="D29" s="8">
        <v>99.6</v>
      </c>
      <c r="E29" s="246">
        <v>10952.438609999999</v>
      </c>
      <c r="F29" s="248">
        <v>5.9771461753663699E-3</v>
      </c>
      <c r="G29" s="247">
        <v>1.1462631999999999</v>
      </c>
      <c r="H29" s="24">
        <f t="shared" si="0"/>
        <v>1.030823648307222E-2</v>
      </c>
      <c r="I29" s="24">
        <f t="shared" si="1"/>
        <v>1.281269066503965E-2</v>
      </c>
      <c r="J29" s="12">
        <f t="shared" si="2"/>
        <v>5.9771461753663768E-3</v>
      </c>
      <c r="K29" s="44">
        <f t="shared" si="3"/>
        <v>-3.2668124670169885E-3</v>
      </c>
    </row>
    <row r="30" spans="1:11">
      <c r="A30" s="35">
        <v>45265</v>
      </c>
      <c r="B30" s="7"/>
      <c r="C30" s="8">
        <v>99.62</v>
      </c>
      <c r="D30" s="8">
        <v>99.06</v>
      </c>
      <c r="E30" s="246">
        <v>10964.808504099999</v>
      </c>
      <c r="F30" s="248">
        <v>1.12941916777375E-3</v>
      </c>
      <c r="G30" s="247">
        <v>1.1442302</v>
      </c>
      <c r="H30" s="24">
        <f t="shared" si="0"/>
        <v>-3.5010503150945116E-3</v>
      </c>
      <c r="I30" s="24">
        <f t="shared" si="1"/>
        <v>-5.4216867469878416E-3</v>
      </c>
      <c r="J30" s="12">
        <f t="shared" si="2"/>
        <v>1.1294191677737597E-3</v>
      </c>
      <c r="K30" s="44">
        <f t="shared" si="3"/>
        <v>-1.7735891721900598E-3</v>
      </c>
    </row>
    <row r="31" spans="1:11">
      <c r="A31" s="35">
        <v>45266</v>
      </c>
      <c r="B31" s="7"/>
      <c r="C31" s="8">
        <v>99.4</v>
      </c>
      <c r="D31" s="8">
        <v>98.76</v>
      </c>
      <c r="E31" s="246">
        <v>11001.621422599999</v>
      </c>
      <c r="F31" s="248">
        <v>3.3573699427795699E-3</v>
      </c>
      <c r="G31" s="247">
        <v>1.1439029999999999</v>
      </c>
      <c r="H31" s="24">
        <f t="shared" si="0"/>
        <v>-2.2083918891788734E-3</v>
      </c>
      <c r="I31" s="24">
        <f t="shared" si="1"/>
        <v>-3.0284675953966556E-3</v>
      </c>
      <c r="J31" s="12">
        <f t="shared" si="2"/>
        <v>3.3573699427795756E-3</v>
      </c>
      <c r="K31" s="44">
        <f t="shared" si="3"/>
        <v>-2.8595644477835691E-4</v>
      </c>
    </row>
    <row r="32" spans="1:11">
      <c r="A32" s="35">
        <v>45267</v>
      </c>
      <c r="B32" s="7"/>
      <c r="C32" s="8">
        <v>98.67</v>
      </c>
      <c r="D32" s="8">
        <v>98.66</v>
      </c>
      <c r="E32" s="246">
        <v>10968.0998728</v>
      </c>
      <c r="F32" s="248">
        <v>-3.04696448935593E-3</v>
      </c>
      <c r="G32" s="247">
        <v>1.1446232000000001</v>
      </c>
      <c r="H32" s="24">
        <f t="shared" si="0"/>
        <v>-7.3440643863179611E-3</v>
      </c>
      <c r="I32" s="24">
        <f t="shared" si="1"/>
        <v>-1.0125556905630217E-3</v>
      </c>
      <c r="J32" s="12">
        <f t="shared" si="2"/>
        <v>-3.04696448935593E-3</v>
      </c>
      <c r="K32" s="44">
        <f t="shared" si="3"/>
        <v>6.2959883836311015E-4</v>
      </c>
    </row>
    <row r="33" spans="1:11">
      <c r="A33" s="35">
        <v>45268</v>
      </c>
      <c r="B33" s="7"/>
      <c r="C33" s="8">
        <v>99.38</v>
      </c>
      <c r="D33" s="8">
        <v>98.88</v>
      </c>
      <c r="E33" s="246">
        <v>11071.7672158</v>
      </c>
      <c r="F33" s="248">
        <v>9.4517139889551613E-3</v>
      </c>
      <c r="G33" s="247">
        <v>1.1408362000000001</v>
      </c>
      <c r="H33" s="24">
        <f t="shared" si="0"/>
        <v>7.1957028478766283E-3</v>
      </c>
      <c r="I33" s="24">
        <f t="shared" si="1"/>
        <v>2.229880397324191E-3</v>
      </c>
      <c r="J33" s="12">
        <f t="shared" si="2"/>
        <v>9.4517139889551682E-3</v>
      </c>
      <c r="K33" s="44">
        <f t="shared" si="3"/>
        <v>-3.3085123558564966E-3</v>
      </c>
    </row>
    <row r="34" spans="1:11">
      <c r="A34" s="35">
        <v>45271</v>
      </c>
      <c r="B34" s="7"/>
      <c r="C34" s="8">
        <v>99.02</v>
      </c>
      <c r="D34" s="8">
        <v>99.1</v>
      </c>
      <c r="E34" s="246">
        <v>11130.356372099999</v>
      </c>
      <c r="F34" s="248">
        <v>5.2917619344803298E-3</v>
      </c>
      <c r="G34" s="247">
        <v>1.1368157999999999</v>
      </c>
      <c r="H34" s="24">
        <f t="shared" si="0"/>
        <v>-3.6224592473335093E-3</v>
      </c>
      <c r="I34" s="24">
        <f t="shared" si="1"/>
        <v>2.2249190938510299E-3</v>
      </c>
      <c r="J34" s="12">
        <f t="shared" si="2"/>
        <v>5.2917619344803324E-3</v>
      </c>
      <c r="K34" s="44">
        <f t="shared" si="3"/>
        <v>-3.5240817218108456E-3</v>
      </c>
    </row>
    <row r="35" spans="1:11">
      <c r="A35" s="35">
        <v>45272</v>
      </c>
      <c r="B35" s="7"/>
      <c r="C35" s="8">
        <v>98.94</v>
      </c>
      <c r="D35" s="8">
        <v>99.94</v>
      </c>
      <c r="E35" s="246">
        <v>11151.2183902</v>
      </c>
      <c r="F35" s="248">
        <v>1.87433514278967E-3</v>
      </c>
      <c r="G35" s="247">
        <v>1.1372036000000001</v>
      </c>
      <c r="H35" s="24">
        <f t="shared" si="0"/>
        <v>-8.0791759240550487E-4</v>
      </c>
      <c r="I35" s="24">
        <f t="shared" si="1"/>
        <v>8.4762865792129549E-3</v>
      </c>
      <c r="J35" s="12">
        <f t="shared" si="2"/>
        <v>1.8743351427896737E-3</v>
      </c>
      <c r="K35" s="44">
        <f t="shared" si="3"/>
        <v>3.4112826369958604E-4</v>
      </c>
    </row>
    <row r="36" spans="1:11">
      <c r="A36" s="35">
        <v>45273</v>
      </c>
      <c r="B36" s="7"/>
      <c r="C36" s="8">
        <v>98.43</v>
      </c>
      <c r="D36" s="8">
        <v>100.45</v>
      </c>
      <c r="E36" s="246">
        <v>11188.9084418</v>
      </c>
      <c r="F36" s="248">
        <v>3.3799043549469499E-3</v>
      </c>
      <c r="G36" s="247">
        <v>1.1410966</v>
      </c>
      <c r="H36" s="24">
        <f t="shared" si="0"/>
        <v>-5.1546391752576026E-3</v>
      </c>
      <c r="I36" s="24">
        <f t="shared" si="1"/>
        <v>5.1030618371024072E-3</v>
      </c>
      <c r="J36" s="12">
        <f t="shared" si="2"/>
        <v>3.3799043549469499E-3</v>
      </c>
      <c r="K36" s="44">
        <f t="shared" si="3"/>
        <v>3.4233095990900964E-3</v>
      </c>
    </row>
    <row r="37" spans="1:11">
      <c r="A37" s="35">
        <v>45274</v>
      </c>
      <c r="B37" s="7"/>
      <c r="C37" s="8">
        <v>97.72</v>
      </c>
      <c r="D37" s="8">
        <v>95.5</v>
      </c>
      <c r="E37" s="246">
        <v>11209.9503274</v>
      </c>
      <c r="F37" s="248">
        <v>1.88060217933228E-3</v>
      </c>
      <c r="G37" s="247">
        <v>1.1414873999999999</v>
      </c>
      <c r="H37" s="24">
        <f t="shared" si="0"/>
        <v>-7.2132479934979843E-3</v>
      </c>
      <c r="I37" s="24">
        <f t="shared" si="1"/>
        <v>-4.9278247884519732E-2</v>
      </c>
      <c r="J37" s="12">
        <f t="shared" si="2"/>
        <v>1.8806021793322802E-3</v>
      </c>
      <c r="K37" s="44">
        <f t="shared" si="3"/>
        <v>3.4247757814709345E-4</v>
      </c>
    </row>
    <row r="38" spans="1:11">
      <c r="A38" s="35">
        <v>45275</v>
      </c>
      <c r="B38" s="7"/>
      <c r="C38" s="8">
        <v>98.11</v>
      </c>
      <c r="D38" s="8">
        <v>95.64</v>
      </c>
      <c r="E38" s="246">
        <v>11191.8930005</v>
      </c>
      <c r="F38" s="248">
        <v>-1.6108302331958499E-3</v>
      </c>
      <c r="G38" s="247">
        <v>1.1546677000000001</v>
      </c>
      <c r="H38" s="24">
        <f t="shared" si="0"/>
        <v>3.9909946786738093E-3</v>
      </c>
      <c r="I38" s="24">
        <f t="shared" si="1"/>
        <v>1.4659685863873673E-3</v>
      </c>
      <c r="J38" s="12">
        <f t="shared" si="2"/>
        <v>-1.6108302331958591E-3</v>
      </c>
      <c r="K38" s="44">
        <f t="shared" si="3"/>
        <v>1.154660139043151E-2</v>
      </c>
    </row>
    <row r="39" spans="1:11">
      <c r="A39" s="35">
        <v>45278</v>
      </c>
      <c r="B39" s="7"/>
      <c r="C39" s="8">
        <v>98.08</v>
      </c>
      <c r="D39" s="8">
        <v>95.98</v>
      </c>
      <c r="E39" s="246">
        <v>11155.7993061</v>
      </c>
      <c r="F39" s="248">
        <v>-3.22498565688467E-3</v>
      </c>
      <c r="G39" s="247">
        <v>1.1536021000000001</v>
      </c>
      <c r="H39" s="24">
        <f t="shared" si="0"/>
        <v>-3.0577922739782881E-4</v>
      </c>
      <c r="I39" s="24">
        <f t="shared" si="1"/>
        <v>3.5549979088247419E-3</v>
      </c>
      <c r="J39" s="12">
        <f t="shared" si="2"/>
        <v>-3.2249856568846713E-3</v>
      </c>
      <c r="K39" s="44">
        <f t="shared" si="3"/>
        <v>-9.2286291545173871E-4</v>
      </c>
    </row>
    <row r="40" spans="1:11">
      <c r="A40" s="35">
        <v>45279</v>
      </c>
      <c r="B40" s="7"/>
      <c r="C40" s="8">
        <v>96.57</v>
      </c>
      <c r="D40" s="8">
        <v>95.96</v>
      </c>
      <c r="E40" s="246">
        <v>11146.432643300001</v>
      </c>
      <c r="F40" s="248">
        <v>-8.3962274176785302E-4</v>
      </c>
      <c r="G40" s="247">
        <v>1.1522064000000001</v>
      </c>
      <c r="H40" s="24">
        <f t="shared" si="0"/>
        <v>-1.539559543230018E-2</v>
      </c>
      <c r="I40" s="24">
        <f t="shared" si="1"/>
        <v>-2.0837674515539195E-4</v>
      </c>
      <c r="J40" s="12">
        <f t="shared" si="2"/>
        <v>-8.3962274176785368E-4</v>
      </c>
      <c r="K40" s="44">
        <f t="shared" si="3"/>
        <v>-1.2098625687314568E-3</v>
      </c>
    </row>
    <row r="41" spans="1:11">
      <c r="A41" s="35">
        <v>45280</v>
      </c>
      <c r="B41" s="7"/>
      <c r="C41" s="8">
        <v>96.58</v>
      </c>
      <c r="D41" s="8">
        <v>96.46</v>
      </c>
      <c r="E41" s="246">
        <v>11144.8847498</v>
      </c>
      <c r="F41" s="248">
        <v>-1.3886895920300899E-4</v>
      </c>
      <c r="G41" s="247">
        <v>1.1631289</v>
      </c>
      <c r="H41" s="24">
        <f t="shared" si="0"/>
        <v>1.0355182768972959E-4</v>
      </c>
      <c r="I41" s="24">
        <f t="shared" si="1"/>
        <v>5.210504376823577E-3</v>
      </c>
      <c r="J41" s="12">
        <f t="shared" si="2"/>
        <v>-1.3886895920300901E-4</v>
      </c>
      <c r="K41" s="44">
        <f t="shared" si="3"/>
        <v>9.4796383703474874E-3</v>
      </c>
    </row>
    <row r="42" spans="1:11">
      <c r="A42" s="35">
        <v>45281</v>
      </c>
      <c r="B42" s="7"/>
      <c r="C42" s="8">
        <v>96.99</v>
      </c>
      <c r="D42" s="8">
        <v>95.34</v>
      </c>
      <c r="E42" s="246">
        <v>11132.6045416</v>
      </c>
      <c r="F42" s="248">
        <v>-1.1018694652916699E-3</v>
      </c>
      <c r="G42" s="247">
        <v>1.1612378000000001</v>
      </c>
      <c r="H42" s="24">
        <f t="shared" si="0"/>
        <v>4.2451853385794269E-3</v>
      </c>
      <c r="I42" s="24">
        <f t="shared" si="1"/>
        <v>-1.1611030478954953E-2</v>
      </c>
      <c r="J42" s="12">
        <f t="shared" si="2"/>
        <v>-1.1018694652916716E-3</v>
      </c>
      <c r="K42" s="44">
        <f t="shared" si="3"/>
        <v>-1.6258731083028666E-3</v>
      </c>
    </row>
    <row r="43" spans="1:11">
      <c r="A43" s="35">
        <v>45282</v>
      </c>
      <c r="B43" s="7"/>
      <c r="C43" s="8">
        <v>97.2</v>
      </c>
      <c r="D43" s="8">
        <v>95.7</v>
      </c>
      <c r="E43" s="246">
        <v>11153.0899013</v>
      </c>
      <c r="F43" s="248">
        <v>1.84012282332046E-3</v>
      </c>
      <c r="G43" s="247">
        <v>1.1669973</v>
      </c>
      <c r="H43" s="24">
        <f t="shared" si="0"/>
        <v>2.1651716671822197E-3</v>
      </c>
      <c r="I43" s="24">
        <f t="shared" si="1"/>
        <v>3.7759597230961894E-3</v>
      </c>
      <c r="J43" s="12">
        <f t="shared" si="2"/>
        <v>1.8401228233204669E-3</v>
      </c>
      <c r="K43" s="44">
        <f t="shared" si="3"/>
        <v>4.9597937648946377E-3</v>
      </c>
    </row>
    <row r="44" spans="1:11">
      <c r="A44" s="35">
        <v>45287</v>
      </c>
      <c r="B44" s="7"/>
      <c r="C44" s="8">
        <v>96.84</v>
      </c>
      <c r="D44" s="8">
        <v>95.12</v>
      </c>
      <c r="E44" s="246">
        <v>11113.9757391</v>
      </c>
      <c r="F44" s="248">
        <v>-3.5070247389864502E-3</v>
      </c>
      <c r="G44" s="247">
        <v>1.1688387</v>
      </c>
      <c r="H44" s="24">
        <f t="shared" si="0"/>
        <v>-3.7037037037036535E-3</v>
      </c>
      <c r="I44" s="24">
        <f t="shared" si="1"/>
        <v>-6.0606060606059886E-3</v>
      </c>
      <c r="J44" s="12">
        <f t="shared" si="2"/>
        <v>-3.5070247389864528E-3</v>
      </c>
      <c r="K44" s="44">
        <f t="shared" si="3"/>
        <v>1.5778956815066802E-3</v>
      </c>
    </row>
    <row r="45" spans="1:11">
      <c r="A45" s="35">
        <v>45288</v>
      </c>
      <c r="B45" s="7"/>
      <c r="C45" s="8">
        <v>96.79</v>
      </c>
      <c r="D45" s="8">
        <v>94.18</v>
      </c>
      <c r="E45" s="246">
        <v>11057.5466082</v>
      </c>
      <c r="F45" s="248">
        <v>-5.0773127658968395E-3</v>
      </c>
      <c r="G45" s="247">
        <v>1.1688038000000001</v>
      </c>
      <c r="H45" s="24">
        <f t="shared" si="0"/>
        <v>-5.1631557207765244E-4</v>
      </c>
      <c r="I45" s="24">
        <f t="shared" si="1"/>
        <v>-9.8822539949536825E-3</v>
      </c>
      <c r="J45" s="12">
        <f t="shared" si="2"/>
        <v>-5.0773127658968464E-3</v>
      </c>
      <c r="K45" s="44">
        <f t="shared" si="3"/>
        <v>-2.98586964992964E-5</v>
      </c>
    </row>
    <row r="46" spans="1:11">
      <c r="A46" s="35">
        <v>45289</v>
      </c>
      <c r="B46" s="7"/>
      <c r="C46" s="8">
        <v>97.51</v>
      </c>
      <c r="D46" s="8">
        <v>94.56</v>
      </c>
      <c r="E46" s="246">
        <v>11137.793274</v>
      </c>
      <c r="F46" s="248">
        <v>7.2571853995615498E-3</v>
      </c>
      <c r="G46" s="247">
        <v>1.1691121</v>
      </c>
      <c r="H46" s="24">
        <f t="shared" si="0"/>
        <v>7.4387849984502985E-3</v>
      </c>
      <c r="I46" s="24">
        <f t="shared" si="1"/>
        <v>4.0348269271606174E-3</v>
      </c>
      <c r="J46" s="12">
        <f t="shared" si="2"/>
        <v>7.2571853995615498E-3</v>
      </c>
      <c r="K46" s="44">
        <f t="shared" si="3"/>
        <v>2.6377395419130423E-4</v>
      </c>
    </row>
    <row r="47" spans="1:11">
      <c r="A47" s="35">
        <v>45294</v>
      </c>
      <c r="B47" s="7"/>
      <c r="C47" s="8">
        <v>99.3</v>
      </c>
      <c r="D47" s="8">
        <v>95.12</v>
      </c>
      <c r="E47" s="246">
        <v>11170.2620704</v>
      </c>
      <c r="F47" s="248">
        <v>2.9151911515359302E-3</v>
      </c>
      <c r="G47" s="247">
        <v>1.1822428</v>
      </c>
      <c r="H47" s="24">
        <f t="shared" si="0"/>
        <v>1.8357091580350593E-2</v>
      </c>
      <c r="I47" s="24">
        <f t="shared" si="1"/>
        <v>5.9221658206429773E-3</v>
      </c>
      <c r="J47" s="12">
        <f t="shared" si="2"/>
        <v>2.9151911515359341E-3</v>
      </c>
      <c r="K47" s="44">
        <f t="shared" si="3"/>
        <v>1.1231343854879228E-2</v>
      </c>
    </row>
    <row r="48" spans="1:11">
      <c r="A48" s="35">
        <v>45295</v>
      </c>
      <c r="B48" s="7"/>
      <c r="C48" s="8">
        <v>98.77</v>
      </c>
      <c r="D48" s="8">
        <v>95.94</v>
      </c>
      <c r="E48" s="246">
        <v>11224.3684596</v>
      </c>
      <c r="F48" s="248">
        <v>4.8437887006587098E-3</v>
      </c>
      <c r="G48" s="247">
        <v>1.1956716999999999</v>
      </c>
      <c r="H48" s="24">
        <f t="shared" si="0"/>
        <v>-5.3373615307150679E-3</v>
      </c>
      <c r="I48" s="24">
        <f t="shared" si="1"/>
        <v>8.6206896551723755E-3</v>
      </c>
      <c r="J48" s="12">
        <f t="shared" si="2"/>
        <v>4.8437887006587133E-3</v>
      </c>
      <c r="K48" s="44">
        <f t="shared" si="3"/>
        <v>1.1358834242847449E-2</v>
      </c>
    </row>
    <row r="49" spans="1:11">
      <c r="A49" s="35">
        <v>45296</v>
      </c>
      <c r="B49" s="7"/>
      <c r="C49" s="8">
        <v>98.63</v>
      </c>
      <c r="D49" s="8">
        <v>96.02</v>
      </c>
      <c r="E49" s="246">
        <v>11185.9002329</v>
      </c>
      <c r="F49" s="248">
        <v>-3.4272063357916301E-3</v>
      </c>
      <c r="G49" s="247">
        <v>1.1881423</v>
      </c>
      <c r="H49" s="24">
        <f t="shared" si="0"/>
        <v>-1.4174344436569397E-3</v>
      </c>
      <c r="I49" s="24">
        <f t="shared" si="1"/>
        <v>8.3385449239115061E-4</v>
      </c>
      <c r="J49" s="12">
        <f t="shared" si="2"/>
        <v>-3.4272063357916327E-3</v>
      </c>
      <c r="K49" s="44">
        <f t="shared" si="3"/>
        <v>-6.2972135244147021E-3</v>
      </c>
    </row>
    <row r="50" spans="1:11">
      <c r="A50" s="35">
        <v>45299</v>
      </c>
      <c r="B50" s="7"/>
      <c r="C50" s="8">
        <v>98.79</v>
      </c>
      <c r="D50" s="8">
        <v>96.86</v>
      </c>
      <c r="E50" s="246">
        <v>11230.402926799999</v>
      </c>
      <c r="F50" s="248">
        <v>3.9784633309269905E-3</v>
      </c>
      <c r="G50" s="247">
        <v>1.1881261999999999</v>
      </c>
      <c r="H50" s="24">
        <f t="shared" si="0"/>
        <v>1.6222244753119064E-3</v>
      </c>
      <c r="I50" s="24">
        <f t="shared" si="1"/>
        <v>8.7481774630284725E-3</v>
      </c>
      <c r="J50" s="12">
        <f t="shared" si="2"/>
        <v>3.9784633309269957E-3</v>
      </c>
      <c r="K50" s="44">
        <f t="shared" si="3"/>
        <v>-1.3550565450048957E-5</v>
      </c>
    </row>
    <row r="51" spans="1:11">
      <c r="A51" s="35">
        <v>45300</v>
      </c>
      <c r="B51" s="7"/>
      <c r="C51" s="8">
        <v>98.82</v>
      </c>
      <c r="D51" s="8">
        <v>96.6</v>
      </c>
      <c r="E51" s="246">
        <v>11248.6455068</v>
      </c>
      <c r="F51" s="248">
        <v>1.6243922964211898E-3</v>
      </c>
      <c r="G51" s="247">
        <v>1.1783421000000001</v>
      </c>
      <c r="H51" s="24">
        <f t="shared" si="0"/>
        <v>3.0367446097767647E-4</v>
      </c>
      <c r="I51" s="24">
        <f t="shared" si="1"/>
        <v>-2.6842865992153797E-3</v>
      </c>
      <c r="J51" s="12">
        <f t="shared" si="2"/>
        <v>1.6243922964211954E-3</v>
      </c>
      <c r="K51" s="44">
        <f t="shared" si="3"/>
        <v>-8.2348996259823393E-3</v>
      </c>
    </row>
    <row r="52" spans="1:11">
      <c r="A52" s="35">
        <v>45301</v>
      </c>
      <c r="B52" s="7"/>
      <c r="C52" s="8">
        <v>98.27</v>
      </c>
      <c r="D52" s="8">
        <v>96.74</v>
      </c>
      <c r="E52" s="246">
        <v>11254.998871199999</v>
      </c>
      <c r="F52" s="248">
        <v>5.6481150518594703E-4</v>
      </c>
      <c r="G52" s="247">
        <v>1.1729517</v>
      </c>
      <c r="H52" s="24">
        <f t="shared" si="0"/>
        <v>-5.5656749645820458E-3</v>
      </c>
      <c r="I52" s="24">
        <f t="shared" si="1"/>
        <v>1.4492753623187582E-3</v>
      </c>
      <c r="J52" s="12">
        <f t="shared" si="2"/>
        <v>5.6481150518594703E-4</v>
      </c>
      <c r="K52" s="44">
        <f t="shared" si="3"/>
        <v>-4.5745628540302397E-3</v>
      </c>
    </row>
    <row r="53" spans="1:11">
      <c r="A53" s="35">
        <v>45302</v>
      </c>
      <c r="B53" s="7"/>
      <c r="C53" s="8">
        <v>96.68</v>
      </c>
      <c r="D53" s="8">
        <v>96.98</v>
      </c>
      <c r="E53" s="246">
        <v>11153.6174458</v>
      </c>
      <c r="F53" s="248">
        <v>-9.0076797483668002E-3</v>
      </c>
      <c r="G53" s="247">
        <v>1.1768167</v>
      </c>
      <c r="H53" s="24">
        <f t="shared" si="0"/>
        <v>-1.6179912486007808E-2</v>
      </c>
      <c r="I53" s="24">
        <f t="shared" si="1"/>
        <v>2.4808765763904006E-3</v>
      </c>
      <c r="J53" s="12">
        <f t="shared" si="2"/>
        <v>-9.0076797483668036E-3</v>
      </c>
      <c r="K53" s="44">
        <f t="shared" si="3"/>
        <v>3.2951058428065672E-3</v>
      </c>
    </row>
    <row r="54" spans="1:11">
      <c r="A54" s="35">
        <v>45303</v>
      </c>
      <c r="B54" s="7"/>
      <c r="C54" s="8">
        <v>97.74</v>
      </c>
      <c r="D54" s="8">
        <v>97.8</v>
      </c>
      <c r="E54" s="246">
        <v>11226.4030645</v>
      </c>
      <c r="F54" s="248">
        <v>6.5257410031942494E-3</v>
      </c>
      <c r="G54" s="247">
        <v>1.1801499</v>
      </c>
      <c r="H54" s="24">
        <f t="shared" si="0"/>
        <v>1.0964004964832297E-2</v>
      </c>
      <c r="I54" s="24">
        <f t="shared" si="1"/>
        <v>8.4553516188903277E-3</v>
      </c>
      <c r="J54" s="12">
        <f t="shared" si="2"/>
        <v>6.525741003194252E-3</v>
      </c>
      <c r="K54" s="44">
        <f t="shared" si="3"/>
        <v>2.8323867259871793E-3</v>
      </c>
    </row>
    <row r="55" spans="1:11">
      <c r="A55" s="35">
        <v>45307</v>
      </c>
      <c r="B55" s="7"/>
      <c r="C55" s="8">
        <v>98.39</v>
      </c>
      <c r="D55" s="8">
        <v>98.48</v>
      </c>
      <c r="E55" s="246">
        <v>11229.650198699999</v>
      </c>
      <c r="F55" s="248">
        <v>2.8924083531856E-4</v>
      </c>
      <c r="G55" s="247">
        <v>1.1815443000000001</v>
      </c>
      <c r="H55" s="24">
        <f t="shared" si="0"/>
        <v>6.6502967055452888E-3</v>
      </c>
      <c r="I55" s="24">
        <f t="shared" si="1"/>
        <v>6.952965235173858E-3</v>
      </c>
      <c r="J55" s="12">
        <f t="shared" si="2"/>
        <v>2.8924083531856049E-4</v>
      </c>
      <c r="K55" s="44">
        <f t="shared" si="3"/>
        <v>1.1815448190100053E-3</v>
      </c>
    </row>
    <row r="56" spans="1:11">
      <c r="A56" s="35">
        <v>45308</v>
      </c>
      <c r="B56" s="7"/>
      <c r="C56" s="8">
        <v>98.18</v>
      </c>
      <c r="D56" s="8">
        <v>97.68</v>
      </c>
      <c r="E56" s="246">
        <v>11148.560785600001</v>
      </c>
      <c r="F56" s="248">
        <v>-7.2210097077989302E-3</v>
      </c>
      <c r="G56" s="247">
        <v>1.1733646</v>
      </c>
      <c r="H56" s="24">
        <f t="shared" si="0"/>
        <v>-2.1343632482975217E-3</v>
      </c>
      <c r="I56" s="24">
        <f t="shared" si="1"/>
        <v>-8.1234768480910047E-3</v>
      </c>
      <c r="J56" s="12">
        <f t="shared" si="2"/>
        <v>-7.221009707798931E-3</v>
      </c>
      <c r="K56" s="44">
        <f t="shared" si="3"/>
        <v>-6.9228889682766415E-3</v>
      </c>
    </row>
    <row r="57" spans="1:11">
      <c r="A57" s="35">
        <v>45309</v>
      </c>
      <c r="B57" s="7"/>
      <c r="C57" s="8">
        <v>97.61</v>
      </c>
      <c r="D57" s="8">
        <v>96.96</v>
      </c>
      <c r="E57" s="246">
        <v>11185.8813589</v>
      </c>
      <c r="F57" s="248">
        <v>3.3475687147173001E-3</v>
      </c>
      <c r="G57" s="247">
        <v>1.1744671</v>
      </c>
      <c r="H57" s="24">
        <f t="shared" si="0"/>
        <v>-5.8056630678346988E-3</v>
      </c>
      <c r="I57" s="24">
        <f t="shared" si="1"/>
        <v>-7.3710073710074875E-3</v>
      </c>
      <c r="J57" s="12">
        <f t="shared" si="2"/>
        <v>3.3475687147173083E-3</v>
      </c>
      <c r="K57" s="44">
        <f t="shared" si="3"/>
        <v>9.3960564346318165E-4</v>
      </c>
    </row>
    <row r="58" spans="1:11">
      <c r="A58" s="35">
        <v>45310</v>
      </c>
      <c r="B58" s="7"/>
      <c r="C58" s="8">
        <v>97.43</v>
      </c>
      <c r="D58" s="8">
        <v>97.76</v>
      </c>
      <c r="E58" s="246">
        <v>11150.5240287</v>
      </c>
      <c r="F58" s="248">
        <v>-3.1608890766455702E-3</v>
      </c>
      <c r="G58" s="247">
        <v>1.1695222000000001</v>
      </c>
      <c r="H58" s="24">
        <f t="shared" si="0"/>
        <v>-1.8440733531399633E-3</v>
      </c>
      <c r="I58" s="24">
        <f t="shared" si="1"/>
        <v>8.2508250825084062E-3</v>
      </c>
      <c r="J58" s="12">
        <f t="shared" si="2"/>
        <v>-3.1608890766455788E-3</v>
      </c>
      <c r="K58" s="44">
        <f t="shared" si="3"/>
        <v>-4.2103350532338712E-3</v>
      </c>
    </row>
    <row r="59" spans="1:11">
      <c r="A59" s="35">
        <v>45313</v>
      </c>
      <c r="B59" s="7"/>
      <c r="C59" s="8">
        <v>97.49</v>
      </c>
      <c r="D59" s="8">
        <v>99.36</v>
      </c>
      <c r="E59" s="246">
        <v>11275.3521953</v>
      </c>
      <c r="F59" s="248">
        <v>1.1194825129178401E-2</v>
      </c>
      <c r="G59" s="247">
        <v>1.1751571999999999</v>
      </c>
      <c r="H59" s="24">
        <f t="shared" si="0"/>
        <v>6.1582674740834342E-4</v>
      </c>
      <c r="I59" s="24">
        <f t="shared" si="1"/>
        <v>1.6366612111292866E-2</v>
      </c>
      <c r="J59" s="12">
        <f t="shared" si="2"/>
        <v>1.1194825129178465E-2</v>
      </c>
      <c r="K59" s="44">
        <f t="shared" si="3"/>
        <v>4.8182069566526931E-3</v>
      </c>
    </row>
    <row r="60" spans="1:11">
      <c r="A60" s="35">
        <v>45314</v>
      </c>
      <c r="B60" s="7"/>
      <c r="C60" s="8">
        <v>95.9</v>
      </c>
      <c r="D60" s="8">
        <v>98.26</v>
      </c>
      <c r="E60" s="246">
        <v>11149.261577699999</v>
      </c>
      <c r="F60" s="248">
        <v>-1.1182854017860299E-2</v>
      </c>
      <c r="G60" s="247">
        <v>1.1695222000000001</v>
      </c>
      <c r="H60" s="24">
        <f t="shared" si="0"/>
        <v>-1.6309365063083336E-2</v>
      </c>
      <c r="I60" s="24">
        <f t="shared" si="1"/>
        <v>-1.1070853462157748E-2</v>
      </c>
      <c r="J60" s="12">
        <f t="shared" si="2"/>
        <v>-1.1182854017860344E-2</v>
      </c>
      <c r="K60" s="44">
        <f t="shared" si="3"/>
        <v>-4.7951031572626146E-3</v>
      </c>
    </row>
    <row r="61" spans="1:11">
      <c r="A61" s="35">
        <v>45315</v>
      </c>
      <c r="B61" s="7"/>
      <c r="C61" s="8">
        <v>95.32</v>
      </c>
      <c r="D61" s="8">
        <v>98.76</v>
      </c>
      <c r="E61" s="246">
        <v>11196.821562700001</v>
      </c>
      <c r="F61" s="248">
        <v>4.2657520113376004E-3</v>
      </c>
      <c r="G61" s="247">
        <v>1.1627907</v>
      </c>
      <c r="H61" s="24">
        <f t="shared" si="0"/>
        <v>-6.0479666319083192E-3</v>
      </c>
      <c r="I61" s="24">
        <f t="shared" si="1"/>
        <v>5.0885406065539485E-3</v>
      </c>
      <c r="J61" s="12">
        <f t="shared" si="2"/>
        <v>4.2657520113376091E-3</v>
      </c>
      <c r="K61" s="44">
        <f t="shared" si="3"/>
        <v>-5.7557693218650563E-3</v>
      </c>
    </row>
    <row r="62" spans="1:11">
      <c r="A62" s="35">
        <v>45316</v>
      </c>
      <c r="B62" s="7"/>
      <c r="C62" s="8">
        <v>96.2</v>
      </c>
      <c r="D62" s="8">
        <v>98.84</v>
      </c>
      <c r="E62" s="246">
        <v>11209.0179976</v>
      </c>
      <c r="F62" s="248">
        <v>1.08927652653045E-3</v>
      </c>
      <c r="G62" s="247">
        <v>1.1518747</v>
      </c>
      <c r="H62" s="24">
        <f t="shared" si="0"/>
        <v>9.2320604280320406E-3</v>
      </c>
      <c r="I62" s="24">
        <f t="shared" si="1"/>
        <v>8.1004455245037299E-4</v>
      </c>
      <c r="J62" s="12">
        <f t="shared" si="2"/>
        <v>1.0892765265304583E-3</v>
      </c>
      <c r="K62" s="44">
        <f t="shared" si="3"/>
        <v>-9.3877599812244306E-3</v>
      </c>
    </row>
    <row r="63" spans="1:11">
      <c r="A63" s="35">
        <v>45317</v>
      </c>
      <c r="B63" s="7"/>
      <c r="C63" s="8">
        <v>98.49</v>
      </c>
      <c r="D63" s="8">
        <v>99.26</v>
      </c>
      <c r="E63" s="246">
        <v>11390.127230399999</v>
      </c>
      <c r="F63" s="248">
        <v>1.6157457579136499E-2</v>
      </c>
      <c r="G63" s="247">
        <v>1.1506817</v>
      </c>
      <c r="H63" s="24">
        <f t="shared" si="0"/>
        <v>2.3804573804573792E-2</v>
      </c>
      <c r="I63" s="24">
        <f t="shared" si="1"/>
        <v>4.2492917847025691E-3</v>
      </c>
      <c r="J63" s="12">
        <f t="shared" si="2"/>
        <v>1.6157457579136558E-2</v>
      </c>
      <c r="K63" s="44">
        <f t="shared" si="3"/>
        <v>-1.0357029284522312E-3</v>
      </c>
    </row>
    <row r="64" spans="1:11">
      <c r="A64" s="35">
        <v>45320</v>
      </c>
      <c r="B64" s="7"/>
      <c r="C64" s="8">
        <v>99.39</v>
      </c>
      <c r="D64" s="8">
        <v>99.28</v>
      </c>
      <c r="E64" s="246">
        <v>11429.829376399999</v>
      </c>
      <c r="F64" s="248">
        <v>3.48566308320386E-3</v>
      </c>
      <c r="G64" s="247">
        <v>1.1508805</v>
      </c>
      <c r="H64" s="24">
        <f t="shared" si="0"/>
        <v>9.137983551629647E-3</v>
      </c>
      <c r="I64" s="24">
        <f t="shared" si="1"/>
        <v>2.0149103364897059E-4</v>
      </c>
      <c r="J64" s="12">
        <f t="shared" si="2"/>
        <v>3.4856630832038604E-3</v>
      </c>
      <c r="K64" s="44">
        <f t="shared" si="3"/>
        <v>1.7276715185432501E-4</v>
      </c>
    </row>
    <row r="65" spans="1:11">
      <c r="A65" s="35">
        <v>45321</v>
      </c>
      <c r="B65" s="7"/>
      <c r="C65" s="8">
        <v>99.03</v>
      </c>
      <c r="D65" s="8">
        <v>99.1</v>
      </c>
      <c r="E65" s="246">
        <v>11443.130887699999</v>
      </c>
      <c r="F65" s="248">
        <v>1.16375414382519E-3</v>
      </c>
      <c r="G65" s="247">
        <v>1.1502846</v>
      </c>
      <c r="H65" s="24">
        <f t="shared" si="0"/>
        <v>-3.6220947781466784E-3</v>
      </c>
      <c r="I65" s="24">
        <f t="shared" si="1"/>
        <v>-1.8130539887188935E-3</v>
      </c>
      <c r="J65" s="12">
        <f t="shared" si="2"/>
        <v>1.1637541438251908E-3</v>
      </c>
      <c r="K65" s="44">
        <f t="shared" si="3"/>
        <v>-5.177774755936726E-4</v>
      </c>
    </row>
    <row r="66" spans="1:11">
      <c r="A66" s="35">
        <v>45322</v>
      </c>
      <c r="B66" s="7"/>
      <c r="C66" s="8">
        <v>98.56</v>
      </c>
      <c r="D66" s="8">
        <v>99.1</v>
      </c>
      <c r="E66" s="246">
        <v>11333.376722499999</v>
      </c>
      <c r="F66" s="248">
        <v>-9.5912706301360898E-3</v>
      </c>
      <c r="G66" s="247">
        <v>1.1475128000000001</v>
      </c>
      <c r="H66" s="24">
        <f t="shared" si="0"/>
        <v>-4.7460365545793914E-3</v>
      </c>
      <c r="I66" s="24">
        <f t="shared" si="1"/>
        <v>0</v>
      </c>
      <c r="J66" s="12">
        <f t="shared" si="2"/>
        <v>-9.591270630136095E-3</v>
      </c>
      <c r="K66" s="44">
        <f t="shared" si="3"/>
        <v>-2.4096645299779285E-3</v>
      </c>
    </row>
    <row r="67" spans="1:11">
      <c r="A67" s="35">
        <v>45323</v>
      </c>
      <c r="B67" s="7"/>
      <c r="C67" s="8">
        <v>98.35</v>
      </c>
      <c r="D67" s="8">
        <v>97.76</v>
      </c>
      <c r="E67" s="246">
        <v>11213.9095333</v>
      </c>
      <c r="F67" s="248">
        <v>-1.05411822200194E-2</v>
      </c>
      <c r="G67" s="247">
        <v>1.1582787999999999</v>
      </c>
      <c r="H67" s="24">
        <f t="shared" si="0"/>
        <v>-2.1306818181818787E-3</v>
      </c>
      <c r="I67" s="24">
        <f t="shared" si="1"/>
        <v>-1.3521695257315725E-2</v>
      </c>
      <c r="J67" s="12">
        <f t="shared" si="2"/>
        <v>-1.0541182220019429E-2</v>
      </c>
      <c r="K67" s="44">
        <f t="shared" si="3"/>
        <v>9.3820304226670537E-3</v>
      </c>
    </row>
    <row r="68" spans="1:11">
      <c r="A68" s="35">
        <v>45324</v>
      </c>
      <c r="B68" s="7"/>
      <c r="C68" s="8">
        <v>98.57</v>
      </c>
      <c r="D68" s="8">
        <v>98.48</v>
      </c>
      <c r="E68" s="246">
        <v>11239.6812106</v>
      </c>
      <c r="F68" s="248">
        <v>2.29818844386686E-3</v>
      </c>
      <c r="G68" s="247">
        <v>1.1521399999999999</v>
      </c>
      <c r="H68" s="24">
        <f t="shared" si="0"/>
        <v>2.2369089984748403E-3</v>
      </c>
      <c r="I68" s="24">
        <f t="shared" si="1"/>
        <v>7.3649754500817455E-3</v>
      </c>
      <c r="J68" s="12">
        <f t="shared" si="2"/>
        <v>2.2981884438668665E-3</v>
      </c>
      <c r="K68" s="44">
        <f t="shared" si="3"/>
        <v>-5.2999329695061492E-3</v>
      </c>
    </row>
    <row r="69" spans="1:11">
      <c r="A69" s="35">
        <v>45327</v>
      </c>
      <c r="B69" s="7"/>
      <c r="C69" s="8">
        <v>100.06</v>
      </c>
      <c r="D69" s="8">
        <v>100.05</v>
      </c>
      <c r="E69" s="246">
        <v>11274.474773100001</v>
      </c>
      <c r="F69" s="248">
        <v>3.09560047549983E-3</v>
      </c>
      <c r="G69" s="247">
        <v>1.15848</v>
      </c>
      <c r="H69" s="24">
        <f t="shared" si="0"/>
        <v>1.511616110378422E-2</v>
      </c>
      <c r="I69" s="24">
        <f t="shared" si="1"/>
        <v>1.5942323314378504E-2</v>
      </c>
      <c r="J69" s="12">
        <f t="shared" si="2"/>
        <v>3.0956004754998379E-3</v>
      </c>
      <c r="K69" s="44">
        <f t="shared" si="3"/>
        <v>5.5028034787438784E-3</v>
      </c>
    </row>
    <row r="70" spans="1:11">
      <c r="A70" s="35">
        <v>45328</v>
      </c>
      <c r="B70" s="7"/>
      <c r="C70" s="8">
        <v>99.39</v>
      </c>
      <c r="D70" s="8">
        <v>102.2</v>
      </c>
      <c r="E70" s="246">
        <v>11245.032671200001</v>
      </c>
      <c r="F70" s="248">
        <v>-2.6113945432071298E-3</v>
      </c>
      <c r="G70" s="247">
        <v>1.1576754</v>
      </c>
      <c r="H70" s="24">
        <f t="shared" si="0"/>
        <v>-6.6959824105536914E-3</v>
      </c>
      <c r="I70" s="24">
        <f t="shared" si="1"/>
        <v>2.1489255372313831E-2</v>
      </c>
      <c r="J70" s="12">
        <f t="shared" si="2"/>
        <v>-2.611394543207135E-3</v>
      </c>
      <c r="K70" s="44">
        <f t="shared" si="3"/>
        <v>-6.9453076444991879E-4</v>
      </c>
    </row>
    <row r="71" spans="1:11">
      <c r="A71" s="35">
        <v>45329</v>
      </c>
      <c r="B71" s="7"/>
      <c r="C71" s="8">
        <v>98.63</v>
      </c>
      <c r="D71" s="8">
        <v>102.45</v>
      </c>
      <c r="E71" s="246">
        <v>11210.247312400001</v>
      </c>
      <c r="F71" s="248">
        <v>-3.0933977532221404E-3</v>
      </c>
      <c r="G71" s="247">
        <v>1.1582787999999999</v>
      </c>
      <c r="H71" s="24">
        <f t="shared" si="0"/>
        <v>-7.6466445316430987E-3</v>
      </c>
      <c r="I71" s="24">
        <f t="shared" si="1"/>
        <v>2.4461839530331986E-3</v>
      </c>
      <c r="J71" s="12">
        <f t="shared" si="2"/>
        <v>-3.093397753222149E-3</v>
      </c>
      <c r="K71" s="44">
        <f t="shared" si="3"/>
        <v>5.2121691451678664E-4</v>
      </c>
    </row>
    <row r="72" spans="1:11">
      <c r="A72" s="35">
        <v>45330</v>
      </c>
      <c r="B72" s="7"/>
      <c r="C72" s="8">
        <v>98.34</v>
      </c>
      <c r="D72" s="8">
        <v>100.2</v>
      </c>
      <c r="E72" s="246">
        <v>11138.854293099999</v>
      </c>
      <c r="F72" s="248">
        <v>-6.3685498910476205E-3</v>
      </c>
      <c r="G72" s="247">
        <v>1.165705</v>
      </c>
      <c r="H72" s="24">
        <f t="shared" si="0"/>
        <v>-2.940281861502525E-3</v>
      </c>
      <c r="I72" s="24">
        <f t="shared" si="1"/>
        <v>-2.1961932650073179E-2</v>
      </c>
      <c r="J72" s="12">
        <f t="shared" si="2"/>
        <v>-6.3685498910476257E-3</v>
      </c>
      <c r="K72" s="44">
        <f t="shared" si="3"/>
        <v>6.4114097573053641E-3</v>
      </c>
    </row>
    <row r="73" spans="1:11">
      <c r="A73" s="35">
        <v>45331</v>
      </c>
      <c r="B73" s="7"/>
      <c r="C73" s="8">
        <v>95.41</v>
      </c>
      <c r="D73" s="8">
        <v>99.78</v>
      </c>
      <c r="E73" s="246">
        <v>11091.582367000001</v>
      </c>
      <c r="F73" s="248">
        <v>-4.2438768706474202E-3</v>
      </c>
      <c r="G73" s="247">
        <v>1.1606988</v>
      </c>
      <c r="H73" s="24">
        <f t="shared" si="0"/>
        <v>-2.9794590197274817E-2</v>
      </c>
      <c r="I73" s="24">
        <f t="shared" si="1"/>
        <v>-4.1916167664670656E-3</v>
      </c>
      <c r="J73" s="12">
        <f t="shared" si="2"/>
        <v>-4.2438768706474228E-3</v>
      </c>
      <c r="K73" s="44">
        <f t="shared" si="3"/>
        <v>-4.2945685229109909E-3</v>
      </c>
    </row>
    <row r="74" spans="1:11">
      <c r="A74" s="35">
        <v>45334</v>
      </c>
      <c r="B74" s="7"/>
      <c r="C74" s="8">
        <v>96.8</v>
      </c>
      <c r="D74" s="8">
        <v>100.45</v>
      </c>
      <c r="E74" s="246">
        <v>11179.2965862</v>
      </c>
      <c r="F74" s="248">
        <v>7.9081790404378297E-3</v>
      </c>
      <c r="G74" s="247">
        <v>1.1552681</v>
      </c>
      <c r="H74" s="24">
        <f t="shared" ref="H74:H137" si="4">(C74/C73)-1</f>
        <v>1.456870349020023E-2</v>
      </c>
      <c r="I74" s="24">
        <f t="shared" ref="I74:I137" si="5">(D74/D73)-1</f>
        <v>6.7147724994989222E-3</v>
      </c>
      <c r="J74" s="12">
        <f t="shared" ref="J74:J137" si="6">(E74/E73)-1</f>
        <v>7.9081790404378349E-3</v>
      </c>
      <c r="K74" s="44">
        <f t="shared" ref="K74:K137" si="7">(G74/G73)-1</f>
        <v>-4.678819345725227E-3</v>
      </c>
    </row>
    <row r="75" spans="1:11">
      <c r="A75" s="35">
        <v>45335</v>
      </c>
      <c r="B75" s="7"/>
      <c r="C75" s="8">
        <v>96.4</v>
      </c>
      <c r="D75" s="8">
        <v>101.95</v>
      </c>
      <c r="E75" s="246">
        <v>11142.7909965</v>
      </c>
      <c r="F75" s="248">
        <v>-3.2654639241849097E-3</v>
      </c>
      <c r="G75" s="247">
        <v>1.1473811</v>
      </c>
      <c r="H75" s="24">
        <f t="shared" si="4"/>
        <v>-4.1322314049585529E-3</v>
      </c>
      <c r="I75" s="24">
        <f t="shared" si="5"/>
        <v>1.4932802389248323E-2</v>
      </c>
      <c r="J75" s="12">
        <f t="shared" si="6"/>
        <v>-3.2654639241849193E-3</v>
      </c>
      <c r="K75" s="44">
        <f t="shared" si="7"/>
        <v>-6.8269867401341555E-3</v>
      </c>
    </row>
    <row r="76" spans="1:11">
      <c r="A76" s="35">
        <v>45336</v>
      </c>
      <c r="B76" s="7"/>
      <c r="C76" s="8">
        <v>96.83</v>
      </c>
      <c r="D76" s="8">
        <v>102.5</v>
      </c>
      <c r="E76" s="246">
        <v>11213.643471400001</v>
      </c>
      <c r="F76" s="248">
        <v>6.3585931856979805E-3</v>
      </c>
      <c r="G76" s="247">
        <v>1.1488309999999999</v>
      </c>
      <c r="H76" s="24">
        <f t="shared" si="4"/>
        <v>4.4605809128630547E-3</v>
      </c>
      <c r="I76" s="24">
        <f t="shared" si="5"/>
        <v>5.3948013732221245E-3</v>
      </c>
      <c r="J76" s="12">
        <f t="shared" si="6"/>
        <v>6.3585931856979805E-3</v>
      </c>
      <c r="K76" s="44">
        <f t="shared" si="7"/>
        <v>1.2636603478999309E-3</v>
      </c>
    </row>
    <row r="77" spans="1:11">
      <c r="A77" s="35">
        <v>45337</v>
      </c>
      <c r="B77" s="7"/>
      <c r="C77" s="8">
        <v>98.11</v>
      </c>
      <c r="D77" s="8">
        <v>103.6</v>
      </c>
      <c r="E77" s="246">
        <v>11284.1798881</v>
      </c>
      <c r="F77" s="248">
        <v>6.2902317948576505E-3</v>
      </c>
      <c r="G77" s="247">
        <v>1.147052</v>
      </c>
      <c r="H77" s="24">
        <f t="shared" si="4"/>
        <v>1.3219043684808529E-2</v>
      </c>
      <c r="I77" s="24">
        <f t="shared" si="5"/>
        <v>1.073170731707318E-2</v>
      </c>
      <c r="J77" s="12">
        <f t="shared" si="6"/>
        <v>6.2902317948576592E-3</v>
      </c>
      <c r="K77" s="44">
        <f t="shared" si="7"/>
        <v>-1.5485306367951646E-3</v>
      </c>
    </row>
    <row r="78" spans="1:11">
      <c r="A78" s="35">
        <v>45338</v>
      </c>
      <c r="B78" s="7"/>
      <c r="C78" s="8">
        <v>97.15</v>
      </c>
      <c r="D78" s="8">
        <v>100.95</v>
      </c>
      <c r="E78" s="246">
        <v>11310.6081835</v>
      </c>
      <c r="F78" s="248">
        <v>2.3420661192996499E-3</v>
      </c>
      <c r="G78" s="247">
        <v>1.1433145</v>
      </c>
      <c r="H78" s="24">
        <f t="shared" si="4"/>
        <v>-9.7849352767301889E-3</v>
      </c>
      <c r="I78" s="24">
        <f t="shared" si="5"/>
        <v>-2.55791505791505E-2</v>
      </c>
      <c r="J78" s="12">
        <f t="shared" si="6"/>
        <v>2.3420661192996572E-3</v>
      </c>
      <c r="K78" s="44">
        <f t="shared" si="7"/>
        <v>-3.2583527163545511E-3</v>
      </c>
    </row>
    <row r="79" spans="1:11">
      <c r="A79" s="35">
        <v>45342</v>
      </c>
      <c r="B79" s="7"/>
      <c r="C79" s="8">
        <v>99.6</v>
      </c>
      <c r="D79" s="8">
        <v>102.75</v>
      </c>
      <c r="E79" s="246">
        <v>11456.9613811</v>
      </c>
      <c r="F79" s="248">
        <v>1.29394631328048E-2</v>
      </c>
      <c r="G79" s="247">
        <v>1.1428571999999999</v>
      </c>
      <c r="H79" s="24">
        <f t="shared" si="4"/>
        <v>2.5218733916623659E-2</v>
      </c>
      <c r="I79" s="24">
        <f t="shared" si="5"/>
        <v>1.7830609212481363E-2</v>
      </c>
      <c r="J79" s="12">
        <f t="shared" si="6"/>
        <v>1.2939463132804807E-2</v>
      </c>
      <c r="K79" s="44">
        <f t="shared" si="7"/>
        <v>-3.9997743403075159E-4</v>
      </c>
    </row>
    <row r="80" spans="1:11">
      <c r="A80" s="35">
        <v>45343</v>
      </c>
      <c r="B80" s="7"/>
      <c r="C80" s="8">
        <v>99.12</v>
      </c>
      <c r="D80" s="8">
        <v>101.9</v>
      </c>
      <c r="E80" s="246">
        <v>11428.740408400001</v>
      </c>
      <c r="F80" s="248">
        <v>-2.4632161845770102E-3</v>
      </c>
      <c r="G80" s="247">
        <v>1.1412268000000001</v>
      </c>
      <c r="H80" s="24">
        <f t="shared" si="4"/>
        <v>-4.8192771084336616E-3</v>
      </c>
      <c r="I80" s="24">
        <f t="shared" si="5"/>
        <v>-8.2725060827250063E-3</v>
      </c>
      <c r="J80" s="12">
        <f t="shared" si="6"/>
        <v>-2.4632161845770106E-3</v>
      </c>
      <c r="K80" s="44">
        <f t="shared" si="7"/>
        <v>-1.4265999286698916E-3</v>
      </c>
    </row>
    <row r="81" spans="1:11">
      <c r="A81" s="35">
        <v>45344</v>
      </c>
      <c r="B81" s="7"/>
      <c r="C81" s="8">
        <v>94.24</v>
      </c>
      <c r="D81" s="8">
        <v>103.95</v>
      </c>
      <c r="E81" s="246">
        <v>11386.1670405</v>
      </c>
      <c r="F81" s="248">
        <v>-3.7251146126925298E-3</v>
      </c>
      <c r="G81" s="247">
        <v>1.1280953</v>
      </c>
      <c r="H81" s="24">
        <f t="shared" si="4"/>
        <v>-4.9233252623083201E-2</v>
      </c>
      <c r="I81" s="24">
        <f t="shared" si="5"/>
        <v>2.0117762512266824E-2</v>
      </c>
      <c r="J81" s="12">
        <f t="shared" si="6"/>
        <v>-3.7251146126925372E-3</v>
      </c>
      <c r="K81" s="44">
        <f t="shared" si="7"/>
        <v>-1.1506477064856968E-2</v>
      </c>
    </row>
    <row r="82" spans="1:11">
      <c r="A82" s="35">
        <v>45345</v>
      </c>
      <c r="B82" s="7"/>
      <c r="C82" s="8">
        <v>95.35</v>
      </c>
      <c r="D82" s="8">
        <v>106.5</v>
      </c>
      <c r="E82" s="246">
        <v>11496.7559702</v>
      </c>
      <c r="F82" s="248">
        <v>9.7125687078576297E-3</v>
      </c>
      <c r="G82" s="247">
        <v>1.1282224999999999</v>
      </c>
      <c r="H82" s="24">
        <f t="shared" si="4"/>
        <v>1.1778438030560334E-2</v>
      </c>
      <c r="I82" s="24">
        <f t="shared" si="5"/>
        <v>2.4531024531024404E-2</v>
      </c>
      <c r="J82" s="12">
        <f t="shared" si="6"/>
        <v>9.7125687078576384E-3</v>
      </c>
      <c r="K82" s="44">
        <f t="shared" si="7"/>
        <v>1.1275643112762523E-4</v>
      </c>
    </row>
    <row r="83" spans="1:11">
      <c r="A83" s="35">
        <v>45348</v>
      </c>
      <c r="B83" s="7"/>
      <c r="C83" s="8">
        <v>94.29</v>
      </c>
      <c r="D83" s="8">
        <v>105.85</v>
      </c>
      <c r="E83" s="246">
        <v>11452.880963400001</v>
      </c>
      <c r="F83" s="248">
        <v>-3.8162945194039001E-3</v>
      </c>
      <c r="G83" s="247">
        <v>1.1359117999999999</v>
      </c>
      <c r="H83" s="24">
        <f t="shared" si="4"/>
        <v>-1.1116937598321885E-2</v>
      </c>
      <c r="I83" s="24">
        <f t="shared" si="5"/>
        <v>-6.1032863849765917E-3</v>
      </c>
      <c r="J83" s="12">
        <f t="shared" si="6"/>
        <v>-3.8162945194039066E-3</v>
      </c>
      <c r="K83" s="44">
        <f t="shared" si="7"/>
        <v>6.8154109672515784E-3</v>
      </c>
    </row>
    <row r="84" spans="1:11">
      <c r="A84" s="35">
        <v>45349</v>
      </c>
      <c r="B84" s="7"/>
      <c r="C84" s="8">
        <v>93.68</v>
      </c>
      <c r="D84" s="8">
        <v>105</v>
      </c>
      <c r="E84" s="246">
        <v>11440.4536847</v>
      </c>
      <c r="F84" s="248">
        <v>-1.0850788321047299E-3</v>
      </c>
      <c r="G84" s="247">
        <v>1.1353960000000001</v>
      </c>
      <c r="H84" s="24">
        <f t="shared" si="4"/>
        <v>-6.4694029059285674E-3</v>
      </c>
      <c r="I84" s="24">
        <f t="shared" si="5"/>
        <v>-8.030231459612569E-3</v>
      </c>
      <c r="J84" s="12">
        <f t="shared" si="6"/>
        <v>-1.0850788321047355E-3</v>
      </c>
      <c r="K84" s="44">
        <f t="shared" si="7"/>
        <v>-4.5408455128281844E-4</v>
      </c>
    </row>
    <row r="85" spans="1:11">
      <c r="A85" s="35">
        <v>45350</v>
      </c>
      <c r="B85" s="7"/>
      <c r="C85" s="8">
        <v>92.05</v>
      </c>
      <c r="D85" s="8">
        <v>105.8</v>
      </c>
      <c r="E85" s="246">
        <v>11414.382418200001</v>
      </c>
      <c r="F85" s="248">
        <v>-2.27886648716268E-3</v>
      </c>
      <c r="G85" s="247">
        <v>1.1337227000000001</v>
      </c>
      <c r="H85" s="24">
        <f t="shared" si="4"/>
        <v>-1.7399658411614061E-2</v>
      </c>
      <c r="I85" s="24">
        <f t="shared" si="5"/>
        <v>7.6190476190476364E-3</v>
      </c>
      <c r="J85" s="12">
        <f t="shared" si="6"/>
        <v>-2.2788664871626896E-3</v>
      </c>
      <c r="K85" s="44">
        <f t="shared" si="7"/>
        <v>-1.4737589352085134E-3</v>
      </c>
    </row>
    <row r="86" spans="1:11">
      <c r="A86" s="35">
        <v>45351</v>
      </c>
      <c r="B86" s="7"/>
      <c r="C86" s="8">
        <v>91.76</v>
      </c>
      <c r="D86" s="8">
        <v>106.6</v>
      </c>
      <c r="E86" s="246">
        <v>11438.8573591</v>
      </c>
      <c r="F86" s="248">
        <v>2.1442194595631099E-3</v>
      </c>
      <c r="G86" s="247">
        <v>1.1362989999999999</v>
      </c>
      <c r="H86" s="24">
        <f t="shared" si="4"/>
        <v>-3.1504617055947426E-3</v>
      </c>
      <c r="I86" s="24">
        <f t="shared" si="5"/>
        <v>7.5614366729679361E-3</v>
      </c>
      <c r="J86" s="12">
        <f t="shared" si="6"/>
        <v>2.1442194595631126E-3</v>
      </c>
      <c r="K86" s="44">
        <f t="shared" si="7"/>
        <v>2.2724251706345289E-3</v>
      </c>
    </row>
    <row r="87" spans="1:11">
      <c r="A87" s="35">
        <v>45352</v>
      </c>
      <c r="B87" s="7"/>
      <c r="C87" s="8">
        <v>92.54</v>
      </c>
      <c r="D87" s="8">
        <v>106.3</v>
      </c>
      <c r="E87" s="246">
        <v>11493.924710400001</v>
      </c>
      <c r="F87" s="248">
        <v>4.8140604932180803E-3</v>
      </c>
      <c r="G87" s="247">
        <v>1.135267</v>
      </c>
      <c r="H87" s="24">
        <f t="shared" si="4"/>
        <v>8.5004359197906609E-3</v>
      </c>
      <c r="I87" s="24">
        <f t="shared" si="5"/>
        <v>-2.8142589118198558E-3</v>
      </c>
      <c r="J87" s="12">
        <f t="shared" si="6"/>
        <v>4.8140604932180864E-3</v>
      </c>
      <c r="K87" s="44">
        <f t="shared" si="7"/>
        <v>-9.0821165907906121E-4</v>
      </c>
    </row>
    <row r="88" spans="1:11">
      <c r="A88" s="35">
        <v>45355</v>
      </c>
      <c r="B88" s="7"/>
      <c r="C88" s="8">
        <v>92.02</v>
      </c>
      <c r="D88" s="8">
        <v>106.65</v>
      </c>
      <c r="E88" s="246">
        <v>11477.801288500001</v>
      </c>
      <c r="F88" s="248">
        <v>-1.4027777548787301E-3</v>
      </c>
      <c r="G88" s="247">
        <v>1.1337868</v>
      </c>
      <c r="H88" s="24">
        <f t="shared" si="4"/>
        <v>-5.6191917008862058E-3</v>
      </c>
      <c r="I88" s="24">
        <f t="shared" si="5"/>
        <v>3.2925682031985648E-3</v>
      </c>
      <c r="J88" s="12">
        <f t="shared" si="6"/>
        <v>-1.4027777548787368E-3</v>
      </c>
      <c r="K88" s="44">
        <f t="shared" si="7"/>
        <v>-1.3038342522068147E-3</v>
      </c>
    </row>
    <row r="89" spans="1:11">
      <c r="A89" s="35">
        <v>45356</v>
      </c>
      <c r="B89" s="7"/>
      <c r="C89" s="8">
        <v>91.93</v>
      </c>
      <c r="D89" s="8">
        <v>107.3</v>
      </c>
      <c r="E89" s="246">
        <v>11463.7421651</v>
      </c>
      <c r="F89" s="248">
        <v>-1.2248969159351899E-3</v>
      </c>
      <c r="G89" s="247">
        <v>1.1350093999999999</v>
      </c>
      <c r="H89" s="24">
        <f t="shared" si="4"/>
        <v>-9.780482503802812E-4</v>
      </c>
      <c r="I89" s="24">
        <f t="shared" si="5"/>
        <v>6.0947022972339671E-3</v>
      </c>
      <c r="J89" s="12">
        <f t="shared" si="6"/>
        <v>-1.2248969159351919E-3</v>
      </c>
      <c r="K89" s="44">
        <f t="shared" si="7"/>
        <v>1.0783332457213746E-3</v>
      </c>
    </row>
    <row r="90" spans="1:11">
      <c r="A90" s="35">
        <v>45357</v>
      </c>
      <c r="B90" s="7"/>
      <c r="C90" s="8">
        <v>92.83</v>
      </c>
      <c r="D90" s="8">
        <v>108.1</v>
      </c>
      <c r="E90" s="246">
        <v>11546.4748968</v>
      </c>
      <c r="F90" s="248">
        <v>7.2169044373546695E-3</v>
      </c>
      <c r="G90" s="247">
        <v>1.1356539000000001</v>
      </c>
      <c r="H90" s="24">
        <f t="shared" si="4"/>
        <v>9.790057652561579E-3</v>
      </c>
      <c r="I90" s="24">
        <f t="shared" si="5"/>
        <v>7.455731593662529E-3</v>
      </c>
      <c r="J90" s="12">
        <f t="shared" si="6"/>
        <v>7.2169044373546765E-3</v>
      </c>
      <c r="K90" s="44">
        <f t="shared" si="7"/>
        <v>5.6783670690307986E-4</v>
      </c>
    </row>
    <row r="91" spans="1:11">
      <c r="A91" s="35">
        <v>45358</v>
      </c>
      <c r="B91" s="7"/>
      <c r="C91" s="8">
        <v>93.31</v>
      </c>
      <c r="D91" s="8">
        <v>109</v>
      </c>
      <c r="E91" s="246">
        <v>11575.374449200001</v>
      </c>
      <c r="F91" s="248">
        <v>2.5028896401975099E-3</v>
      </c>
      <c r="G91" s="247">
        <v>1.1373329000000001</v>
      </c>
      <c r="H91" s="24">
        <f t="shared" si="4"/>
        <v>5.1707422169557926E-3</v>
      </c>
      <c r="I91" s="24">
        <f t="shared" si="5"/>
        <v>8.3256244218317121E-3</v>
      </c>
      <c r="J91" s="12">
        <f t="shared" si="6"/>
        <v>2.5028896401975143E-3</v>
      </c>
      <c r="K91" s="44">
        <f t="shared" si="7"/>
        <v>1.4784433884302839E-3</v>
      </c>
    </row>
    <row r="92" spans="1:11">
      <c r="A92" s="35">
        <v>45359</v>
      </c>
      <c r="B92" s="7"/>
      <c r="C92" s="8">
        <v>93.81</v>
      </c>
      <c r="D92" s="8">
        <v>109</v>
      </c>
      <c r="E92" s="246">
        <v>11647.1398305</v>
      </c>
      <c r="F92" s="248">
        <v>6.1998323782053097E-3</v>
      </c>
      <c r="G92" s="247">
        <v>1.1362989999999999</v>
      </c>
      <c r="H92" s="24">
        <f t="shared" si="4"/>
        <v>5.358482477762383E-3</v>
      </c>
      <c r="I92" s="24">
        <f t="shared" si="5"/>
        <v>0</v>
      </c>
      <c r="J92" s="12">
        <f t="shared" si="6"/>
        <v>6.1998323782053166E-3</v>
      </c>
      <c r="K92" s="44">
        <f t="shared" si="7"/>
        <v>-9.0905661833939888E-4</v>
      </c>
    </row>
    <row r="93" spans="1:11">
      <c r="A93" s="35">
        <v>45362</v>
      </c>
      <c r="B93" s="7"/>
      <c r="C93" s="8">
        <v>93.99</v>
      </c>
      <c r="D93" s="8">
        <v>109.85</v>
      </c>
      <c r="E93" s="246">
        <v>11685.1927161</v>
      </c>
      <c r="F93" s="248">
        <v>3.26714422199625E-3</v>
      </c>
      <c r="G93" s="247">
        <v>1.1356539000000001</v>
      </c>
      <c r="H93" s="24">
        <f t="shared" si="4"/>
        <v>1.9187719859288244E-3</v>
      </c>
      <c r="I93" s="24">
        <f t="shared" si="5"/>
        <v>7.7981651376146655E-3</v>
      </c>
      <c r="J93" s="12">
        <f t="shared" si="6"/>
        <v>3.2671442219962543E-3</v>
      </c>
      <c r="K93" s="44">
        <f t="shared" si="7"/>
        <v>-5.67720291930085E-4</v>
      </c>
    </row>
    <row r="94" spans="1:11">
      <c r="A94" s="35">
        <v>45363</v>
      </c>
      <c r="B94" s="7"/>
      <c r="C94" s="8">
        <v>94.27</v>
      </c>
      <c r="D94" s="8">
        <v>110.5</v>
      </c>
      <c r="E94" s="246">
        <v>11762.054752</v>
      </c>
      <c r="F94" s="248">
        <v>6.5777294193958202E-3</v>
      </c>
      <c r="G94" s="247">
        <v>1.1298797</v>
      </c>
      <c r="H94" s="24">
        <f t="shared" si="4"/>
        <v>2.9790403234386531E-3</v>
      </c>
      <c r="I94" s="24">
        <f t="shared" si="5"/>
        <v>5.9171597633136397E-3</v>
      </c>
      <c r="J94" s="12">
        <f t="shared" si="6"/>
        <v>6.577729419395828E-3</v>
      </c>
      <c r="K94" s="44">
        <f t="shared" si="7"/>
        <v>-5.0844715982572009E-3</v>
      </c>
    </row>
    <row r="95" spans="1:11">
      <c r="A95" s="35">
        <v>45364</v>
      </c>
      <c r="B95" s="7"/>
      <c r="C95" s="8">
        <v>95.48</v>
      </c>
      <c r="D95" s="8">
        <v>111.8</v>
      </c>
      <c r="E95" s="246">
        <v>11790.4604163</v>
      </c>
      <c r="F95" s="248">
        <v>2.4150256820705198E-3</v>
      </c>
      <c r="G95" s="247">
        <v>1.1302627000000001</v>
      </c>
      <c r="H95" s="24">
        <f t="shared" si="4"/>
        <v>1.2835472578763163E-2</v>
      </c>
      <c r="I95" s="24">
        <f t="shared" si="5"/>
        <v>1.1764705882352899E-2</v>
      </c>
      <c r="J95" s="12">
        <f t="shared" si="6"/>
        <v>2.4150256820705263E-3</v>
      </c>
      <c r="K95" s="44">
        <f t="shared" si="7"/>
        <v>3.3897414034433915E-4</v>
      </c>
    </row>
    <row r="96" spans="1:11">
      <c r="A96" s="35">
        <v>45365</v>
      </c>
      <c r="B96" s="7"/>
      <c r="C96" s="8">
        <v>95.08</v>
      </c>
      <c r="D96" s="8">
        <v>113.15</v>
      </c>
      <c r="E96" s="246">
        <v>11720.6962396</v>
      </c>
      <c r="F96" s="248">
        <v>-5.9170019012618705E-3</v>
      </c>
      <c r="G96" s="247">
        <v>1.1328236</v>
      </c>
      <c r="H96" s="24">
        <f t="shared" si="4"/>
        <v>-4.1893590280687176E-3</v>
      </c>
      <c r="I96" s="24">
        <f t="shared" si="5"/>
        <v>1.2075134168157531E-2</v>
      </c>
      <c r="J96" s="12">
        <f t="shared" si="6"/>
        <v>-5.9170019012618758E-3</v>
      </c>
      <c r="K96" s="44">
        <f t="shared" si="7"/>
        <v>2.2657564475940806E-3</v>
      </c>
    </row>
    <row r="97" spans="1:11">
      <c r="A97" s="35">
        <v>45366</v>
      </c>
      <c r="B97" s="7"/>
      <c r="C97" s="8">
        <v>95.23</v>
      </c>
      <c r="D97" s="8">
        <v>113.75</v>
      </c>
      <c r="E97" s="246">
        <v>11676.131710600001</v>
      </c>
      <c r="F97" s="248">
        <v>-3.8022083406130604E-3</v>
      </c>
      <c r="G97" s="247">
        <v>1.1341083000000001</v>
      </c>
      <c r="H97" s="24">
        <f t="shared" si="4"/>
        <v>1.5776188472864661E-3</v>
      </c>
      <c r="I97" s="24">
        <f t="shared" si="5"/>
        <v>5.3026955368977724E-3</v>
      </c>
      <c r="J97" s="12">
        <f t="shared" si="6"/>
        <v>-3.8022083406130669E-3</v>
      </c>
      <c r="K97" s="44">
        <f t="shared" si="7"/>
        <v>1.134068887689077E-3</v>
      </c>
    </row>
    <row r="98" spans="1:11">
      <c r="A98" s="35">
        <v>45369</v>
      </c>
      <c r="B98" s="7"/>
      <c r="C98" s="8">
        <v>94.69</v>
      </c>
      <c r="D98" s="8">
        <v>114.6</v>
      </c>
      <c r="E98" s="246">
        <v>11623.630338000001</v>
      </c>
      <c r="F98" s="248">
        <v>-4.4964697128533297E-3</v>
      </c>
      <c r="G98" s="247">
        <v>1.1375917</v>
      </c>
      <c r="H98" s="24">
        <f t="shared" si="4"/>
        <v>-5.6704819909693116E-3</v>
      </c>
      <c r="I98" s="24">
        <f t="shared" si="5"/>
        <v>7.4725274725273572E-3</v>
      </c>
      <c r="J98" s="12">
        <f t="shared" si="6"/>
        <v>-4.4964697128533349E-3</v>
      </c>
      <c r="K98" s="44">
        <f t="shared" si="7"/>
        <v>3.0714879698878761E-3</v>
      </c>
    </row>
    <row r="99" spans="1:11">
      <c r="A99" s="35">
        <v>45370</v>
      </c>
      <c r="B99" s="7"/>
      <c r="C99" s="8">
        <v>93.81</v>
      </c>
      <c r="D99" s="8">
        <v>116</v>
      </c>
      <c r="E99" s="246">
        <v>11577.797114700001</v>
      </c>
      <c r="F99" s="248">
        <v>-3.9431074429614396E-3</v>
      </c>
      <c r="G99" s="247">
        <v>1.1422696000000001</v>
      </c>
      <c r="H99" s="24">
        <f t="shared" si="4"/>
        <v>-9.2934840004224029E-3</v>
      </c>
      <c r="I99" s="24">
        <f t="shared" si="5"/>
        <v>1.221640488656206E-2</v>
      </c>
      <c r="J99" s="12">
        <f t="shared" si="6"/>
        <v>-3.9431074429614466E-3</v>
      </c>
      <c r="K99" s="44">
        <f t="shared" si="7"/>
        <v>4.1121080612667171E-3</v>
      </c>
    </row>
    <row r="100" spans="1:11">
      <c r="A100" s="35">
        <v>45371</v>
      </c>
      <c r="B100" s="7"/>
      <c r="C100" s="8">
        <v>94.55</v>
      </c>
      <c r="D100" s="8">
        <v>116.1</v>
      </c>
      <c r="E100" s="246">
        <v>11618.6268779</v>
      </c>
      <c r="F100" s="248">
        <v>3.5265571503373299E-3</v>
      </c>
      <c r="G100" s="247">
        <v>1.138628</v>
      </c>
      <c r="H100" s="24">
        <f t="shared" si="4"/>
        <v>7.8882848310413145E-3</v>
      </c>
      <c r="I100" s="24">
        <f t="shared" si="5"/>
        <v>8.6206896551721535E-4</v>
      </c>
      <c r="J100" s="12">
        <f t="shared" si="6"/>
        <v>3.5265571503373394E-3</v>
      </c>
      <c r="K100" s="44">
        <f t="shared" si="7"/>
        <v>-3.1880389708349721E-3</v>
      </c>
    </row>
    <row r="101" spans="1:11">
      <c r="A101" s="35">
        <v>45372</v>
      </c>
      <c r="B101" s="7"/>
      <c r="C101" s="8">
        <v>94.96</v>
      </c>
      <c r="D101" s="8">
        <v>116.5</v>
      </c>
      <c r="E101" s="246">
        <v>11703.6606866</v>
      </c>
      <c r="F101" s="248">
        <v>7.31874855726233E-3</v>
      </c>
      <c r="G101" s="247">
        <v>1.138628</v>
      </c>
      <c r="H101" s="24">
        <f t="shared" si="4"/>
        <v>4.3363299841352454E-3</v>
      </c>
      <c r="I101" s="24">
        <f t="shared" si="5"/>
        <v>3.445305770887197E-3</v>
      </c>
      <c r="J101" s="12">
        <f t="shared" si="6"/>
        <v>7.3187485572623334E-3</v>
      </c>
      <c r="K101" s="44">
        <f t="shared" si="7"/>
        <v>0</v>
      </c>
    </row>
    <row r="102" spans="1:11">
      <c r="A102" s="35">
        <v>45373</v>
      </c>
      <c r="B102" s="7"/>
      <c r="C102" s="8">
        <v>94.36</v>
      </c>
      <c r="D102" s="8">
        <v>115.6</v>
      </c>
      <c r="E102" s="246">
        <v>11651.9941086</v>
      </c>
      <c r="F102" s="248">
        <v>-4.4145656118649203E-3</v>
      </c>
      <c r="G102" s="247">
        <v>1.1388872999999999</v>
      </c>
      <c r="H102" s="24">
        <f t="shared" si="4"/>
        <v>-6.3184498736309491E-3</v>
      </c>
      <c r="I102" s="24">
        <f t="shared" si="5"/>
        <v>-7.7253218884120178E-3</v>
      </c>
      <c r="J102" s="12">
        <f t="shared" si="6"/>
        <v>-4.414565611864929E-3</v>
      </c>
      <c r="K102" s="44">
        <f t="shared" si="7"/>
        <v>2.2773021566302454E-4</v>
      </c>
    </row>
    <row r="103" spans="1:11">
      <c r="A103" s="35">
        <v>45376</v>
      </c>
      <c r="B103" s="7"/>
      <c r="C103" s="8">
        <v>94.75</v>
      </c>
      <c r="D103" s="8">
        <v>115.4</v>
      </c>
      <c r="E103" s="246">
        <v>11637.0475018</v>
      </c>
      <c r="F103" s="248">
        <v>-1.2827509746995399E-3</v>
      </c>
      <c r="G103" s="247">
        <v>1.1319261</v>
      </c>
      <c r="H103" s="24">
        <f t="shared" si="4"/>
        <v>4.1331072488342002E-3</v>
      </c>
      <c r="I103" s="24">
        <f t="shared" si="5"/>
        <v>-1.7301038062282892E-3</v>
      </c>
      <c r="J103" s="12">
        <f t="shared" si="6"/>
        <v>-1.2827509746995425E-3</v>
      </c>
      <c r="K103" s="44">
        <f t="shared" si="7"/>
        <v>-6.1122816981099559E-3</v>
      </c>
    </row>
    <row r="104" spans="1:11">
      <c r="A104" s="35">
        <v>45377</v>
      </c>
      <c r="B104" s="7"/>
      <c r="C104" s="8">
        <v>95.48</v>
      </c>
      <c r="D104" s="8">
        <v>116.1</v>
      </c>
      <c r="E104" s="246">
        <v>11680.362674</v>
      </c>
      <c r="F104" s="248">
        <v>3.7221788596548599E-3</v>
      </c>
      <c r="G104" s="247">
        <v>1.1316698000000001</v>
      </c>
      <c r="H104" s="24">
        <f t="shared" si="4"/>
        <v>7.7044854881267444E-3</v>
      </c>
      <c r="I104" s="24">
        <f t="shared" si="5"/>
        <v>6.0658578856152001E-3</v>
      </c>
      <c r="J104" s="12">
        <f t="shared" si="6"/>
        <v>3.7221788596548677E-3</v>
      </c>
      <c r="K104" s="44">
        <f t="shared" si="7"/>
        <v>-2.2642820940343977E-4</v>
      </c>
    </row>
    <row r="105" spans="1:11">
      <c r="A105" s="35">
        <v>45378</v>
      </c>
      <c r="B105" s="7"/>
      <c r="C105" s="8">
        <v>96</v>
      </c>
      <c r="D105" s="8">
        <v>116.75</v>
      </c>
      <c r="E105" s="246">
        <v>11705.7115149</v>
      </c>
      <c r="F105" s="248">
        <v>2.1702100874338901E-3</v>
      </c>
      <c r="G105" s="247">
        <v>1.1282224999999999</v>
      </c>
      <c r="H105" s="24">
        <f t="shared" si="4"/>
        <v>5.446166736489344E-3</v>
      </c>
      <c r="I105" s="24">
        <f t="shared" si="5"/>
        <v>5.5986218776917784E-3</v>
      </c>
      <c r="J105" s="12">
        <f t="shared" si="6"/>
        <v>2.1702100874338992E-3</v>
      </c>
      <c r="K105" s="44">
        <f t="shared" si="7"/>
        <v>-3.0462065878228417E-3</v>
      </c>
    </row>
    <row r="106" spans="1:11">
      <c r="A106" s="35">
        <v>45379</v>
      </c>
      <c r="B106" s="7"/>
      <c r="C106" s="8">
        <v>95.75</v>
      </c>
      <c r="D106" s="8">
        <v>115.95</v>
      </c>
      <c r="E106" s="246">
        <v>11730.4333331</v>
      </c>
      <c r="F106" s="248">
        <v>2.1119449397442001E-3</v>
      </c>
      <c r="G106" s="247">
        <v>1.1258725999999999</v>
      </c>
      <c r="H106" s="24">
        <f t="shared" si="4"/>
        <v>-2.6041666666666297E-3</v>
      </c>
      <c r="I106" s="24">
        <f t="shared" si="5"/>
        <v>-6.8522483940042234E-3</v>
      </c>
      <c r="J106" s="12">
        <f t="shared" si="6"/>
        <v>2.1119449397442036E-3</v>
      </c>
      <c r="K106" s="44">
        <f t="shared" si="7"/>
        <v>-2.0828338381835287E-3</v>
      </c>
    </row>
    <row r="107" spans="1:11">
      <c r="A107" s="35">
        <v>45384</v>
      </c>
      <c r="B107" s="7"/>
      <c r="C107" s="8">
        <v>94.82</v>
      </c>
      <c r="D107" s="8">
        <v>115.35</v>
      </c>
      <c r="E107" s="246">
        <v>11595.0037842</v>
      </c>
      <c r="F107" s="248">
        <v>-1.15451445871019E-2</v>
      </c>
      <c r="G107" s="247">
        <v>1.1220196</v>
      </c>
      <c r="H107" s="24">
        <f t="shared" si="4"/>
        <v>-9.7127937336815018E-3</v>
      </c>
      <c r="I107" s="24">
        <f t="shared" si="5"/>
        <v>-5.1746442432083484E-3</v>
      </c>
      <c r="J107" s="12">
        <f t="shared" si="6"/>
        <v>-1.1545144587101985E-2</v>
      </c>
      <c r="K107" s="44">
        <f t="shared" si="7"/>
        <v>-3.422234451748718E-3</v>
      </c>
    </row>
    <row r="108" spans="1:11">
      <c r="A108" s="35">
        <v>45385</v>
      </c>
      <c r="B108" s="7"/>
      <c r="C108" s="8">
        <v>94.24</v>
      </c>
      <c r="D108" s="8">
        <v>111.25</v>
      </c>
      <c r="E108" s="246">
        <v>11616.871674599999</v>
      </c>
      <c r="F108" s="248">
        <v>1.8859752706417098E-3</v>
      </c>
      <c r="G108" s="247">
        <v>1.1120379</v>
      </c>
      <c r="H108" s="24">
        <f t="shared" si="4"/>
        <v>-6.1168529846024056E-3</v>
      </c>
      <c r="I108" s="24">
        <f t="shared" si="5"/>
        <v>-3.554399653229301E-2</v>
      </c>
      <c r="J108" s="12">
        <f t="shared" si="6"/>
        <v>1.8859752706417154E-3</v>
      </c>
      <c r="K108" s="44">
        <f t="shared" si="7"/>
        <v>-8.8961904052299312E-3</v>
      </c>
    </row>
    <row r="109" spans="1:11">
      <c r="A109" s="35">
        <v>45386</v>
      </c>
      <c r="B109" s="7"/>
      <c r="C109" s="8">
        <v>94.78</v>
      </c>
      <c r="D109" s="8">
        <v>110.45</v>
      </c>
      <c r="E109" s="246">
        <v>11691.1339276</v>
      </c>
      <c r="F109" s="248">
        <v>6.3926205849698103E-3</v>
      </c>
      <c r="G109" s="247">
        <v>1.1132759000000001</v>
      </c>
      <c r="H109" s="24">
        <f t="shared" si="4"/>
        <v>5.7300509337860905E-3</v>
      </c>
      <c r="I109" s="24">
        <f t="shared" si="5"/>
        <v>-7.1910112359550027E-3</v>
      </c>
      <c r="J109" s="12">
        <f t="shared" si="6"/>
        <v>6.3926205849698103E-3</v>
      </c>
      <c r="K109" s="44">
        <f t="shared" si="7"/>
        <v>1.113271409185046E-3</v>
      </c>
    </row>
    <row r="110" spans="1:11">
      <c r="A110" s="35">
        <v>45387</v>
      </c>
      <c r="B110" s="7"/>
      <c r="C110" s="8">
        <v>92.92</v>
      </c>
      <c r="D110" s="8">
        <v>108.6</v>
      </c>
      <c r="E110" s="246">
        <v>11495.792207300001</v>
      </c>
      <c r="F110" s="248">
        <v>-1.6708534989821899E-2</v>
      </c>
      <c r="G110" s="247">
        <v>1.1132759000000001</v>
      </c>
      <c r="H110" s="24">
        <f t="shared" si="4"/>
        <v>-1.962439333192656E-2</v>
      </c>
      <c r="I110" s="24">
        <f t="shared" si="5"/>
        <v>-1.6749660479855266E-2</v>
      </c>
      <c r="J110" s="12">
        <f t="shared" si="6"/>
        <v>-1.6708534989821944E-2</v>
      </c>
      <c r="K110" s="44">
        <f t="shared" si="7"/>
        <v>0</v>
      </c>
    </row>
    <row r="111" spans="1:11">
      <c r="A111" s="35">
        <v>45390</v>
      </c>
      <c r="B111" s="7"/>
      <c r="C111" s="8">
        <v>93.26</v>
      </c>
      <c r="D111" s="8">
        <v>108.75</v>
      </c>
      <c r="E111" s="246">
        <v>11547.1437582</v>
      </c>
      <c r="F111" s="248">
        <v>4.4669867003501703E-3</v>
      </c>
      <c r="G111" s="247">
        <v>1.1076037999999999</v>
      </c>
      <c r="H111" s="24">
        <f t="shared" si="4"/>
        <v>3.6590615583298458E-3</v>
      </c>
      <c r="I111" s="24">
        <f t="shared" si="5"/>
        <v>1.3812154696133394E-3</v>
      </c>
      <c r="J111" s="12">
        <f t="shared" si="6"/>
        <v>4.4669867003501729E-3</v>
      </c>
      <c r="K111" s="44">
        <f t="shared" si="7"/>
        <v>-5.0949634317963843E-3</v>
      </c>
    </row>
    <row r="112" spans="1:11">
      <c r="A112" s="35">
        <v>45391</v>
      </c>
      <c r="B112" s="7"/>
      <c r="C112" s="8">
        <v>93.5</v>
      </c>
      <c r="D112" s="8">
        <v>106.1</v>
      </c>
      <c r="E112" s="246">
        <v>11506.0353022</v>
      </c>
      <c r="F112" s="248">
        <v>-3.56005405845993E-3</v>
      </c>
      <c r="G112" s="247">
        <v>1.1041793</v>
      </c>
      <c r="H112" s="24">
        <f t="shared" si="4"/>
        <v>2.5734505683037145E-3</v>
      </c>
      <c r="I112" s="24">
        <f t="shared" si="5"/>
        <v>-2.4367816091954042E-2</v>
      </c>
      <c r="J112" s="12">
        <f t="shared" si="6"/>
        <v>-3.5600540584599383E-3</v>
      </c>
      <c r="K112" s="44">
        <f t="shared" si="7"/>
        <v>-3.0918095441708759E-3</v>
      </c>
    </row>
    <row r="113" spans="1:11">
      <c r="A113" s="35">
        <v>45392</v>
      </c>
      <c r="B113" s="7"/>
      <c r="C113" s="8">
        <v>93.46</v>
      </c>
      <c r="D113" s="8">
        <v>106.55</v>
      </c>
      <c r="E113" s="246">
        <v>11495.211827700001</v>
      </c>
      <c r="F113" s="248">
        <v>-9.40678019467733E-4</v>
      </c>
      <c r="G113" s="247">
        <v>1.1102475999999999</v>
      </c>
      <c r="H113" s="24">
        <f t="shared" si="4"/>
        <v>-4.2780748663107104E-4</v>
      </c>
      <c r="I113" s="24">
        <f t="shared" si="5"/>
        <v>4.241281809613584E-3</v>
      </c>
      <c r="J113" s="12">
        <f t="shared" si="6"/>
        <v>-9.4067801946773333E-4</v>
      </c>
      <c r="K113" s="44">
        <f t="shared" si="7"/>
        <v>5.4957559881805285E-3</v>
      </c>
    </row>
    <row r="114" spans="1:11">
      <c r="A114" s="35">
        <v>45393</v>
      </c>
      <c r="B114" s="7"/>
      <c r="C114" s="8">
        <v>93.82</v>
      </c>
      <c r="D114" s="8">
        <v>105.4</v>
      </c>
      <c r="E114" s="246">
        <v>11465.7429596</v>
      </c>
      <c r="F114" s="248">
        <v>-2.5635776479551097E-3</v>
      </c>
      <c r="G114" s="247">
        <v>1.1102567000000001</v>
      </c>
      <c r="H114" s="24">
        <f t="shared" si="4"/>
        <v>3.8519152578642135E-3</v>
      </c>
      <c r="I114" s="24">
        <f t="shared" si="5"/>
        <v>-1.0793054903801003E-2</v>
      </c>
      <c r="J114" s="12">
        <f t="shared" si="6"/>
        <v>-2.5635776479551176E-3</v>
      </c>
      <c r="K114" s="44">
        <f t="shared" si="7"/>
        <v>8.1963698910225702E-6</v>
      </c>
    </row>
    <row r="115" spans="1:11">
      <c r="A115" s="35">
        <v>45394</v>
      </c>
      <c r="B115" s="7"/>
      <c r="C115" s="8">
        <v>93.04</v>
      </c>
      <c r="D115" s="8">
        <v>106</v>
      </c>
      <c r="E115" s="246">
        <v>11379.5797506</v>
      </c>
      <c r="F115" s="248">
        <v>-7.5148387072342306E-3</v>
      </c>
      <c r="G115" s="247">
        <v>1.1051556</v>
      </c>
      <c r="H115" s="24">
        <f t="shared" si="4"/>
        <v>-8.3137923683648252E-3</v>
      </c>
      <c r="I115" s="24">
        <f t="shared" si="5"/>
        <v>5.6925996204932883E-3</v>
      </c>
      <c r="J115" s="12">
        <f t="shared" si="6"/>
        <v>-7.5148387072342393E-3</v>
      </c>
      <c r="K115" s="44">
        <f t="shared" si="7"/>
        <v>-4.594523050390098E-3</v>
      </c>
    </row>
    <row r="116" spans="1:11">
      <c r="A116" s="35">
        <v>45397</v>
      </c>
      <c r="B116" s="7"/>
      <c r="C116" s="8">
        <v>92.5</v>
      </c>
      <c r="D116" s="8">
        <v>107.4</v>
      </c>
      <c r="E116" s="246">
        <v>11395.814512700001</v>
      </c>
      <c r="F116" s="248">
        <v>1.42665743865855E-3</v>
      </c>
      <c r="G116" s="247">
        <v>1.1034482999999999</v>
      </c>
      <c r="H116" s="24">
        <f t="shared" si="4"/>
        <v>-5.8039552880482237E-3</v>
      </c>
      <c r="I116" s="24">
        <f t="shared" si="5"/>
        <v>1.3207547169811429E-2</v>
      </c>
      <c r="J116" s="12">
        <f t="shared" si="6"/>
        <v>1.4266574386585518E-3</v>
      </c>
      <c r="K116" s="44">
        <f t="shared" si="7"/>
        <v>-1.544850336007042E-3</v>
      </c>
    </row>
    <row r="117" spans="1:11">
      <c r="A117" s="35">
        <v>45398</v>
      </c>
      <c r="B117" s="7"/>
      <c r="C117" s="8">
        <v>91.92</v>
      </c>
      <c r="D117" s="8">
        <v>97.84</v>
      </c>
      <c r="E117" s="246">
        <v>11196.6660192</v>
      </c>
      <c r="F117" s="248">
        <v>-1.7475582221706001E-2</v>
      </c>
      <c r="G117" s="247">
        <v>1.1039355</v>
      </c>
      <c r="H117" s="24">
        <f t="shared" si="4"/>
        <v>-6.2702702702702728E-3</v>
      </c>
      <c r="I117" s="24">
        <f t="shared" si="5"/>
        <v>-8.9013035381750427E-2</v>
      </c>
      <c r="J117" s="12">
        <f t="shared" si="6"/>
        <v>-1.7475582221706087E-2</v>
      </c>
      <c r="K117" s="44">
        <f t="shared" si="7"/>
        <v>4.4152499034155746E-4</v>
      </c>
    </row>
    <row r="118" spans="1:11">
      <c r="A118" s="35">
        <v>45399</v>
      </c>
      <c r="B118" s="7"/>
      <c r="C118" s="8">
        <v>93.36</v>
      </c>
      <c r="D118" s="8">
        <v>98.04</v>
      </c>
      <c r="E118" s="246">
        <v>11231.8314355</v>
      </c>
      <c r="F118" s="248">
        <v>3.1407042274635899E-3</v>
      </c>
      <c r="G118" s="247">
        <v>1.1053388</v>
      </c>
      <c r="H118" s="24">
        <f t="shared" si="4"/>
        <v>1.5665796344647598E-2</v>
      </c>
      <c r="I118" s="24">
        <f t="shared" si="5"/>
        <v>2.0441537203597093E-3</v>
      </c>
      <c r="J118" s="12">
        <f t="shared" si="6"/>
        <v>3.1407042274635977E-3</v>
      </c>
      <c r="K118" s="44">
        <f t="shared" si="7"/>
        <v>1.2711793397348625E-3</v>
      </c>
    </row>
    <row r="119" spans="1:11">
      <c r="A119" s="35">
        <v>45400</v>
      </c>
      <c r="B119" s="7"/>
      <c r="C119" s="8">
        <v>93.24</v>
      </c>
      <c r="D119" s="8">
        <v>98</v>
      </c>
      <c r="E119" s="246">
        <v>11230.4346589</v>
      </c>
      <c r="F119" s="248">
        <v>-1.24358757342624E-4</v>
      </c>
      <c r="G119" s="247">
        <v>1.1087089000000001</v>
      </c>
      <c r="H119" s="24">
        <f t="shared" si="4"/>
        <v>-1.2853470437018677E-3</v>
      </c>
      <c r="I119" s="24">
        <f t="shared" si="5"/>
        <v>-4.0799673602620601E-4</v>
      </c>
      <c r="J119" s="12">
        <f t="shared" si="6"/>
        <v>-1.2435875734262414E-4</v>
      </c>
      <c r="K119" s="44">
        <f t="shared" si="7"/>
        <v>3.0489294323152727E-3</v>
      </c>
    </row>
    <row r="120" spans="1:11">
      <c r="A120" s="35">
        <v>45401</v>
      </c>
      <c r="B120" s="7"/>
      <c r="C120" s="8">
        <v>95.24</v>
      </c>
      <c r="D120" s="8">
        <v>98.12</v>
      </c>
      <c r="E120" s="246">
        <v>11296.4007007</v>
      </c>
      <c r="F120" s="248">
        <v>5.8738636396162801E-3</v>
      </c>
      <c r="G120" s="247">
        <v>1.1050333999999999</v>
      </c>
      <c r="H120" s="24">
        <f t="shared" si="4"/>
        <v>2.1450021450021506E-2</v>
      </c>
      <c r="I120" s="24">
        <f t="shared" si="5"/>
        <v>1.224489795918382E-3</v>
      </c>
      <c r="J120" s="12">
        <f t="shared" si="6"/>
        <v>5.8738636396162835E-3</v>
      </c>
      <c r="K120" s="44">
        <f t="shared" si="7"/>
        <v>-3.3151172503441684E-3</v>
      </c>
    </row>
    <row r="121" spans="1:11">
      <c r="A121" s="35">
        <v>45404</v>
      </c>
      <c r="B121" s="7"/>
      <c r="C121" s="8">
        <v>93.84</v>
      </c>
      <c r="D121" s="8">
        <v>99.3</v>
      </c>
      <c r="E121" s="246">
        <v>11327.7654157</v>
      </c>
      <c r="F121" s="248">
        <v>2.7765228793676898E-3</v>
      </c>
      <c r="G121" s="247">
        <v>1.1066844</v>
      </c>
      <c r="H121" s="24">
        <f t="shared" si="4"/>
        <v>-1.4699706005879776E-2</v>
      </c>
      <c r="I121" s="24">
        <f t="shared" si="5"/>
        <v>1.2026090501426667E-2</v>
      </c>
      <c r="J121" s="12">
        <f t="shared" si="6"/>
        <v>2.7765228793676933E-3</v>
      </c>
      <c r="K121" s="44">
        <f t="shared" si="7"/>
        <v>1.494072486858844E-3</v>
      </c>
    </row>
    <row r="122" spans="1:11">
      <c r="A122" s="35">
        <v>45405</v>
      </c>
      <c r="B122" s="7"/>
      <c r="C122" s="8">
        <v>94.26</v>
      </c>
      <c r="D122" s="8">
        <v>101.85</v>
      </c>
      <c r="E122" s="246">
        <v>11469.1471824</v>
      </c>
      <c r="F122" s="248">
        <v>1.2480993515636201E-2</v>
      </c>
      <c r="G122" s="247">
        <v>1.0966115000000001</v>
      </c>
      <c r="H122" s="24">
        <f t="shared" si="4"/>
        <v>4.4757033248081779E-3</v>
      </c>
      <c r="I122" s="24">
        <f t="shared" si="5"/>
        <v>2.5679758308157163E-2</v>
      </c>
      <c r="J122" s="12">
        <f t="shared" si="6"/>
        <v>1.2480993515636252E-2</v>
      </c>
      <c r="K122" s="44">
        <f t="shared" si="7"/>
        <v>-9.101872223011287E-3</v>
      </c>
    </row>
    <row r="123" spans="1:11">
      <c r="A123" s="35">
        <v>45406</v>
      </c>
      <c r="B123" s="7"/>
      <c r="C123" s="8">
        <v>93.98</v>
      </c>
      <c r="D123" s="8">
        <v>100.75</v>
      </c>
      <c r="E123" s="246">
        <v>11370.737920600001</v>
      </c>
      <c r="F123" s="248">
        <v>-8.5803469285853293E-3</v>
      </c>
      <c r="G123" s="247">
        <v>1.0973333999999999</v>
      </c>
      <c r="H123" s="24">
        <f t="shared" si="4"/>
        <v>-2.9705071079991763E-3</v>
      </c>
      <c r="I123" s="24">
        <f t="shared" si="5"/>
        <v>-1.0800196367206638E-2</v>
      </c>
      <c r="J123" s="12">
        <f t="shared" si="6"/>
        <v>-8.5803469285853362E-3</v>
      </c>
      <c r="K123" s="44">
        <f t="shared" si="7"/>
        <v>6.5830059232441229E-4</v>
      </c>
    </row>
    <row r="124" spans="1:11">
      <c r="A124" s="35">
        <v>45407</v>
      </c>
      <c r="B124" s="7"/>
      <c r="C124" s="8">
        <v>92.08</v>
      </c>
      <c r="D124" s="8">
        <v>99.5</v>
      </c>
      <c r="E124" s="246">
        <v>11260.607736399999</v>
      </c>
      <c r="F124" s="248">
        <v>-9.6854034425050087E-3</v>
      </c>
      <c r="G124" s="247">
        <v>1.0978756000000001</v>
      </c>
      <c r="H124" s="24">
        <f t="shared" si="4"/>
        <v>-2.021706746116203E-2</v>
      </c>
      <c r="I124" s="24">
        <f t="shared" si="5"/>
        <v>-1.2406947890818865E-2</v>
      </c>
      <c r="J124" s="12">
        <f t="shared" si="6"/>
        <v>-9.6854034425050139E-3</v>
      </c>
      <c r="K124" s="44">
        <f t="shared" si="7"/>
        <v>4.9410689586237844E-4</v>
      </c>
    </row>
    <row r="125" spans="1:11">
      <c r="A125" s="35">
        <v>45408</v>
      </c>
      <c r="B125" s="7"/>
      <c r="C125" s="8">
        <v>92.7</v>
      </c>
      <c r="D125" s="8">
        <v>99.5</v>
      </c>
      <c r="E125" s="246">
        <v>11344.317570900001</v>
      </c>
      <c r="F125" s="248">
        <v>7.4338647131280099E-3</v>
      </c>
      <c r="G125" s="247">
        <v>1.0940319999999999</v>
      </c>
      <c r="H125" s="24">
        <f t="shared" si="4"/>
        <v>6.7332754126847583E-3</v>
      </c>
      <c r="I125" s="24">
        <f t="shared" si="5"/>
        <v>0</v>
      </c>
      <c r="J125" s="12">
        <f t="shared" si="6"/>
        <v>7.4338647131280133E-3</v>
      </c>
      <c r="K125" s="44">
        <f t="shared" si="7"/>
        <v>-3.500943094099318E-3</v>
      </c>
    </row>
    <row r="126" spans="1:11">
      <c r="A126" s="35">
        <v>45411</v>
      </c>
      <c r="B126" s="7"/>
      <c r="C126" s="8">
        <v>92.08</v>
      </c>
      <c r="D126" s="8">
        <v>100.3</v>
      </c>
      <c r="E126" s="246">
        <v>11332.355799700001</v>
      </c>
      <c r="F126" s="248">
        <v>-1.0544284506530601E-3</v>
      </c>
      <c r="G126" s="247">
        <v>1.0954702000000001</v>
      </c>
      <c r="H126" s="24">
        <f t="shared" si="4"/>
        <v>-6.6882416396979449E-3</v>
      </c>
      <c r="I126" s="24">
        <f t="shared" si="5"/>
        <v>8.040201005025116E-3</v>
      </c>
      <c r="J126" s="12">
        <f t="shared" si="6"/>
        <v>-1.0544284506530666E-3</v>
      </c>
      <c r="K126" s="44">
        <f t="shared" si="7"/>
        <v>1.3145867762553998E-3</v>
      </c>
    </row>
    <row r="127" spans="1:11">
      <c r="A127" s="35">
        <v>45412</v>
      </c>
      <c r="B127" s="7"/>
      <c r="C127" s="8">
        <v>92.2</v>
      </c>
      <c r="D127" s="8">
        <v>99.82</v>
      </c>
      <c r="E127" s="246">
        <v>11260.9053587</v>
      </c>
      <c r="F127" s="248">
        <v>-6.3049945009573307E-3</v>
      </c>
      <c r="G127" s="247">
        <v>1.0953503</v>
      </c>
      <c r="H127" s="24">
        <f t="shared" si="4"/>
        <v>1.3032145960034658E-3</v>
      </c>
      <c r="I127" s="24">
        <f t="shared" si="5"/>
        <v>-4.7856430707876596E-3</v>
      </c>
      <c r="J127" s="12">
        <f t="shared" si="6"/>
        <v>-6.3049945009573394E-3</v>
      </c>
      <c r="K127" s="44">
        <f t="shared" si="7"/>
        <v>-1.0945071805701367E-4</v>
      </c>
    </row>
    <row r="128" spans="1:11">
      <c r="A128" s="35">
        <v>45414</v>
      </c>
      <c r="B128" s="7"/>
      <c r="C128" s="8">
        <v>91.82</v>
      </c>
      <c r="D128" s="8">
        <v>99.2</v>
      </c>
      <c r="E128" s="246">
        <v>11209.6251589</v>
      </c>
      <c r="F128" s="248">
        <v>-4.5538256620175598E-3</v>
      </c>
      <c r="G128" s="247">
        <v>1.0963708999999999</v>
      </c>
      <c r="H128" s="24">
        <f t="shared" si="4"/>
        <v>-4.1214750542299949E-3</v>
      </c>
      <c r="I128" s="24">
        <f t="shared" si="5"/>
        <v>-6.2111801242235032E-3</v>
      </c>
      <c r="J128" s="12">
        <f t="shared" si="6"/>
        <v>-4.5538256620175632E-3</v>
      </c>
      <c r="K128" s="44">
        <f t="shared" si="7"/>
        <v>9.3175671746292821E-4</v>
      </c>
    </row>
    <row r="129" spans="1:11">
      <c r="A129" s="35">
        <v>45415</v>
      </c>
      <c r="B129" s="7"/>
      <c r="C129" s="8">
        <v>91.72</v>
      </c>
      <c r="D129" s="8">
        <v>99.58</v>
      </c>
      <c r="E129" s="246">
        <v>11272.94778</v>
      </c>
      <c r="F129" s="248">
        <v>5.6489508081118897E-3</v>
      </c>
      <c r="G129" s="247">
        <v>1.0996866000000001</v>
      </c>
      <c r="H129" s="24">
        <f t="shared" si="4"/>
        <v>-1.089087344804951E-3</v>
      </c>
      <c r="I129" s="24">
        <f t="shared" si="5"/>
        <v>3.8306451612901693E-3</v>
      </c>
      <c r="J129" s="12">
        <f t="shared" si="6"/>
        <v>5.6489508081118966E-3</v>
      </c>
      <c r="K129" s="44">
        <f t="shared" si="7"/>
        <v>3.024250278806262E-3</v>
      </c>
    </row>
    <row r="130" spans="1:11">
      <c r="A130" s="35">
        <v>45418</v>
      </c>
      <c r="B130" s="7"/>
      <c r="C130" s="8">
        <v>91.36</v>
      </c>
      <c r="D130" s="8">
        <v>101.55</v>
      </c>
      <c r="E130" s="246">
        <v>11327.659531200001</v>
      </c>
      <c r="F130" s="248">
        <v>4.8533668626646797E-3</v>
      </c>
      <c r="G130" s="247">
        <v>1.0973938000000001</v>
      </c>
      <c r="H130" s="24">
        <f t="shared" si="4"/>
        <v>-3.9249890972524737E-3</v>
      </c>
      <c r="I130" s="24">
        <f t="shared" si="5"/>
        <v>1.9783088973689411E-2</v>
      </c>
      <c r="J130" s="12">
        <f t="shared" si="6"/>
        <v>4.8533668626646875E-3</v>
      </c>
      <c r="K130" s="44">
        <f t="shared" si="7"/>
        <v>-2.0849576597550268E-3</v>
      </c>
    </row>
    <row r="131" spans="1:11">
      <c r="A131" s="35">
        <v>45419</v>
      </c>
      <c r="B131" s="7"/>
      <c r="C131" s="8">
        <v>92.16</v>
      </c>
      <c r="D131" s="8">
        <v>102.5</v>
      </c>
      <c r="E131" s="246">
        <v>11512.973464500001</v>
      </c>
      <c r="F131" s="248">
        <v>1.6359419418423102E-2</v>
      </c>
      <c r="G131" s="247">
        <v>1.0983579999999999</v>
      </c>
      <c r="H131" s="24">
        <f t="shared" si="4"/>
        <v>8.7565674255691839E-3</v>
      </c>
      <c r="I131" s="24">
        <f t="shared" si="5"/>
        <v>9.3549975381586048E-3</v>
      </c>
      <c r="J131" s="12">
        <f t="shared" si="6"/>
        <v>1.6359419418423116E-2</v>
      </c>
      <c r="K131" s="44">
        <f t="shared" si="7"/>
        <v>8.7862716191744461E-4</v>
      </c>
    </row>
    <row r="132" spans="1:11">
      <c r="A132" s="35">
        <v>45420</v>
      </c>
      <c r="B132" s="7"/>
      <c r="C132" s="8">
        <v>94.2</v>
      </c>
      <c r="D132" s="8">
        <v>103.5</v>
      </c>
      <c r="E132" s="246">
        <v>11602.213113</v>
      </c>
      <c r="F132" s="248">
        <v>7.7512250658067208E-3</v>
      </c>
      <c r="G132" s="247">
        <v>1.0942714</v>
      </c>
      <c r="H132" s="24">
        <f t="shared" si="4"/>
        <v>2.2135416666666741E-2</v>
      </c>
      <c r="I132" s="24">
        <f t="shared" si="5"/>
        <v>9.7560975609756184E-3</v>
      </c>
      <c r="J132" s="12">
        <f t="shared" si="6"/>
        <v>7.7512250658067217E-3</v>
      </c>
      <c r="K132" s="44">
        <f t="shared" si="7"/>
        <v>-3.7206448170814532E-3</v>
      </c>
    </row>
    <row r="133" spans="1:11">
      <c r="A133" s="35">
        <v>45422</v>
      </c>
      <c r="B133" s="7"/>
      <c r="C133" s="8">
        <v>95.18</v>
      </c>
      <c r="D133" s="8">
        <v>106.05</v>
      </c>
      <c r="E133" s="246">
        <v>11753.700136900001</v>
      </c>
      <c r="F133" s="248">
        <v>1.30567351611792E-2</v>
      </c>
      <c r="G133" s="247">
        <v>1.094511</v>
      </c>
      <c r="H133" s="24">
        <f t="shared" si="4"/>
        <v>1.0403397027600958E-2</v>
      </c>
      <c r="I133" s="24">
        <f t="shared" si="5"/>
        <v>2.4637681159420222E-2</v>
      </c>
      <c r="J133" s="12">
        <f t="shared" si="6"/>
        <v>1.3056735161179223E-2</v>
      </c>
      <c r="K133" s="44">
        <f t="shared" si="7"/>
        <v>2.1895847775965649E-4</v>
      </c>
    </row>
    <row r="134" spans="1:11">
      <c r="A134" s="35">
        <v>45425</v>
      </c>
      <c r="B134" s="7"/>
      <c r="C134" s="8">
        <v>95</v>
      </c>
      <c r="D134" s="8">
        <v>104.85</v>
      </c>
      <c r="E134" s="246">
        <v>11768.079677399999</v>
      </c>
      <c r="F134" s="248">
        <v>1.22340542403787E-3</v>
      </c>
      <c r="G134" s="247">
        <v>1.0934937</v>
      </c>
      <c r="H134" s="24">
        <f t="shared" si="4"/>
        <v>-1.8911536036982923E-3</v>
      </c>
      <c r="I134" s="24">
        <f t="shared" si="5"/>
        <v>-1.1315417256011373E-2</v>
      </c>
      <c r="J134" s="12">
        <f t="shared" si="6"/>
        <v>1.2234054240378711E-3</v>
      </c>
      <c r="K134" s="44">
        <f t="shared" si="7"/>
        <v>-9.2945616809703147E-4</v>
      </c>
    </row>
    <row r="135" spans="1:11">
      <c r="A135" s="35">
        <v>45426</v>
      </c>
      <c r="B135" s="7"/>
      <c r="C135" s="8">
        <v>94.64</v>
      </c>
      <c r="D135" s="8">
        <v>103.4</v>
      </c>
      <c r="E135" s="246">
        <v>11784.0689685</v>
      </c>
      <c r="F135" s="248">
        <v>1.3587001055666002E-3</v>
      </c>
      <c r="G135" s="247">
        <v>1.0980563999999999</v>
      </c>
      <c r="H135" s="24">
        <f t="shared" si="4"/>
        <v>-3.7894736842105647E-3</v>
      </c>
      <c r="I135" s="24">
        <f t="shared" si="5"/>
        <v>-1.3829279923700422E-2</v>
      </c>
      <c r="J135" s="12">
        <f t="shared" si="6"/>
        <v>1.3587001055666015E-3</v>
      </c>
      <c r="K135" s="44">
        <f t="shared" si="7"/>
        <v>4.1725891973587448E-3</v>
      </c>
    </row>
    <row r="136" spans="1:11">
      <c r="A136" s="35">
        <v>45427</v>
      </c>
      <c r="B136" s="7"/>
      <c r="C136" s="8">
        <v>95.54</v>
      </c>
      <c r="D136" s="8">
        <v>103.7</v>
      </c>
      <c r="E136" s="246">
        <v>11899.259343199999</v>
      </c>
      <c r="F136" s="248">
        <v>9.7750933915878805E-3</v>
      </c>
      <c r="G136" s="247">
        <v>1.0903342</v>
      </c>
      <c r="H136" s="24">
        <f t="shared" si="4"/>
        <v>9.5097210481827066E-3</v>
      </c>
      <c r="I136" s="24">
        <f t="shared" si="5"/>
        <v>2.9013539651836506E-3</v>
      </c>
      <c r="J136" s="12">
        <f t="shared" si="6"/>
        <v>9.7750933915878857E-3</v>
      </c>
      <c r="K136" s="44">
        <f t="shared" si="7"/>
        <v>-7.0326077968307921E-3</v>
      </c>
    </row>
    <row r="137" spans="1:11">
      <c r="A137" s="35">
        <v>45428</v>
      </c>
      <c r="B137" s="7"/>
      <c r="C137" s="8">
        <v>95.42</v>
      </c>
      <c r="D137" s="8">
        <v>107.65</v>
      </c>
      <c r="E137" s="246">
        <v>11946.6572977</v>
      </c>
      <c r="F137" s="248">
        <v>3.98326930550396E-3</v>
      </c>
      <c r="G137" s="247">
        <v>1.0877250000000001</v>
      </c>
      <c r="H137" s="24">
        <f t="shared" si="4"/>
        <v>-1.2560184216036108E-3</v>
      </c>
      <c r="I137" s="24">
        <f t="shared" si="5"/>
        <v>3.8090646094503411E-2</v>
      </c>
      <c r="J137" s="12">
        <f t="shared" si="6"/>
        <v>3.983269305503967E-3</v>
      </c>
      <c r="K137" s="44">
        <f t="shared" si="7"/>
        <v>-2.3930277524083499E-3</v>
      </c>
    </row>
    <row r="138" spans="1:11">
      <c r="A138" s="35">
        <v>45429</v>
      </c>
      <c r="B138" s="7"/>
      <c r="C138" s="8">
        <v>96.62</v>
      </c>
      <c r="D138" s="8">
        <v>110.1</v>
      </c>
      <c r="E138" s="246">
        <v>12037.987835800001</v>
      </c>
      <c r="F138" s="248">
        <v>7.6448613050601397E-3</v>
      </c>
      <c r="G138" s="247">
        <v>1.0946906999999999</v>
      </c>
      <c r="H138" s="24">
        <f t="shared" ref="H138:H201" si="8">(C138/C137)-1</f>
        <v>1.2575979878432175E-2</v>
      </c>
      <c r="I138" s="24">
        <f t="shared" ref="I138:I201" si="9">(D138/D137)-1</f>
        <v>2.2758941012540612E-2</v>
      </c>
      <c r="J138" s="12">
        <f t="shared" ref="J138:J201" si="10">(E138/E137)-1</f>
        <v>7.6448613050601466E-3</v>
      </c>
      <c r="K138" s="44">
        <f t="shared" ref="K138:K201" si="11">(G138/G137)-1</f>
        <v>6.4039164310831787E-3</v>
      </c>
    </row>
    <row r="139" spans="1:11">
      <c r="A139" s="35">
        <v>45433</v>
      </c>
      <c r="B139" s="7"/>
      <c r="C139" s="8">
        <v>95.3</v>
      </c>
      <c r="D139" s="8">
        <v>110.3</v>
      </c>
      <c r="E139" s="246">
        <v>12001.496007199999</v>
      </c>
      <c r="F139" s="248">
        <v>-3.03138938980129E-3</v>
      </c>
      <c r="G139" s="247">
        <v>1.1052777</v>
      </c>
      <c r="H139" s="24">
        <f t="shared" si="8"/>
        <v>-1.3661767749948317E-2</v>
      </c>
      <c r="I139" s="24">
        <f t="shared" si="9"/>
        <v>1.8165304268846771E-3</v>
      </c>
      <c r="J139" s="12">
        <f t="shared" si="10"/>
        <v>-3.0313893898012978E-3</v>
      </c>
      <c r="K139" s="44">
        <f t="shared" si="11"/>
        <v>9.6712249405244144E-3</v>
      </c>
    </row>
    <row r="140" spans="1:11">
      <c r="A140" s="35">
        <v>45434</v>
      </c>
      <c r="B140" s="7"/>
      <c r="C140" s="8">
        <v>95.06</v>
      </c>
      <c r="D140" s="8">
        <v>110.7</v>
      </c>
      <c r="E140" s="246">
        <v>11958.667572300001</v>
      </c>
      <c r="F140" s="248">
        <v>-3.5685913551364301E-3</v>
      </c>
      <c r="G140" s="247">
        <v>1.1049112999999999</v>
      </c>
      <c r="H140" s="24">
        <f t="shared" si="8"/>
        <v>-2.5183630640083221E-3</v>
      </c>
      <c r="I140" s="24">
        <f t="shared" si="9"/>
        <v>3.6264732547597323E-3</v>
      </c>
      <c r="J140" s="12">
        <f t="shared" si="10"/>
        <v>-3.5685913551364301E-3</v>
      </c>
      <c r="K140" s="44">
        <f t="shared" si="11"/>
        <v>-3.3150040030671679E-4</v>
      </c>
    </row>
    <row r="141" spans="1:11">
      <c r="A141" s="35">
        <v>45435</v>
      </c>
      <c r="B141" s="7"/>
      <c r="C141" s="8">
        <v>93.3</v>
      </c>
      <c r="D141" s="8">
        <v>111.2</v>
      </c>
      <c r="E141" s="246">
        <v>11966.7500843</v>
      </c>
      <c r="F141" s="248">
        <v>6.7587061444207498E-4</v>
      </c>
      <c r="G141" s="247">
        <v>1.1027182</v>
      </c>
      <c r="H141" s="24">
        <f t="shared" si="8"/>
        <v>-1.8514622343782983E-2</v>
      </c>
      <c r="I141" s="24">
        <f t="shared" si="9"/>
        <v>4.5167118337849921E-3</v>
      </c>
      <c r="J141" s="12">
        <f t="shared" si="10"/>
        <v>6.7587061444207563E-4</v>
      </c>
      <c r="K141" s="44">
        <f t="shared" si="11"/>
        <v>-1.984865210447162E-3</v>
      </c>
    </row>
    <row r="142" spans="1:11">
      <c r="A142" s="35">
        <v>45436</v>
      </c>
      <c r="B142" s="7"/>
      <c r="C142" s="8">
        <v>92.42</v>
      </c>
      <c r="D142" s="8">
        <v>112.05</v>
      </c>
      <c r="E142" s="246">
        <v>11931.6991483</v>
      </c>
      <c r="F142" s="248">
        <v>-2.9290271588428003E-3</v>
      </c>
      <c r="G142" s="247">
        <v>1.1012609</v>
      </c>
      <c r="H142" s="24">
        <f t="shared" si="8"/>
        <v>-9.4319399785637303E-3</v>
      </c>
      <c r="I142" s="24">
        <f t="shared" si="9"/>
        <v>7.6438848920863389E-3</v>
      </c>
      <c r="J142" s="12">
        <f t="shared" si="10"/>
        <v>-2.9290271588428007E-3</v>
      </c>
      <c r="K142" s="44">
        <f t="shared" si="11"/>
        <v>-1.3215525054360855E-3</v>
      </c>
    </row>
    <row r="143" spans="1:11">
      <c r="A143" s="35">
        <v>45440</v>
      </c>
      <c r="B143" s="7"/>
      <c r="C143" s="8">
        <v>91.64</v>
      </c>
      <c r="D143" s="8">
        <v>111.8</v>
      </c>
      <c r="E143" s="246">
        <v>11854.4959</v>
      </c>
      <c r="F143" s="248">
        <v>-6.4704320265231898E-3</v>
      </c>
      <c r="G143" s="247">
        <v>1.1028397999999999</v>
      </c>
      <c r="H143" s="24">
        <f t="shared" si="8"/>
        <v>-8.4397316598139316E-3</v>
      </c>
      <c r="I143" s="24">
        <f t="shared" si="9"/>
        <v>-2.2311468094600162E-3</v>
      </c>
      <c r="J143" s="12">
        <f t="shared" si="10"/>
        <v>-6.4704320265231985E-3</v>
      </c>
      <c r="K143" s="44">
        <f t="shared" si="11"/>
        <v>1.4337202019973905E-3</v>
      </c>
    </row>
    <row r="144" spans="1:11">
      <c r="A144" s="35">
        <v>45441</v>
      </c>
      <c r="B144" s="7"/>
      <c r="C144" s="8">
        <v>91.18</v>
      </c>
      <c r="D144" s="8">
        <v>113.35</v>
      </c>
      <c r="E144" s="246">
        <v>11793.7275087</v>
      </c>
      <c r="F144" s="248">
        <v>-5.1261894063331301E-3</v>
      </c>
      <c r="G144" s="247">
        <v>1.1019284</v>
      </c>
      <c r="H144" s="24">
        <f t="shared" si="8"/>
        <v>-5.01964207769523E-3</v>
      </c>
      <c r="I144" s="24">
        <f t="shared" si="9"/>
        <v>1.3864042933810383E-2</v>
      </c>
      <c r="J144" s="12">
        <f t="shared" si="10"/>
        <v>-5.126189406333137E-3</v>
      </c>
      <c r="K144" s="44">
        <f t="shared" si="11"/>
        <v>-8.2641195937971368E-4</v>
      </c>
    </row>
    <row r="145" spans="1:11">
      <c r="A145" s="35">
        <v>45442</v>
      </c>
      <c r="B145" s="7"/>
      <c r="C145" s="8">
        <v>94.14</v>
      </c>
      <c r="D145" s="8">
        <v>112.15</v>
      </c>
      <c r="E145" s="246">
        <v>11883.8990228</v>
      </c>
      <c r="F145" s="248">
        <v>7.6457179490947401E-3</v>
      </c>
      <c r="G145" s="247">
        <v>1.1034482999999999</v>
      </c>
      <c r="H145" s="24">
        <f t="shared" si="8"/>
        <v>3.2463259486729568E-2</v>
      </c>
      <c r="I145" s="24">
        <f t="shared" si="9"/>
        <v>-1.058667842964256E-2</v>
      </c>
      <c r="J145" s="12">
        <f t="shared" si="10"/>
        <v>7.6457179490947436E-3</v>
      </c>
      <c r="K145" s="44">
        <f t="shared" si="11"/>
        <v>1.3793092182758926E-3</v>
      </c>
    </row>
    <row r="146" spans="1:11">
      <c r="A146" s="35">
        <v>45443</v>
      </c>
      <c r="B146" s="7"/>
      <c r="C146" s="8">
        <v>95.56</v>
      </c>
      <c r="D146" s="8">
        <v>114.7</v>
      </c>
      <c r="E146" s="246">
        <v>12000.8598738</v>
      </c>
      <c r="F146" s="248">
        <v>9.8419593414251702E-3</v>
      </c>
      <c r="G146" s="247">
        <v>1.1035092</v>
      </c>
      <c r="H146" s="24">
        <f t="shared" si="8"/>
        <v>1.5083917569577165E-2</v>
      </c>
      <c r="I146" s="24">
        <f t="shared" si="9"/>
        <v>2.2737405260811361E-2</v>
      </c>
      <c r="J146" s="12">
        <f t="shared" si="10"/>
        <v>9.8419593414251771E-3</v>
      </c>
      <c r="K146" s="44">
        <f t="shared" si="11"/>
        <v>5.5190623792666926E-5</v>
      </c>
    </row>
    <row r="147" spans="1:11">
      <c r="A147" s="35">
        <v>45446</v>
      </c>
      <c r="B147" s="7"/>
      <c r="C147" s="8">
        <v>96.46</v>
      </c>
      <c r="D147" s="8">
        <v>113.55</v>
      </c>
      <c r="E147" s="246">
        <v>12007.039003</v>
      </c>
      <c r="F147" s="248">
        <v>5.14890538259704E-4</v>
      </c>
      <c r="G147" s="247">
        <v>1.1051556</v>
      </c>
      <c r="H147" s="24">
        <f t="shared" si="8"/>
        <v>9.418166596902422E-3</v>
      </c>
      <c r="I147" s="24">
        <f t="shared" si="9"/>
        <v>-1.002615518744554E-2</v>
      </c>
      <c r="J147" s="12">
        <f t="shared" si="10"/>
        <v>5.1489053825970466E-4</v>
      </c>
      <c r="K147" s="44">
        <f t="shared" si="11"/>
        <v>1.4919676247375779E-3</v>
      </c>
    </row>
    <row r="148" spans="1:11">
      <c r="A148" s="35">
        <v>45447</v>
      </c>
      <c r="B148" s="7"/>
      <c r="C148" s="8">
        <v>97.6</v>
      </c>
      <c r="D148" s="8">
        <v>111.55</v>
      </c>
      <c r="E148" s="246">
        <v>12008.940165599999</v>
      </c>
      <c r="F148" s="248">
        <v>1.58337338583169E-4</v>
      </c>
      <c r="G148" s="247">
        <v>1.1056443</v>
      </c>
      <c r="H148" s="24">
        <f t="shared" si="8"/>
        <v>1.1818370308936288E-2</v>
      </c>
      <c r="I148" s="24">
        <f t="shared" si="9"/>
        <v>-1.7613386173491841E-2</v>
      </c>
      <c r="J148" s="12">
        <f t="shared" si="10"/>
        <v>1.583373385831699E-4</v>
      </c>
      <c r="K148" s="44">
        <f t="shared" si="11"/>
        <v>4.4220017525131716E-4</v>
      </c>
    </row>
    <row r="149" spans="1:11">
      <c r="A149" s="35">
        <v>45448</v>
      </c>
      <c r="B149" s="7"/>
      <c r="C149" s="8">
        <v>97.72</v>
      </c>
      <c r="D149" s="8">
        <v>112.8</v>
      </c>
      <c r="E149" s="246">
        <v>12150.0162564</v>
      </c>
      <c r="F149" s="248">
        <v>1.1747588784239E-2</v>
      </c>
      <c r="G149" s="247">
        <v>1.1024750000000001</v>
      </c>
      <c r="H149" s="24">
        <f t="shared" si="8"/>
        <v>1.2295081967212962E-3</v>
      </c>
      <c r="I149" s="24">
        <f t="shared" si="9"/>
        <v>1.120573733751673E-2</v>
      </c>
      <c r="J149" s="12">
        <f t="shared" si="10"/>
        <v>1.1747588784239094E-2</v>
      </c>
      <c r="K149" s="44">
        <f t="shared" si="11"/>
        <v>-2.8664734218770693E-3</v>
      </c>
    </row>
    <row r="150" spans="1:11">
      <c r="A150" s="35">
        <v>45449</v>
      </c>
      <c r="B150" s="7"/>
      <c r="C150" s="8">
        <v>98.34</v>
      </c>
      <c r="D150" s="8">
        <v>113.1</v>
      </c>
      <c r="E150" s="246">
        <v>12241.2461664</v>
      </c>
      <c r="F150" s="248">
        <v>7.5086245215469907E-3</v>
      </c>
      <c r="G150" s="247">
        <v>1.1001706</v>
      </c>
      <c r="H150" s="24">
        <f t="shared" si="8"/>
        <v>6.3446582071224888E-3</v>
      </c>
      <c r="I150" s="24">
        <f t="shared" si="9"/>
        <v>2.6595744680850686E-3</v>
      </c>
      <c r="J150" s="12">
        <f t="shared" si="10"/>
        <v>7.5086245215469916E-3</v>
      </c>
      <c r="K150" s="44">
        <f t="shared" si="11"/>
        <v>-2.0902061271231842E-3</v>
      </c>
    </row>
    <row r="151" spans="1:11">
      <c r="A151" s="35">
        <v>45450</v>
      </c>
      <c r="B151" s="7"/>
      <c r="C151" s="8">
        <v>98.02</v>
      </c>
      <c r="D151" s="8">
        <v>113.65</v>
      </c>
      <c r="E151" s="246">
        <v>12254.755171500001</v>
      </c>
      <c r="F151" s="248">
        <v>1.1035645322678899E-3</v>
      </c>
      <c r="G151" s="247">
        <v>1.0999285000000001</v>
      </c>
      <c r="H151" s="24">
        <f t="shared" si="8"/>
        <v>-3.2540166768355583E-3</v>
      </c>
      <c r="I151" s="24">
        <f t="shared" si="9"/>
        <v>4.8629531388153513E-3</v>
      </c>
      <c r="J151" s="12">
        <f t="shared" si="10"/>
        <v>1.1035645322678977E-3</v>
      </c>
      <c r="K151" s="44">
        <f t="shared" si="11"/>
        <v>-2.2005678028469422E-4</v>
      </c>
    </row>
    <row r="152" spans="1:11">
      <c r="A152" s="35">
        <v>45453</v>
      </c>
      <c r="B152" s="7"/>
      <c r="C152" s="8">
        <v>95.6</v>
      </c>
      <c r="D152" s="8">
        <v>112.25</v>
      </c>
      <c r="E152" s="246">
        <v>12137.7445183</v>
      </c>
      <c r="F152" s="248">
        <v>-9.5481836693175302E-3</v>
      </c>
      <c r="G152" s="247">
        <v>1.0935535000000001</v>
      </c>
      <c r="H152" s="24">
        <f t="shared" si="8"/>
        <v>-2.4688839012446451E-2</v>
      </c>
      <c r="I152" s="24">
        <f t="shared" si="9"/>
        <v>-1.2318521777386793E-2</v>
      </c>
      <c r="J152" s="12">
        <f t="shared" si="10"/>
        <v>-9.5481836693175337E-3</v>
      </c>
      <c r="K152" s="44">
        <f t="shared" si="11"/>
        <v>-5.7958312744873508E-3</v>
      </c>
    </row>
    <row r="153" spans="1:11">
      <c r="A153" s="35">
        <v>45454</v>
      </c>
      <c r="B153" s="7"/>
      <c r="C153" s="8">
        <v>94.6</v>
      </c>
      <c r="D153" s="8">
        <v>111.5</v>
      </c>
      <c r="E153" s="246">
        <v>12072.9226631</v>
      </c>
      <c r="F153" s="248">
        <v>-5.3405189985888902E-3</v>
      </c>
      <c r="G153" s="247">
        <v>1.094511</v>
      </c>
      <c r="H153" s="24">
        <f t="shared" si="8"/>
        <v>-1.0460251046025104E-2</v>
      </c>
      <c r="I153" s="24">
        <f t="shared" si="9"/>
        <v>-6.6815144766146917E-3</v>
      </c>
      <c r="J153" s="12">
        <f t="shared" si="10"/>
        <v>-5.3405189985888946E-3</v>
      </c>
      <c r="K153" s="44">
        <f t="shared" si="11"/>
        <v>8.7558587668534749E-4</v>
      </c>
    </row>
    <row r="154" spans="1:11">
      <c r="A154" s="35">
        <v>45455</v>
      </c>
      <c r="B154" s="7"/>
      <c r="C154" s="8">
        <v>94.94</v>
      </c>
      <c r="D154" s="8">
        <v>112.05</v>
      </c>
      <c r="E154" s="246">
        <v>12167.5885788</v>
      </c>
      <c r="F154" s="248">
        <v>7.8411763532071303E-3</v>
      </c>
      <c r="G154" s="247">
        <v>1.093434</v>
      </c>
      <c r="H154" s="24">
        <f t="shared" si="8"/>
        <v>3.5940803382663589E-3</v>
      </c>
      <c r="I154" s="24">
        <f t="shared" si="9"/>
        <v>4.9327354260089162E-3</v>
      </c>
      <c r="J154" s="12">
        <f t="shared" si="10"/>
        <v>7.8411763532071355E-3</v>
      </c>
      <c r="K154" s="44">
        <f t="shared" si="11"/>
        <v>-9.8400107445240081E-4</v>
      </c>
    </row>
    <row r="155" spans="1:11">
      <c r="A155" s="35">
        <v>45456</v>
      </c>
      <c r="B155" s="7"/>
      <c r="C155" s="8">
        <v>95.1</v>
      </c>
      <c r="D155" s="8">
        <v>110.6</v>
      </c>
      <c r="E155" s="246">
        <v>12095.9857674</v>
      </c>
      <c r="F155" s="248">
        <v>-5.8847166746545101E-3</v>
      </c>
      <c r="G155" s="247">
        <v>1.0943912</v>
      </c>
      <c r="H155" s="24">
        <f t="shared" si="8"/>
        <v>1.6852749104696585E-3</v>
      </c>
      <c r="I155" s="24">
        <f t="shared" si="9"/>
        <v>-1.2940651494868338E-2</v>
      </c>
      <c r="J155" s="12">
        <f t="shared" si="10"/>
        <v>-5.884716674654511E-3</v>
      </c>
      <c r="K155" s="44">
        <f t="shared" si="11"/>
        <v>8.7540720336121147E-4</v>
      </c>
    </row>
    <row r="156" spans="1:11">
      <c r="A156" s="35">
        <v>45457</v>
      </c>
      <c r="B156" s="7"/>
      <c r="C156" s="8">
        <v>95.28</v>
      </c>
      <c r="D156" s="8">
        <v>108.9</v>
      </c>
      <c r="E156" s="246">
        <v>12044.5914823</v>
      </c>
      <c r="F156" s="248">
        <v>-4.2488711617463199E-3</v>
      </c>
      <c r="G156" s="247">
        <v>1.0987199999999999</v>
      </c>
      <c r="H156" s="24">
        <f t="shared" si="8"/>
        <v>1.8927444794953896E-3</v>
      </c>
      <c r="I156" s="24">
        <f t="shared" si="9"/>
        <v>-1.5370705244122873E-2</v>
      </c>
      <c r="J156" s="12">
        <f t="shared" si="10"/>
        <v>-4.248871161746326E-3</v>
      </c>
      <c r="K156" s="44">
        <f t="shared" si="11"/>
        <v>3.9554411621729457E-3</v>
      </c>
    </row>
    <row r="157" spans="1:11">
      <c r="A157" s="35">
        <v>45460</v>
      </c>
      <c r="B157" s="7"/>
      <c r="C157" s="8">
        <v>95.1</v>
      </c>
      <c r="D157" s="8">
        <v>110.15</v>
      </c>
      <c r="E157" s="246">
        <v>12003.519073199999</v>
      </c>
      <c r="F157" s="248">
        <v>-3.4100292368037799E-3</v>
      </c>
      <c r="G157" s="247">
        <v>1.0951103</v>
      </c>
      <c r="H157" s="24">
        <f t="shared" si="8"/>
        <v>-1.8891687657431877E-3</v>
      </c>
      <c r="I157" s="24">
        <f t="shared" si="9"/>
        <v>1.1478420569329684E-2</v>
      </c>
      <c r="J157" s="12">
        <f t="shared" si="10"/>
        <v>-3.4100292368037799E-3</v>
      </c>
      <c r="K157" s="44">
        <f t="shared" si="11"/>
        <v>-3.2853684287169616E-3</v>
      </c>
    </row>
    <row r="158" spans="1:11">
      <c r="A158" s="35">
        <v>45461</v>
      </c>
      <c r="B158" s="7"/>
      <c r="C158" s="8">
        <v>94.9</v>
      </c>
      <c r="D158" s="8">
        <v>111.25</v>
      </c>
      <c r="E158" s="246">
        <v>12046.6110782</v>
      </c>
      <c r="F158" s="248">
        <v>3.58994764262177E-3</v>
      </c>
      <c r="G158" s="247">
        <v>1.1065007</v>
      </c>
      <c r="H158" s="24">
        <f t="shared" si="8"/>
        <v>-2.1030494216612849E-3</v>
      </c>
      <c r="I158" s="24">
        <f t="shared" si="9"/>
        <v>9.9863822060826113E-3</v>
      </c>
      <c r="J158" s="12">
        <f t="shared" si="10"/>
        <v>3.5899476426217714E-3</v>
      </c>
      <c r="K158" s="44">
        <f t="shared" si="11"/>
        <v>1.0401144067405887E-2</v>
      </c>
    </row>
    <row r="159" spans="1:11">
      <c r="A159" s="35">
        <v>45463</v>
      </c>
      <c r="B159" s="7"/>
      <c r="C159" s="8">
        <v>94.9</v>
      </c>
      <c r="D159" s="8">
        <v>113.15</v>
      </c>
      <c r="E159" s="246">
        <v>12128.155881999999</v>
      </c>
      <c r="F159" s="248">
        <v>6.7691073672633195E-3</v>
      </c>
      <c r="G159" s="247">
        <v>1.1084632000000001</v>
      </c>
      <c r="H159" s="24">
        <f t="shared" si="8"/>
        <v>0</v>
      </c>
      <c r="I159" s="24">
        <f t="shared" si="9"/>
        <v>1.7078651685393353E-2</v>
      </c>
      <c r="J159" s="12">
        <f t="shared" si="10"/>
        <v>6.7691073672633273E-3</v>
      </c>
      <c r="K159" s="44">
        <f t="shared" si="11"/>
        <v>1.7736093614764137E-3</v>
      </c>
    </row>
    <row r="160" spans="1:11">
      <c r="A160" s="35">
        <v>45464</v>
      </c>
      <c r="B160" s="7"/>
      <c r="C160" s="8">
        <v>93.7</v>
      </c>
      <c r="D160" s="8">
        <v>112.45</v>
      </c>
      <c r="E160" s="246">
        <v>12012.8689323</v>
      </c>
      <c r="F160" s="248">
        <v>-9.5057278964482093E-3</v>
      </c>
      <c r="G160" s="247">
        <v>1.115138</v>
      </c>
      <c r="H160" s="24">
        <f t="shared" si="8"/>
        <v>-1.2644889357218192E-2</v>
      </c>
      <c r="I160" s="24">
        <f t="shared" si="9"/>
        <v>-6.1864781263809565E-3</v>
      </c>
      <c r="J160" s="12">
        <f t="shared" si="10"/>
        <v>-9.5057278964482128E-3</v>
      </c>
      <c r="K160" s="44">
        <f t="shared" si="11"/>
        <v>6.0216703630755486E-3</v>
      </c>
    </row>
    <row r="161" spans="1:11">
      <c r="A161" s="35">
        <v>45467</v>
      </c>
      <c r="B161" s="7"/>
      <c r="C161" s="8">
        <v>94.68</v>
      </c>
      <c r="D161" s="8">
        <v>113.1</v>
      </c>
      <c r="E161" s="246">
        <v>12157.2875291</v>
      </c>
      <c r="F161" s="248">
        <v>1.2021990551456901E-2</v>
      </c>
      <c r="G161" s="247">
        <v>1.1231538000000001</v>
      </c>
      <c r="H161" s="24">
        <f t="shared" si="8"/>
        <v>1.0458911419423789E-2</v>
      </c>
      <c r="I161" s="24">
        <f t="shared" si="9"/>
        <v>5.7803468208090791E-3</v>
      </c>
      <c r="J161" s="12">
        <f t="shared" si="10"/>
        <v>1.2021990551456918E-2</v>
      </c>
      <c r="K161" s="44">
        <f t="shared" si="11"/>
        <v>7.1881686392178956E-3</v>
      </c>
    </row>
    <row r="162" spans="1:11">
      <c r="A162" s="35">
        <v>45468</v>
      </c>
      <c r="B162" s="7"/>
      <c r="C162" s="8">
        <v>93.9</v>
      </c>
      <c r="D162" s="8">
        <v>112.45</v>
      </c>
      <c r="E162" s="246">
        <v>12086.314347699999</v>
      </c>
      <c r="F162" s="248">
        <v>-5.83791254670229E-3</v>
      </c>
      <c r="G162" s="247">
        <v>1.1178805000000001</v>
      </c>
      <c r="H162" s="24">
        <f t="shared" si="8"/>
        <v>-8.2382762991127789E-3</v>
      </c>
      <c r="I162" s="24">
        <f t="shared" si="9"/>
        <v>-5.7471264367815467E-3</v>
      </c>
      <c r="J162" s="12">
        <f t="shared" si="10"/>
        <v>-5.8379125467022952E-3</v>
      </c>
      <c r="K162" s="44">
        <f t="shared" si="11"/>
        <v>-4.6950827215294089E-3</v>
      </c>
    </row>
    <row r="163" spans="1:11">
      <c r="A163" s="35">
        <v>45469</v>
      </c>
      <c r="B163" s="7"/>
      <c r="C163" s="8">
        <v>92.9</v>
      </c>
      <c r="D163" s="8">
        <v>111.5</v>
      </c>
      <c r="E163" s="246">
        <v>12015.7244242</v>
      </c>
      <c r="F163" s="248">
        <v>-5.8404838290039198E-3</v>
      </c>
      <c r="G163" s="247">
        <v>1.1210134</v>
      </c>
      <c r="H163" s="24">
        <f t="shared" si="8"/>
        <v>-1.0649627263045747E-2</v>
      </c>
      <c r="I163" s="24">
        <f t="shared" si="9"/>
        <v>-8.4481991996443462E-3</v>
      </c>
      <c r="J163" s="12">
        <f t="shared" si="10"/>
        <v>-5.8404838290039285E-3</v>
      </c>
      <c r="K163" s="44">
        <f t="shared" si="11"/>
        <v>2.8025356914267441E-3</v>
      </c>
    </row>
    <row r="164" spans="1:11">
      <c r="A164" s="35">
        <v>45470</v>
      </c>
      <c r="B164" s="7"/>
      <c r="C164" s="8">
        <v>92.14</v>
      </c>
      <c r="D164" s="8">
        <v>111.75</v>
      </c>
      <c r="E164" s="246">
        <v>12004.310006199999</v>
      </c>
      <c r="F164" s="248">
        <v>-9.4995670648134701E-4</v>
      </c>
      <c r="G164" s="247">
        <v>1.1153245000000001</v>
      </c>
      <c r="H164" s="24">
        <f t="shared" si="8"/>
        <v>-8.1808396124866123E-3</v>
      </c>
      <c r="I164" s="24">
        <f t="shared" si="9"/>
        <v>2.2421524663676085E-3</v>
      </c>
      <c r="J164" s="12">
        <f t="shared" si="10"/>
        <v>-9.4995670648134745E-4</v>
      </c>
      <c r="K164" s="44">
        <f t="shared" si="11"/>
        <v>-5.0747832273905225E-3</v>
      </c>
    </row>
    <row r="165" spans="1:11">
      <c r="A165" s="35">
        <v>45471</v>
      </c>
      <c r="B165" s="7"/>
      <c r="C165" s="8">
        <v>91.72</v>
      </c>
      <c r="D165" s="8">
        <v>111.5</v>
      </c>
      <c r="E165" s="246">
        <v>11993.8280146</v>
      </c>
      <c r="F165" s="248">
        <v>-8.7318568035865598E-4</v>
      </c>
      <c r="G165" s="247">
        <v>1.1145787</v>
      </c>
      <c r="H165" s="24">
        <f t="shared" si="8"/>
        <v>-4.558280876926446E-3</v>
      </c>
      <c r="I165" s="24">
        <f t="shared" si="9"/>
        <v>-2.2371364653244186E-3</v>
      </c>
      <c r="J165" s="12">
        <f t="shared" si="10"/>
        <v>-8.7318568035865685E-4</v>
      </c>
      <c r="K165" s="44">
        <f t="shared" si="11"/>
        <v>-6.6868431564093278E-4</v>
      </c>
    </row>
    <row r="166" spans="1:11">
      <c r="A166" s="35">
        <v>45474</v>
      </c>
      <c r="B166" s="7"/>
      <c r="C166" s="8">
        <v>91.88</v>
      </c>
      <c r="D166" s="8">
        <v>112.4</v>
      </c>
      <c r="E166" s="246">
        <v>12049.6099546</v>
      </c>
      <c r="F166" s="248">
        <v>4.6508871006067896E-3</v>
      </c>
      <c r="G166" s="247">
        <v>1.1120379</v>
      </c>
      <c r="H166" s="24">
        <f t="shared" si="8"/>
        <v>1.7444395987789019E-3</v>
      </c>
      <c r="I166" s="24">
        <f t="shared" si="9"/>
        <v>8.0717488789239233E-3</v>
      </c>
      <c r="J166" s="12">
        <f t="shared" si="10"/>
        <v>4.6508871006067931E-3</v>
      </c>
      <c r="K166" s="44">
        <f t="shared" si="11"/>
        <v>-2.2796057380246593E-3</v>
      </c>
    </row>
    <row r="167" spans="1:11">
      <c r="A167" s="35">
        <v>45475</v>
      </c>
      <c r="B167" s="7"/>
      <c r="C167" s="8">
        <v>92.52</v>
      </c>
      <c r="D167" s="8">
        <v>107.95</v>
      </c>
      <c r="E167" s="246">
        <v>12011.021812200001</v>
      </c>
      <c r="F167" s="248">
        <v>-3.20243912835271E-3</v>
      </c>
      <c r="G167" s="247">
        <v>1.1224604</v>
      </c>
      <c r="H167" s="24">
        <f t="shared" si="8"/>
        <v>6.9656073138877339E-3</v>
      </c>
      <c r="I167" s="24">
        <f t="shared" si="9"/>
        <v>-3.9590747330960907E-2</v>
      </c>
      <c r="J167" s="12">
        <f t="shared" si="10"/>
        <v>-3.2024391283527187E-3</v>
      </c>
      <c r="K167" s="44">
        <f t="shared" si="11"/>
        <v>9.3724323604438275E-3</v>
      </c>
    </row>
    <row r="168" spans="1:11">
      <c r="A168" s="35">
        <v>45476</v>
      </c>
      <c r="B168" s="7"/>
      <c r="C168" s="8">
        <v>92.56</v>
      </c>
      <c r="D168" s="8">
        <v>107.1</v>
      </c>
      <c r="E168" s="246">
        <v>12018.303165699999</v>
      </c>
      <c r="F168" s="248">
        <v>6.0622265231446894E-4</v>
      </c>
      <c r="G168" s="247">
        <v>1.118193</v>
      </c>
      <c r="H168" s="24">
        <f t="shared" si="8"/>
        <v>4.3233895373973041E-4</v>
      </c>
      <c r="I168" s="24">
        <f t="shared" si="9"/>
        <v>-7.8740157480315931E-3</v>
      </c>
      <c r="J168" s="12">
        <f t="shared" si="10"/>
        <v>6.0622265231446981E-4</v>
      </c>
      <c r="K168" s="44">
        <f t="shared" si="11"/>
        <v>-3.8018267726861454E-3</v>
      </c>
    </row>
    <row r="169" spans="1:11">
      <c r="A169" s="35">
        <v>45478</v>
      </c>
      <c r="B169" s="7"/>
      <c r="C169" s="8">
        <v>92.56</v>
      </c>
      <c r="D169" s="8">
        <v>107.4</v>
      </c>
      <c r="E169" s="246">
        <v>12006.144766199999</v>
      </c>
      <c r="F169" s="248">
        <v>-1.0116569146549901E-3</v>
      </c>
      <c r="G169" s="247">
        <v>1.1230277</v>
      </c>
      <c r="H169" s="24">
        <f t="shared" si="8"/>
        <v>0</v>
      </c>
      <c r="I169" s="24">
        <f t="shared" si="9"/>
        <v>2.8011204481794838E-3</v>
      </c>
      <c r="J169" s="12">
        <f t="shared" si="10"/>
        <v>-1.0116569146549903E-3</v>
      </c>
      <c r="K169" s="44">
        <f t="shared" si="11"/>
        <v>4.3236722104322833E-3</v>
      </c>
    </row>
    <row r="170" spans="1:11">
      <c r="A170" s="35">
        <v>45481</v>
      </c>
      <c r="B170" s="7"/>
      <c r="C170" s="8">
        <v>92.84</v>
      </c>
      <c r="D170" s="8">
        <v>110.2</v>
      </c>
      <c r="E170" s="246">
        <v>12051.6645527</v>
      </c>
      <c r="F170" s="248">
        <v>3.7913741160400197E-3</v>
      </c>
      <c r="G170" s="247">
        <v>1.1208878</v>
      </c>
      <c r="H170" s="24">
        <f t="shared" si="8"/>
        <v>3.0250648228176136E-3</v>
      </c>
      <c r="I170" s="24">
        <f t="shared" si="9"/>
        <v>2.607076350093096E-2</v>
      </c>
      <c r="J170" s="12">
        <f t="shared" si="10"/>
        <v>3.7913741160400249E-3</v>
      </c>
      <c r="K170" s="44">
        <f t="shared" si="11"/>
        <v>-1.9054739255318642E-3</v>
      </c>
    </row>
    <row r="171" spans="1:11">
      <c r="A171" s="35">
        <v>45482</v>
      </c>
      <c r="B171" s="7"/>
      <c r="C171" s="8">
        <v>92.56</v>
      </c>
      <c r="D171" s="8">
        <v>110.35</v>
      </c>
      <c r="E171" s="246">
        <v>12037.361117500001</v>
      </c>
      <c r="F171" s="248">
        <v>-1.18684312340866E-3</v>
      </c>
      <c r="G171" s="247">
        <v>1.1304544000000001</v>
      </c>
      <c r="H171" s="24">
        <f t="shared" si="8"/>
        <v>-3.0159414045669575E-3</v>
      </c>
      <c r="I171" s="24">
        <f t="shared" si="9"/>
        <v>1.3611615245008313E-3</v>
      </c>
      <c r="J171" s="12">
        <f t="shared" si="10"/>
        <v>-1.1868431234086652E-3</v>
      </c>
      <c r="K171" s="44">
        <f t="shared" si="11"/>
        <v>8.5348417566861734E-3</v>
      </c>
    </row>
    <row r="172" spans="1:11">
      <c r="A172" s="35">
        <v>45483</v>
      </c>
      <c r="B172" s="7"/>
      <c r="C172" s="8">
        <v>93.3</v>
      </c>
      <c r="D172" s="8">
        <v>110.7</v>
      </c>
      <c r="E172" s="246">
        <v>12151.187876</v>
      </c>
      <c r="F172" s="248">
        <v>9.4561222670737008E-3</v>
      </c>
      <c r="G172" s="247">
        <v>1.1308379</v>
      </c>
      <c r="H172" s="24">
        <f t="shared" si="8"/>
        <v>7.9948141745893597E-3</v>
      </c>
      <c r="I172" s="24">
        <f t="shared" si="9"/>
        <v>3.1717263253285832E-3</v>
      </c>
      <c r="J172" s="12">
        <f t="shared" si="10"/>
        <v>9.4561222670737077E-3</v>
      </c>
      <c r="K172" s="44">
        <f t="shared" si="11"/>
        <v>3.3924411280983335E-4</v>
      </c>
    </row>
    <row r="173" spans="1:11">
      <c r="A173" s="35">
        <v>45484</v>
      </c>
      <c r="B173" s="7"/>
      <c r="C173" s="8">
        <v>93.66</v>
      </c>
      <c r="D173" s="8">
        <v>110.6</v>
      </c>
      <c r="E173" s="246">
        <v>12255.7782384</v>
      </c>
      <c r="F173" s="248">
        <v>8.6074187534026497E-3</v>
      </c>
      <c r="G173" s="247">
        <v>1.1231538000000001</v>
      </c>
      <c r="H173" s="24">
        <f t="shared" si="8"/>
        <v>3.8585209003214604E-3</v>
      </c>
      <c r="I173" s="24">
        <f t="shared" si="9"/>
        <v>-9.0334236675704283E-4</v>
      </c>
      <c r="J173" s="12">
        <f t="shared" si="10"/>
        <v>8.6074187534026514E-3</v>
      </c>
      <c r="K173" s="44">
        <f t="shared" si="11"/>
        <v>-6.7950499359810124E-3</v>
      </c>
    </row>
    <row r="174" spans="1:11">
      <c r="A174" s="35">
        <v>45485</v>
      </c>
      <c r="B174" s="7"/>
      <c r="C174" s="8">
        <v>94.66</v>
      </c>
      <c r="D174" s="8">
        <v>110.8</v>
      </c>
      <c r="E174" s="246">
        <v>12365.1830183</v>
      </c>
      <c r="F174" s="248">
        <v>8.9267917362612012E-3</v>
      </c>
      <c r="G174" s="247">
        <v>1.1191316</v>
      </c>
      <c r="H174" s="24">
        <f t="shared" si="8"/>
        <v>1.0676916506512812E-2</v>
      </c>
      <c r="I174" s="24">
        <f t="shared" si="9"/>
        <v>1.8083182640145079E-3</v>
      </c>
      <c r="J174" s="12">
        <f t="shared" si="10"/>
        <v>8.9267917362612081E-3</v>
      </c>
      <c r="K174" s="44">
        <f t="shared" si="11"/>
        <v>-3.5811658207451913E-3</v>
      </c>
    </row>
    <row r="175" spans="1:11">
      <c r="A175" s="35">
        <v>45488</v>
      </c>
      <c r="B175" s="7"/>
      <c r="C175" s="8">
        <v>93.14</v>
      </c>
      <c r="D175" s="8">
        <v>110.9</v>
      </c>
      <c r="E175" s="246">
        <v>12279.8557473</v>
      </c>
      <c r="F175" s="248">
        <v>-6.9006072027982803E-3</v>
      </c>
      <c r="G175" s="247">
        <v>1.1187559</v>
      </c>
      <c r="H175" s="24">
        <f t="shared" si="8"/>
        <v>-1.6057468835833477E-2</v>
      </c>
      <c r="I175" s="24">
        <f t="shared" si="9"/>
        <v>9.0252707581228719E-4</v>
      </c>
      <c r="J175" s="12">
        <f t="shared" si="10"/>
        <v>-6.9006072027982812E-3</v>
      </c>
      <c r="K175" s="44">
        <f t="shared" si="11"/>
        <v>-3.3570672117555489E-4</v>
      </c>
    </row>
    <row r="176" spans="1:11">
      <c r="A176" s="35">
        <v>45489</v>
      </c>
      <c r="B176" s="7"/>
      <c r="C176" s="8">
        <v>92.62</v>
      </c>
      <c r="D176" s="8">
        <v>109.4</v>
      </c>
      <c r="E176" s="246">
        <v>12260.9341097</v>
      </c>
      <c r="F176" s="248">
        <v>-1.5408680679461701E-3</v>
      </c>
      <c r="G176" s="247">
        <v>1.1180055</v>
      </c>
      <c r="H176" s="24">
        <f t="shared" si="8"/>
        <v>-5.5829933433539924E-3</v>
      </c>
      <c r="I176" s="24">
        <f t="shared" si="9"/>
        <v>-1.352569882777277E-2</v>
      </c>
      <c r="J176" s="12">
        <f t="shared" si="10"/>
        <v>-1.5408680679461773E-3</v>
      </c>
      <c r="K176" s="44">
        <f t="shared" si="11"/>
        <v>-6.7074506601483286E-4</v>
      </c>
    </row>
    <row r="177" spans="1:11">
      <c r="A177" s="35">
        <v>45490</v>
      </c>
      <c r="B177" s="7"/>
      <c r="C177" s="8">
        <v>93.62</v>
      </c>
      <c r="D177" s="8">
        <v>108.8</v>
      </c>
      <c r="E177" s="246">
        <v>12333.926178600001</v>
      </c>
      <c r="F177" s="248">
        <v>5.9532225071052798E-3</v>
      </c>
      <c r="G177" s="247">
        <v>1.1146408000000001</v>
      </c>
      <c r="H177" s="24">
        <f t="shared" si="8"/>
        <v>1.0796804145972727E-2</v>
      </c>
      <c r="I177" s="24">
        <f t="shared" si="9"/>
        <v>-5.4844606946984342E-3</v>
      </c>
      <c r="J177" s="12">
        <f t="shared" si="10"/>
        <v>5.9532225071052824E-3</v>
      </c>
      <c r="K177" s="44">
        <f t="shared" si="11"/>
        <v>-3.0095558563888458E-3</v>
      </c>
    </row>
    <row r="178" spans="1:11">
      <c r="A178" s="35">
        <v>45491</v>
      </c>
      <c r="B178" s="7"/>
      <c r="C178" s="8">
        <v>94.24</v>
      </c>
      <c r="D178" s="8">
        <v>108.5</v>
      </c>
      <c r="E178" s="246">
        <v>12247.6119268</v>
      </c>
      <c r="F178" s="248">
        <v>-6.9981164594418097E-3</v>
      </c>
      <c r="G178" s="247">
        <v>1.1148271999999999</v>
      </c>
      <c r="H178" s="24">
        <f t="shared" si="8"/>
        <v>6.6225165562912025E-3</v>
      </c>
      <c r="I178" s="24">
        <f t="shared" si="9"/>
        <v>-2.7573529411764053E-3</v>
      </c>
      <c r="J178" s="12">
        <f t="shared" si="10"/>
        <v>-6.9981164594418166E-3</v>
      </c>
      <c r="K178" s="44">
        <f t="shared" si="11"/>
        <v>1.6722876105013107E-4</v>
      </c>
    </row>
    <row r="179" spans="1:11">
      <c r="A179" s="35">
        <v>45492</v>
      </c>
      <c r="B179" s="7"/>
      <c r="C179" s="8">
        <v>93.78</v>
      </c>
      <c r="D179" s="8">
        <v>106.45</v>
      </c>
      <c r="E179" s="246">
        <v>12173.438858199999</v>
      </c>
      <c r="F179" s="248">
        <v>-6.0561249852877294E-3</v>
      </c>
      <c r="G179" s="247">
        <v>1.1128422</v>
      </c>
      <c r="H179" s="24">
        <f t="shared" si="8"/>
        <v>-4.8811544991510525E-3</v>
      </c>
      <c r="I179" s="24">
        <f t="shared" si="9"/>
        <v>-1.8894009216589791E-2</v>
      </c>
      <c r="J179" s="12">
        <f t="shared" si="10"/>
        <v>-6.0561249852877364E-3</v>
      </c>
      <c r="K179" s="44">
        <f t="shared" si="11"/>
        <v>-1.7805450028487435E-3</v>
      </c>
    </row>
    <row r="180" spans="1:11">
      <c r="A180" s="35">
        <v>45495</v>
      </c>
      <c r="B180" s="7"/>
      <c r="C180" s="8">
        <v>94.5</v>
      </c>
      <c r="D180" s="8">
        <v>106.05</v>
      </c>
      <c r="E180" s="246">
        <v>12296.744976100001</v>
      </c>
      <c r="F180" s="248">
        <v>1.0129111365844099E-2</v>
      </c>
      <c r="G180" s="247">
        <v>1.1061335000000001</v>
      </c>
      <c r="H180" s="24">
        <f t="shared" si="8"/>
        <v>7.6775431861804133E-3</v>
      </c>
      <c r="I180" s="24">
        <f t="shared" si="9"/>
        <v>-3.7576326914045E-3</v>
      </c>
      <c r="J180" s="12">
        <f t="shared" si="10"/>
        <v>1.0129111365844157E-2</v>
      </c>
      <c r="K180" s="44">
        <f t="shared" si="11"/>
        <v>-6.0284378144537243E-3</v>
      </c>
    </row>
    <row r="181" spans="1:11">
      <c r="A181" s="35">
        <v>45496</v>
      </c>
      <c r="B181" s="7"/>
      <c r="C181" s="8">
        <v>94.26</v>
      </c>
      <c r="D181" s="8">
        <v>107.15</v>
      </c>
      <c r="E181" s="246">
        <v>12278.8186382</v>
      </c>
      <c r="F181" s="248">
        <v>-1.45781163509872E-3</v>
      </c>
      <c r="G181" s="247">
        <v>1.1071131999999999</v>
      </c>
      <c r="H181" s="24">
        <f t="shared" si="8"/>
        <v>-2.5396825396825085E-3</v>
      </c>
      <c r="I181" s="24">
        <f t="shared" si="9"/>
        <v>1.0372465818010435E-2</v>
      </c>
      <c r="J181" s="12">
        <f t="shared" si="10"/>
        <v>-1.4578116350987269E-3</v>
      </c>
      <c r="K181" s="44">
        <f t="shared" si="11"/>
        <v>8.8569779325897713E-4</v>
      </c>
    </row>
    <row r="182" spans="1:11">
      <c r="A182" s="35">
        <v>45497</v>
      </c>
      <c r="B182" s="7"/>
      <c r="C182" s="8">
        <v>93.56</v>
      </c>
      <c r="D182" s="8">
        <v>107.3</v>
      </c>
      <c r="E182" s="246">
        <v>12203.1698899</v>
      </c>
      <c r="F182" s="248">
        <v>-6.1609142156927501E-3</v>
      </c>
      <c r="G182" s="247">
        <v>1.1096931999999999</v>
      </c>
      <c r="H182" s="24">
        <f t="shared" si="8"/>
        <v>-7.4262677699978852E-3</v>
      </c>
      <c r="I182" s="24">
        <f t="shared" si="9"/>
        <v>1.3999066728884735E-3</v>
      </c>
      <c r="J182" s="12">
        <f t="shared" si="10"/>
        <v>-6.1609142156927588E-3</v>
      </c>
      <c r="K182" s="44">
        <f t="shared" si="11"/>
        <v>2.330385004893909E-3</v>
      </c>
    </row>
    <row r="183" spans="1:11">
      <c r="A183" s="35">
        <v>45498</v>
      </c>
      <c r="B183" s="7"/>
      <c r="C183" s="8">
        <v>88.82</v>
      </c>
      <c r="D183" s="8">
        <v>107.25</v>
      </c>
      <c r="E183" s="246">
        <v>12105.539237000001</v>
      </c>
      <c r="F183" s="248">
        <v>-8.0004338037450388E-3</v>
      </c>
      <c r="G183" s="247">
        <v>1.1110494</v>
      </c>
      <c r="H183" s="24">
        <f t="shared" si="8"/>
        <v>-5.0662676357417835E-2</v>
      </c>
      <c r="I183" s="24">
        <f t="shared" si="9"/>
        <v>-4.6598322460389419E-4</v>
      </c>
      <c r="J183" s="12">
        <f t="shared" si="10"/>
        <v>-8.000433803745044E-3</v>
      </c>
      <c r="K183" s="44">
        <f t="shared" si="11"/>
        <v>1.2221395967821902E-3</v>
      </c>
    </row>
    <row r="184" spans="1:11">
      <c r="A184" s="35">
        <v>45499</v>
      </c>
      <c r="B184" s="7"/>
      <c r="C184" s="8">
        <v>87.92</v>
      </c>
      <c r="D184" s="8">
        <v>108.3</v>
      </c>
      <c r="E184" s="246">
        <v>12241.4866502</v>
      </c>
      <c r="F184" s="248">
        <v>1.1230182360194501E-2</v>
      </c>
      <c r="G184" s="247">
        <v>1.1136478000000001</v>
      </c>
      <c r="H184" s="24">
        <f t="shared" si="8"/>
        <v>-1.0132852961044714E-2</v>
      </c>
      <c r="I184" s="24">
        <f t="shared" si="9"/>
        <v>9.7902097902098362E-3</v>
      </c>
      <c r="J184" s="12">
        <f t="shared" si="10"/>
        <v>1.1230182360194574E-2</v>
      </c>
      <c r="K184" s="44">
        <f t="shared" si="11"/>
        <v>2.3386898908366316E-3</v>
      </c>
    </row>
    <row r="185" spans="1:11">
      <c r="A185" s="35">
        <v>45502</v>
      </c>
      <c r="B185" s="7"/>
      <c r="C185" s="8">
        <v>88.02</v>
      </c>
      <c r="D185" s="8">
        <v>107.7</v>
      </c>
      <c r="E185" s="246">
        <v>12214.8978878</v>
      </c>
      <c r="F185" s="248">
        <v>-2.1720206997543003E-3</v>
      </c>
      <c r="G185" s="247">
        <v>1.114765</v>
      </c>
      <c r="H185" s="24">
        <f t="shared" si="8"/>
        <v>1.1373976342128334E-3</v>
      </c>
      <c r="I185" s="24">
        <f t="shared" si="9"/>
        <v>-5.5401662049860967E-3</v>
      </c>
      <c r="J185" s="12">
        <f t="shared" si="10"/>
        <v>-2.1720206997543068E-3</v>
      </c>
      <c r="K185" s="44">
        <f t="shared" si="11"/>
        <v>1.0031896978559551E-3</v>
      </c>
    </row>
    <row r="186" spans="1:11">
      <c r="A186" s="35">
        <v>45503</v>
      </c>
      <c r="B186" s="7"/>
      <c r="C186" s="8">
        <v>88.68</v>
      </c>
      <c r="D186" s="8">
        <v>109.05</v>
      </c>
      <c r="E186" s="246">
        <v>12282.0221205</v>
      </c>
      <c r="F186" s="248">
        <v>5.49527579489983E-3</v>
      </c>
      <c r="G186" s="247">
        <v>1.11402</v>
      </c>
      <c r="H186" s="24">
        <f t="shared" si="8"/>
        <v>7.4982958418543522E-3</v>
      </c>
      <c r="I186" s="24">
        <f t="shared" si="9"/>
        <v>1.2534818941504211E-2</v>
      </c>
      <c r="J186" s="12">
        <f t="shared" si="10"/>
        <v>5.4952757948998343E-3</v>
      </c>
      <c r="K186" s="44">
        <f t="shared" si="11"/>
        <v>-6.6830228792613688E-4</v>
      </c>
    </row>
    <row r="187" spans="1:11">
      <c r="A187" s="35">
        <v>45504</v>
      </c>
      <c r="B187" s="7"/>
      <c r="C187" s="8">
        <v>89.14</v>
      </c>
      <c r="D187" s="8">
        <v>108.45</v>
      </c>
      <c r="E187" s="246">
        <v>12317.4416108</v>
      </c>
      <c r="F187" s="248">
        <v>2.88384843737432E-3</v>
      </c>
      <c r="G187" s="247">
        <v>1.1117904999999999</v>
      </c>
      <c r="H187" s="24">
        <f t="shared" si="8"/>
        <v>5.1871898962561058E-3</v>
      </c>
      <c r="I187" s="24">
        <f t="shared" si="9"/>
        <v>-5.5020632737275976E-3</v>
      </c>
      <c r="J187" s="12">
        <f t="shared" si="10"/>
        <v>2.8838484373743256E-3</v>
      </c>
      <c r="K187" s="44">
        <f t="shared" si="11"/>
        <v>-2.0013105689306032E-3</v>
      </c>
    </row>
    <row r="188" spans="1:11">
      <c r="A188" s="35">
        <v>45506</v>
      </c>
      <c r="B188" s="7"/>
      <c r="C188" s="8">
        <v>89.4</v>
      </c>
      <c r="D188" s="8">
        <v>103.6</v>
      </c>
      <c r="E188" s="246">
        <v>11875.516347999999</v>
      </c>
      <c r="F188" s="248">
        <v>-3.5878007524916405E-2</v>
      </c>
      <c r="G188" s="247">
        <v>1.1188811000000001</v>
      </c>
      <c r="H188" s="24">
        <f t="shared" si="8"/>
        <v>2.9167601525690312E-3</v>
      </c>
      <c r="I188" s="24">
        <f t="shared" si="9"/>
        <v>-4.4721069617335241E-2</v>
      </c>
      <c r="J188" s="12">
        <f t="shared" si="10"/>
        <v>-3.5878007524916433E-2</v>
      </c>
      <c r="K188" s="44">
        <f t="shared" si="11"/>
        <v>6.3776403917825686E-3</v>
      </c>
    </row>
    <row r="189" spans="1:11">
      <c r="A189" s="35">
        <v>45509</v>
      </c>
      <c r="B189" s="7"/>
      <c r="C189" s="8">
        <v>87.28</v>
      </c>
      <c r="D189" s="8">
        <v>99.3</v>
      </c>
      <c r="E189" s="246">
        <v>11543.252869800001</v>
      </c>
      <c r="F189" s="248">
        <v>-2.7978865799461003E-2</v>
      </c>
      <c r="G189" s="247">
        <v>1.1182555000000001</v>
      </c>
      <c r="H189" s="24">
        <f t="shared" si="8"/>
        <v>-2.371364653243857E-2</v>
      </c>
      <c r="I189" s="24">
        <f t="shared" si="9"/>
        <v>-4.1505791505791478E-2</v>
      </c>
      <c r="J189" s="12">
        <f t="shared" si="10"/>
        <v>-2.7978865799461072E-2</v>
      </c>
      <c r="K189" s="44">
        <f t="shared" si="11"/>
        <v>-5.5913000943530466E-4</v>
      </c>
    </row>
    <row r="190" spans="1:11">
      <c r="A190" s="35">
        <v>45510</v>
      </c>
      <c r="B190" s="7"/>
      <c r="C190" s="8">
        <v>87.52</v>
      </c>
      <c r="D190" s="8">
        <v>100</v>
      </c>
      <c r="E190" s="246">
        <v>11510.4575274</v>
      </c>
      <c r="F190" s="248">
        <v>-2.8410832518276303E-3</v>
      </c>
      <c r="G190" s="247">
        <v>1.1171936</v>
      </c>
      <c r="H190" s="24">
        <f t="shared" si="8"/>
        <v>2.74977085242889E-3</v>
      </c>
      <c r="I190" s="24">
        <f t="shared" si="9"/>
        <v>7.0493454179254567E-3</v>
      </c>
      <c r="J190" s="12">
        <f t="shared" si="10"/>
        <v>-2.8410832518276363E-3</v>
      </c>
      <c r="K190" s="44">
        <f t="shared" si="11"/>
        <v>-9.4960409316124927E-4</v>
      </c>
    </row>
    <row r="191" spans="1:11">
      <c r="A191" s="35">
        <v>45511</v>
      </c>
      <c r="B191" s="7"/>
      <c r="C191" s="8">
        <v>89.28</v>
      </c>
      <c r="D191" s="8">
        <v>102.55</v>
      </c>
      <c r="E191" s="246">
        <v>11843.1758699</v>
      </c>
      <c r="F191" s="248">
        <v>2.8905744337962499E-2</v>
      </c>
      <c r="G191" s="247">
        <v>1.1160713</v>
      </c>
      <c r="H191" s="24">
        <f t="shared" si="8"/>
        <v>2.0109689213894111E-2</v>
      </c>
      <c r="I191" s="24">
        <f t="shared" si="9"/>
        <v>2.5500000000000078E-2</v>
      </c>
      <c r="J191" s="12">
        <f t="shared" si="10"/>
        <v>2.8905744337962558E-2</v>
      </c>
      <c r="K191" s="44">
        <f t="shared" si="11"/>
        <v>-1.0045707386795444E-3</v>
      </c>
    </row>
    <row r="192" spans="1:11">
      <c r="A192" s="35">
        <v>45512</v>
      </c>
      <c r="B192" s="7"/>
      <c r="C192" s="8">
        <v>89.14</v>
      </c>
      <c r="D192" s="8">
        <v>103.15</v>
      </c>
      <c r="E192" s="246">
        <v>11827.4341066</v>
      </c>
      <c r="F192" s="248">
        <v>-1.3291842891575102E-3</v>
      </c>
      <c r="G192" s="247">
        <v>1.1282224999999999</v>
      </c>
      <c r="H192" s="24">
        <f t="shared" si="8"/>
        <v>-1.5681003584229192E-3</v>
      </c>
      <c r="I192" s="24">
        <f t="shared" si="9"/>
        <v>5.8508044856169228E-3</v>
      </c>
      <c r="J192" s="12">
        <f t="shared" si="10"/>
        <v>-1.3291842891575145E-3</v>
      </c>
      <c r="K192" s="44">
        <f t="shared" si="11"/>
        <v>1.0887476454237266E-2</v>
      </c>
    </row>
    <row r="193" spans="1:11">
      <c r="A193" s="35">
        <v>45513</v>
      </c>
      <c r="B193" s="7"/>
      <c r="C193" s="8">
        <v>89</v>
      </c>
      <c r="D193" s="8">
        <v>103.9</v>
      </c>
      <c r="E193" s="246">
        <v>11865.9287136</v>
      </c>
      <c r="F193" s="248">
        <v>3.2546879274954997E-3</v>
      </c>
      <c r="G193" s="247">
        <v>1.1310297</v>
      </c>
      <c r="H193" s="24">
        <f t="shared" si="8"/>
        <v>-1.5705631590756663E-3</v>
      </c>
      <c r="I193" s="24">
        <f t="shared" si="9"/>
        <v>7.2709646146389417E-3</v>
      </c>
      <c r="J193" s="12">
        <f t="shared" si="10"/>
        <v>3.2546879274955032E-3</v>
      </c>
      <c r="K193" s="44">
        <f t="shared" si="11"/>
        <v>2.4881616879650625E-3</v>
      </c>
    </row>
    <row r="194" spans="1:11">
      <c r="A194" s="35">
        <v>45516</v>
      </c>
      <c r="B194" s="7"/>
      <c r="C194" s="8">
        <v>88.64</v>
      </c>
      <c r="D194" s="8">
        <v>104</v>
      </c>
      <c r="E194" s="246">
        <v>11873.711796699999</v>
      </c>
      <c r="F194" s="248">
        <v>6.5591857897140393E-4</v>
      </c>
      <c r="G194" s="247">
        <v>1.125429</v>
      </c>
      <c r="H194" s="24">
        <f t="shared" si="8"/>
        <v>-4.044943820224689E-3</v>
      </c>
      <c r="I194" s="24">
        <f t="shared" si="9"/>
        <v>9.6246390760335032E-4</v>
      </c>
      <c r="J194" s="12">
        <f t="shared" si="10"/>
        <v>6.5591857897140393E-4</v>
      </c>
      <c r="K194" s="44">
        <f t="shared" si="11"/>
        <v>-4.9518593543564915E-3</v>
      </c>
    </row>
    <row r="195" spans="1:11">
      <c r="A195" s="35">
        <v>45517</v>
      </c>
      <c r="B195" s="7"/>
      <c r="C195" s="8">
        <v>88.68</v>
      </c>
      <c r="D195" s="8">
        <v>104.5</v>
      </c>
      <c r="E195" s="246">
        <v>11928.140949500001</v>
      </c>
      <c r="F195" s="248">
        <v>4.5840048783336498E-3</v>
      </c>
      <c r="G195" s="247">
        <v>1.1243535</v>
      </c>
      <c r="H195" s="24">
        <f t="shared" si="8"/>
        <v>4.512635379061436E-4</v>
      </c>
      <c r="I195" s="24">
        <f t="shared" si="9"/>
        <v>4.8076923076922906E-3</v>
      </c>
      <c r="J195" s="12">
        <f t="shared" si="10"/>
        <v>4.5840048783336584E-3</v>
      </c>
      <c r="K195" s="44">
        <f t="shared" si="11"/>
        <v>-9.5563558429723194E-4</v>
      </c>
    </row>
    <row r="196" spans="1:11">
      <c r="A196" s="35">
        <v>45518</v>
      </c>
      <c r="B196" s="7"/>
      <c r="C196" s="8">
        <v>89.3</v>
      </c>
      <c r="D196" s="8">
        <v>106.1</v>
      </c>
      <c r="E196" s="246">
        <v>12071.831374699999</v>
      </c>
      <c r="F196" s="248">
        <v>1.2046338638044001E-2</v>
      </c>
      <c r="G196" s="247">
        <v>1.1206365</v>
      </c>
      <c r="H196" s="24">
        <f t="shared" si="8"/>
        <v>6.9914298601712055E-3</v>
      </c>
      <c r="I196" s="24">
        <f t="shared" si="9"/>
        <v>1.5311004784688942E-2</v>
      </c>
      <c r="J196" s="12">
        <f t="shared" si="10"/>
        <v>1.2046338638044052E-2</v>
      </c>
      <c r="K196" s="44">
        <f t="shared" si="11"/>
        <v>-3.3058997904128473E-3</v>
      </c>
    </row>
    <row r="197" spans="1:11">
      <c r="A197" s="35">
        <v>45519</v>
      </c>
      <c r="B197" s="7"/>
      <c r="C197" s="8">
        <v>89.28</v>
      </c>
      <c r="D197" s="8">
        <v>108.3</v>
      </c>
      <c r="E197" s="246">
        <v>12150.2247821</v>
      </c>
      <c r="F197" s="248">
        <v>6.4939117327547004E-3</v>
      </c>
      <c r="G197" s="247">
        <v>1.1314137</v>
      </c>
      <c r="H197" s="24">
        <f t="shared" si="8"/>
        <v>-2.2396416573344791E-4</v>
      </c>
      <c r="I197" s="24">
        <f t="shared" si="9"/>
        <v>2.0735155513666337E-2</v>
      </c>
      <c r="J197" s="12">
        <f t="shared" si="10"/>
        <v>6.4939117327547091E-3</v>
      </c>
      <c r="K197" s="44">
        <f t="shared" si="11"/>
        <v>9.6170346048873867E-3</v>
      </c>
    </row>
    <row r="198" spans="1:11">
      <c r="A198" s="35">
        <v>45520</v>
      </c>
      <c r="B198" s="7"/>
      <c r="C198" s="8">
        <v>89.82</v>
      </c>
      <c r="D198" s="8">
        <v>109.35</v>
      </c>
      <c r="E198" s="246">
        <v>12188.726359599999</v>
      </c>
      <c r="F198" s="248">
        <v>3.16879549065807E-3</v>
      </c>
      <c r="G198" s="247">
        <v>1.1365575000000001</v>
      </c>
      <c r="H198" s="24">
        <f t="shared" si="8"/>
        <v>6.0483870967740216E-3</v>
      </c>
      <c r="I198" s="24">
        <f t="shared" si="9"/>
        <v>9.6952908587257802E-3</v>
      </c>
      <c r="J198" s="12">
        <f t="shared" si="10"/>
        <v>3.1687954906580718E-3</v>
      </c>
      <c r="K198" s="44">
        <f t="shared" si="11"/>
        <v>4.5463476357057164E-3</v>
      </c>
    </row>
    <row r="199" spans="1:11">
      <c r="A199" s="35">
        <v>45523</v>
      </c>
      <c r="B199" s="7"/>
      <c r="C199" s="8">
        <v>90.18</v>
      </c>
      <c r="D199" s="8">
        <v>109.95</v>
      </c>
      <c r="E199" s="246">
        <v>12275.236176500001</v>
      </c>
      <c r="F199" s="248">
        <v>7.0975272024107403E-3</v>
      </c>
      <c r="G199" s="247">
        <v>1.1324387</v>
      </c>
      <c r="H199" s="24">
        <f t="shared" si="8"/>
        <v>4.0080160320643543E-3</v>
      </c>
      <c r="I199" s="24">
        <f t="shared" si="9"/>
        <v>5.4869684499314619E-3</v>
      </c>
      <c r="J199" s="12">
        <f t="shared" si="10"/>
        <v>7.0975272024107472E-3</v>
      </c>
      <c r="K199" s="44">
        <f t="shared" si="11"/>
        <v>-3.6239257582657558E-3</v>
      </c>
    </row>
    <row r="200" spans="1:11">
      <c r="A200" s="35">
        <v>45524</v>
      </c>
      <c r="B200" s="7"/>
      <c r="C200" s="8">
        <v>89.28</v>
      </c>
      <c r="D200" s="8">
        <v>111.1</v>
      </c>
      <c r="E200" s="246">
        <v>12266.556957500001</v>
      </c>
      <c r="F200" s="248">
        <v>-7.0705108033808307E-4</v>
      </c>
      <c r="G200" s="247">
        <v>1.1281588</v>
      </c>
      <c r="H200" s="24">
        <f t="shared" si="8"/>
        <v>-9.9800399201597223E-3</v>
      </c>
      <c r="I200" s="24">
        <f t="shared" si="9"/>
        <v>1.0459299681673473E-2</v>
      </c>
      <c r="J200" s="12">
        <f t="shared" si="10"/>
        <v>-7.0705108033808362E-4</v>
      </c>
      <c r="K200" s="44">
        <f t="shared" si="11"/>
        <v>-3.7793657175438922E-3</v>
      </c>
    </row>
    <row r="201" spans="1:11">
      <c r="A201" s="35">
        <v>45525</v>
      </c>
      <c r="B201" s="7"/>
      <c r="C201" s="8">
        <v>89.44</v>
      </c>
      <c r="D201" s="8">
        <v>110.9</v>
      </c>
      <c r="E201" s="246">
        <v>12250.1071448</v>
      </c>
      <c r="F201" s="248">
        <v>-1.34102933341395E-3</v>
      </c>
      <c r="G201" s="247">
        <v>1.1287318</v>
      </c>
      <c r="H201" s="24">
        <f t="shared" si="8"/>
        <v>1.7921146953405742E-3</v>
      </c>
      <c r="I201" s="24">
        <f t="shared" si="9"/>
        <v>-1.8001800180017513E-3</v>
      </c>
      <c r="J201" s="12">
        <f t="shared" si="10"/>
        <v>-1.3410293334139567E-3</v>
      </c>
      <c r="K201" s="44">
        <f t="shared" si="11"/>
        <v>5.0790722015370271E-4</v>
      </c>
    </row>
    <row r="202" spans="1:11">
      <c r="A202" s="35">
        <v>45526</v>
      </c>
      <c r="B202" s="7"/>
      <c r="C202" s="8">
        <v>89.44</v>
      </c>
      <c r="D202" s="8">
        <v>115.9</v>
      </c>
      <c r="E202" s="246">
        <v>12305.4537817</v>
      </c>
      <c r="F202" s="248">
        <v>4.5180532909456696E-3</v>
      </c>
      <c r="G202" s="247">
        <v>1.1360409</v>
      </c>
      <c r="H202" s="24">
        <f t="shared" ref="H202:H265" si="12">(C202/C201)-1</f>
        <v>0</v>
      </c>
      <c r="I202" s="24">
        <f t="shared" ref="I202:I265" si="13">(D202/D201)-1</f>
        <v>4.508566275924264E-2</v>
      </c>
      <c r="J202" s="12">
        <f t="shared" ref="J202:J265" si="14">(E202/E201)-1</f>
        <v>4.5180532909456783E-3</v>
      </c>
      <c r="K202" s="44">
        <f t="shared" ref="K202:K265" si="15">(G202/G201)-1</f>
        <v>6.4754975451211116E-3</v>
      </c>
    </row>
    <row r="203" spans="1:11">
      <c r="A203" s="35">
        <v>45527</v>
      </c>
      <c r="B203" s="7"/>
      <c r="C203" s="8">
        <v>89.54</v>
      </c>
      <c r="D203" s="8">
        <v>117.85</v>
      </c>
      <c r="E203" s="246">
        <v>12347.459862199999</v>
      </c>
      <c r="F203" s="248">
        <v>3.4136149097132502E-3</v>
      </c>
      <c r="G203" s="247">
        <v>1.1440338000000001</v>
      </c>
      <c r="H203" s="24">
        <f t="shared" si="12"/>
        <v>1.1180679785331993E-3</v>
      </c>
      <c r="I203" s="24">
        <f t="shared" si="13"/>
        <v>1.6824849007765152E-2</v>
      </c>
      <c r="J203" s="12">
        <f t="shared" si="14"/>
        <v>3.4136149097132584E-3</v>
      </c>
      <c r="K203" s="44">
        <f t="shared" si="15"/>
        <v>7.0357502093454372E-3</v>
      </c>
    </row>
    <row r="204" spans="1:11">
      <c r="A204" s="35">
        <v>45530</v>
      </c>
      <c r="B204" s="7"/>
      <c r="C204" s="8">
        <v>89.72</v>
      </c>
      <c r="D204" s="8">
        <v>115.75</v>
      </c>
      <c r="E204" s="246">
        <v>12354.3518169</v>
      </c>
      <c r="F204" s="248">
        <v>5.5816781564121899E-4</v>
      </c>
      <c r="G204" s="247">
        <v>1.1638733000000001</v>
      </c>
      <c r="H204" s="24">
        <f t="shared" si="12"/>
        <v>2.0102747375474461E-3</v>
      </c>
      <c r="I204" s="24">
        <f t="shared" si="13"/>
        <v>-1.7819261773440731E-2</v>
      </c>
      <c r="J204" s="12">
        <f t="shared" si="14"/>
        <v>5.5816781564121953E-4</v>
      </c>
      <c r="K204" s="44">
        <f t="shared" si="15"/>
        <v>1.7341707911077364E-2</v>
      </c>
    </row>
    <row r="205" spans="1:11">
      <c r="A205" s="35">
        <v>45531</v>
      </c>
      <c r="B205" s="7"/>
      <c r="C205" s="8">
        <v>89.68</v>
      </c>
      <c r="D205" s="8">
        <v>115.45</v>
      </c>
      <c r="E205" s="246">
        <v>12296.724872700001</v>
      </c>
      <c r="F205" s="248">
        <v>-4.6645056781666697E-3</v>
      </c>
      <c r="G205" s="247">
        <v>1.1779256</v>
      </c>
      <c r="H205" s="24">
        <f t="shared" si="12"/>
        <v>-4.4583147570209647E-4</v>
      </c>
      <c r="I205" s="24">
        <f t="shared" si="13"/>
        <v>-2.5917926565874883E-3</v>
      </c>
      <c r="J205" s="12">
        <f t="shared" si="14"/>
        <v>-4.6645056781666749E-3</v>
      </c>
      <c r="K205" s="44">
        <f t="shared" si="15"/>
        <v>1.2073736892151299E-2</v>
      </c>
    </row>
    <row r="206" spans="1:11">
      <c r="A206" s="35">
        <v>45532</v>
      </c>
      <c r="B206" s="7"/>
      <c r="C206" s="8">
        <v>90.32</v>
      </c>
      <c r="D206" s="8">
        <v>117.05</v>
      </c>
      <c r="E206" s="246">
        <v>12348.700717199999</v>
      </c>
      <c r="F206" s="248">
        <v>4.2268038878703305E-3</v>
      </c>
      <c r="G206" s="247">
        <v>1.1729517</v>
      </c>
      <c r="H206" s="24">
        <f t="shared" si="12"/>
        <v>7.1364852809989721E-3</v>
      </c>
      <c r="I206" s="24">
        <f t="shared" si="13"/>
        <v>1.3858813339107767E-2</v>
      </c>
      <c r="J206" s="12">
        <f t="shared" si="14"/>
        <v>4.226803887870334E-3</v>
      </c>
      <c r="K206" s="44">
        <f t="shared" si="15"/>
        <v>-4.2225926662939894E-3</v>
      </c>
    </row>
    <row r="207" spans="1:11">
      <c r="A207" s="35">
        <v>45533</v>
      </c>
      <c r="B207" s="7"/>
      <c r="C207" s="8">
        <v>91.1</v>
      </c>
      <c r="D207" s="8">
        <v>116.2</v>
      </c>
      <c r="E207" s="246">
        <v>12417.7156634</v>
      </c>
      <c r="F207" s="248">
        <v>5.58884272771087E-3</v>
      </c>
      <c r="G207" s="247">
        <v>1.1557354</v>
      </c>
      <c r="H207" s="24">
        <f t="shared" si="12"/>
        <v>8.6359610274580056E-3</v>
      </c>
      <c r="I207" s="24">
        <f t="shared" si="13"/>
        <v>-7.2618539085860245E-3</v>
      </c>
      <c r="J207" s="12">
        <f t="shared" si="14"/>
        <v>5.5888427277108743E-3</v>
      </c>
      <c r="K207" s="44">
        <f t="shared" si="15"/>
        <v>-1.4677756978399126E-2</v>
      </c>
    </row>
    <row r="208" spans="1:11">
      <c r="A208" s="35">
        <v>45534</v>
      </c>
      <c r="B208" s="7"/>
      <c r="C208" s="8">
        <v>91.02</v>
      </c>
      <c r="D208" s="8">
        <v>115.7</v>
      </c>
      <c r="E208" s="246">
        <v>12436.593919200001</v>
      </c>
      <c r="F208" s="248">
        <v>1.52026800353E-3</v>
      </c>
      <c r="G208" s="247">
        <v>1.1562030000000001</v>
      </c>
      <c r="H208" s="24">
        <f t="shared" si="12"/>
        <v>-8.7815587266737438E-4</v>
      </c>
      <c r="I208" s="24">
        <f t="shared" si="13"/>
        <v>-4.3029259896729677E-3</v>
      </c>
      <c r="J208" s="12">
        <f t="shared" si="14"/>
        <v>1.5202680035300009E-3</v>
      </c>
      <c r="K208" s="44">
        <f t="shared" si="15"/>
        <v>4.0459087780830849E-4</v>
      </c>
    </row>
    <row r="209" spans="1:11">
      <c r="A209" s="35">
        <v>45538</v>
      </c>
      <c r="B209" s="7"/>
      <c r="C209" s="8">
        <v>91.48</v>
      </c>
      <c r="D209" s="8">
        <v>117.3</v>
      </c>
      <c r="E209" s="246">
        <v>12348.1919891</v>
      </c>
      <c r="F209" s="248">
        <v>-7.10821071061285E-3</v>
      </c>
      <c r="G209" s="247">
        <v>1.1562699000000001</v>
      </c>
      <c r="H209" s="24">
        <f t="shared" si="12"/>
        <v>5.0538343221271376E-3</v>
      </c>
      <c r="I209" s="24">
        <f t="shared" si="13"/>
        <v>1.3828867761451979E-2</v>
      </c>
      <c r="J209" s="12">
        <f t="shared" si="14"/>
        <v>-7.10821071061285E-3</v>
      </c>
      <c r="K209" s="44">
        <f t="shared" si="15"/>
        <v>5.786181146394398E-5</v>
      </c>
    </row>
    <row r="210" spans="1:11">
      <c r="A210" s="35">
        <v>45539</v>
      </c>
      <c r="B210" s="7"/>
      <c r="C210" s="8">
        <v>89.64</v>
      </c>
      <c r="D210" s="8">
        <v>116.55</v>
      </c>
      <c r="E210" s="246">
        <v>12176.1670314</v>
      </c>
      <c r="F210" s="248">
        <v>-1.39311858652545E-2</v>
      </c>
      <c r="G210" s="247">
        <v>1.151742</v>
      </c>
      <c r="H210" s="24">
        <f t="shared" si="12"/>
        <v>-2.0113686051596025E-2</v>
      </c>
      <c r="I210" s="24">
        <f t="shared" si="13"/>
        <v>-6.3938618925831747E-3</v>
      </c>
      <c r="J210" s="12">
        <f t="shared" si="14"/>
        <v>-1.3931185865254547E-2</v>
      </c>
      <c r="K210" s="44">
        <f t="shared" si="15"/>
        <v>-3.9159542248743406E-3</v>
      </c>
    </row>
    <row r="211" spans="1:11">
      <c r="A211" s="35">
        <v>45540</v>
      </c>
      <c r="B211" s="7"/>
      <c r="C211" s="8">
        <v>88.48</v>
      </c>
      <c r="D211" s="8">
        <v>116.95</v>
      </c>
      <c r="E211" s="246">
        <v>12031.3392589</v>
      </c>
      <c r="F211" s="248">
        <v>-1.1894364796944501E-2</v>
      </c>
      <c r="G211" s="247">
        <v>1.1554682000000001</v>
      </c>
      <c r="H211" s="24">
        <f t="shared" si="12"/>
        <v>-1.2940651494868338E-2</v>
      </c>
      <c r="I211" s="24">
        <f t="shared" si="13"/>
        <v>3.4320034320034498E-3</v>
      </c>
      <c r="J211" s="12">
        <f t="shared" si="14"/>
        <v>-1.1894364796944501E-2</v>
      </c>
      <c r="K211" s="44">
        <f t="shared" si="15"/>
        <v>3.2352731774998311E-3</v>
      </c>
    </row>
    <row r="212" spans="1:11">
      <c r="A212" s="35">
        <v>45541</v>
      </c>
      <c r="B212" s="7"/>
      <c r="C212" s="8">
        <v>87.54</v>
      </c>
      <c r="D212" s="8">
        <v>114.45</v>
      </c>
      <c r="E212" s="246">
        <v>11908.2402943</v>
      </c>
      <c r="F212" s="248">
        <v>-1.02315263455761E-2</v>
      </c>
      <c r="G212" s="247">
        <v>1.1581447</v>
      </c>
      <c r="H212" s="24">
        <f t="shared" si="12"/>
        <v>-1.0623869801084984E-2</v>
      </c>
      <c r="I212" s="24">
        <f t="shared" si="13"/>
        <v>-2.1376656690893503E-2</v>
      </c>
      <c r="J212" s="12">
        <f t="shared" si="14"/>
        <v>-1.0231526345576114E-2</v>
      </c>
      <c r="K212" s="44">
        <f t="shared" si="15"/>
        <v>2.3163770322713884E-3</v>
      </c>
    </row>
    <row r="213" spans="1:11">
      <c r="A213" s="35">
        <v>45544</v>
      </c>
      <c r="B213" s="7"/>
      <c r="C213" s="8">
        <v>88.1</v>
      </c>
      <c r="D213" s="8">
        <v>115.5</v>
      </c>
      <c r="E213" s="246">
        <v>11980.636674199999</v>
      </c>
      <c r="F213" s="248">
        <v>6.0795195688696504E-3</v>
      </c>
      <c r="G213" s="247">
        <v>1.1480397</v>
      </c>
      <c r="H213" s="24">
        <f t="shared" si="12"/>
        <v>6.3970756225724124E-3</v>
      </c>
      <c r="I213" s="24">
        <f t="shared" si="13"/>
        <v>9.1743119266054496E-3</v>
      </c>
      <c r="J213" s="12">
        <f t="shared" si="14"/>
        <v>6.0795195688696513E-3</v>
      </c>
      <c r="K213" s="44">
        <f t="shared" si="15"/>
        <v>-8.7251618903925188E-3</v>
      </c>
    </row>
    <row r="214" spans="1:11">
      <c r="A214" s="35">
        <v>45545</v>
      </c>
      <c r="B214" s="7"/>
      <c r="C214" s="8">
        <v>88.3</v>
      </c>
      <c r="D214" s="8">
        <v>115.35</v>
      </c>
      <c r="E214" s="246">
        <v>11964.713418400001</v>
      </c>
      <c r="F214" s="248">
        <v>-1.3290826049577799E-3</v>
      </c>
      <c r="G214" s="247">
        <v>1.1516093000000001</v>
      </c>
      <c r="H214" s="24">
        <f t="shared" si="12"/>
        <v>2.2701475595914289E-3</v>
      </c>
      <c r="I214" s="24">
        <f t="shared" si="13"/>
        <v>-1.2987012987013546E-3</v>
      </c>
      <c r="J214" s="12">
        <f t="shared" si="14"/>
        <v>-1.3290826049577875E-3</v>
      </c>
      <c r="K214" s="44">
        <f t="shared" si="15"/>
        <v>3.1093001400561704E-3</v>
      </c>
    </row>
    <row r="215" spans="1:11">
      <c r="A215" s="35">
        <v>45546</v>
      </c>
      <c r="B215" s="7"/>
      <c r="C215" s="8">
        <v>87.76</v>
      </c>
      <c r="D215" s="8">
        <v>114.6</v>
      </c>
      <c r="E215" s="246">
        <v>11922.905258500001</v>
      </c>
      <c r="F215" s="248">
        <v>-3.4942884495423598E-3</v>
      </c>
      <c r="G215" s="247">
        <v>1.1580105000000001</v>
      </c>
      <c r="H215" s="24">
        <f t="shared" si="12"/>
        <v>-6.1155152887881759E-3</v>
      </c>
      <c r="I215" s="24">
        <f t="shared" si="13"/>
        <v>-6.5019505851755532E-3</v>
      </c>
      <c r="J215" s="12">
        <f t="shared" si="14"/>
        <v>-3.4942884495423598E-3</v>
      </c>
      <c r="K215" s="44">
        <f t="shared" si="15"/>
        <v>5.5584823776604342E-3</v>
      </c>
    </row>
    <row r="216" spans="1:11">
      <c r="A216" s="35">
        <v>45547</v>
      </c>
      <c r="B216" s="7"/>
      <c r="C216" s="8">
        <v>87.88</v>
      </c>
      <c r="D216" s="8">
        <v>115.2</v>
      </c>
      <c r="E216" s="246">
        <v>11982.339460699999</v>
      </c>
      <c r="F216" s="248">
        <v>4.9848758261017397E-3</v>
      </c>
      <c r="G216" s="247">
        <v>1.1665208</v>
      </c>
      <c r="H216" s="24">
        <f t="shared" si="12"/>
        <v>1.3673655423882547E-3</v>
      </c>
      <c r="I216" s="24">
        <f t="shared" si="13"/>
        <v>5.2356020942410098E-3</v>
      </c>
      <c r="J216" s="12">
        <f t="shared" si="14"/>
        <v>4.9848758261017423E-3</v>
      </c>
      <c r="K216" s="44">
        <f t="shared" si="15"/>
        <v>7.3490698054983206E-3</v>
      </c>
    </row>
    <row r="217" spans="1:11">
      <c r="A217" s="35">
        <v>45548</v>
      </c>
      <c r="B217" s="7"/>
      <c r="C217" s="8">
        <v>87.6</v>
      </c>
      <c r="D217" s="8">
        <v>115.85</v>
      </c>
      <c r="E217" s="246">
        <v>12037.2784932</v>
      </c>
      <c r="F217" s="248">
        <v>4.5850005068035398E-3</v>
      </c>
      <c r="G217" s="247">
        <v>1.1719894</v>
      </c>
      <c r="H217" s="24">
        <f t="shared" si="12"/>
        <v>-3.1861629494766008E-3</v>
      </c>
      <c r="I217" s="24">
        <f t="shared" si="13"/>
        <v>5.6423611111109384E-3</v>
      </c>
      <c r="J217" s="12">
        <f t="shared" si="14"/>
        <v>4.5850005068035493E-3</v>
      </c>
      <c r="K217" s="44">
        <f t="shared" si="15"/>
        <v>4.6879575572076337E-3</v>
      </c>
    </row>
    <row r="218" spans="1:11">
      <c r="A218" s="35">
        <v>45551</v>
      </c>
      <c r="B218" s="7"/>
      <c r="C218" s="8">
        <v>86.76</v>
      </c>
      <c r="D218" s="8">
        <v>116.15</v>
      </c>
      <c r="E218" s="246">
        <v>12005.469097499999</v>
      </c>
      <c r="F218" s="248">
        <v>-2.6425737111565001E-3</v>
      </c>
      <c r="G218" s="247">
        <v>1.1734335</v>
      </c>
      <c r="H218" s="24">
        <f t="shared" si="12"/>
        <v>-9.5890410958903161E-3</v>
      </c>
      <c r="I218" s="24">
        <f t="shared" si="13"/>
        <v>2.5895554596462311E-3</v>
      </c>
      <c r="J218" s="12">
        <f t="shared" si="14"/>
        <v>-2.642573711156504E-3</v>
      </c>
      <c r="K218" s="44">
        <f t="shared" si="15"/>
        <v>1.23217837977041E-3</v>
      </c>
    </row>
    <row r="219" spans="1:11">
      <c r="A219" s="35">
        <v>45552</v>
      </c>
      <c r="B219" s="7"/>
      <c r="C219" s="8">
        <v>86.46</v>
      </c>
      <c r="D219" s="8">
        <v>115.85</v>
      </c>
      <c r="E219" s="246">
        <v>12042.783414</v>
      </c>
      <c r="F219" s="248">
        <v>3.1081098286922498E-3</v>
      </c>
      <c r="G219" s="247">
        <v>1.1783421000000001</v>
      </c>
      <c r="H219" s="24">
        <f t="shared" si="12"/>
        <v>-3.4578146611342619E-3</v>
      </c>
      <c r="I219" s="24">
        <f t="shared" si="13"/>
        <v>-2.5828669823505512E-3</v>
      </c>
      <c r="J219" s="12">
        <f t="shared" si="14"/>
        <v>3.1081098286922515E-3</v>
      </c>
      <c r="K219" s="44">
        <f t="shared" si="15"/>
        <v>4.1831087999448791E-3</v>
      </c>
    </row>
    <row r="220" spans="1:11">
      <c r="A220" s="35">
        <v>45553</v>
      </c>
      <c r="B220" s="7"/>
      <c r="C220" s="8">
        <v>85.7</v>
      </c>
      <c r="D220" s="8">
        <v>115.4</v>
      </c>
      <c r="E220" s="246">
        <v>11982.303544599999</v>
      </c>
      <c r="F220" s="248">
        <v>-5.0220839585715105E-3</v>
      </c>
      <c r="G220" s="247">
        <v>1.1811256000000001</v>
      </c>
      <c r="H220" s="24">
        <f t="shared" si="12"/>
        <v>-8.790191996298713E-3</v>
      </c>
      <c r="I220" s="24">
        <f t="shared" si="13"/>
        <v>-3.8843331894690136E-3</v>
      </c>
      <c r="J220" s="12">
        <f t="shared" si="14"/>
        <v>-5.0220839585715105E-3</v>
      </c>
      <c r="K220" s="44">
        <f t="shared" si="15"/>
        <v>2.3622172202792946E-3</v>
      </c>
    </row>
    <row r="221" spans="1:11">
      <c r="A221" s="35">
        <v>45554</v>
      </c>
      <c r="B221" s="7"/>
      <c r="C221" s="8">
        <v>85.4</v>
      </c>
      <c r="D221" s="8">
        <v>115.85</v>
      </c>
      <c r="E221" s="246">
        <v>12058.299076400001</v>
      </c>
      <c r="F221" s="248">
        <v>6.3423140231035902E-3</v>
      </c>
      <c r="G221" s="247">
        <v>1.1865915</v>
      </c>
      <c r="H221" s="24">
        <f t="shared" si="12"/>
        <v>-3.500583430571691E-3</v>
      </c>
      <c r="I221" s="24">
        <f t="shared" si="13"/>
        <v>3.8994800693239462E-3</v>
      </c>
      <c r="J221" s="12">
        <f t="shared" si="14"/>
        <v>6.3423140231035902E-3</v>
      </c>
      <c r="K221" s="44">
        <f t="shared" si="15"/>
        <v>4.6277042847939764E-3</v>
      </c>
    </row>
    <row r="222" spans="1:11">
      <c r="A222" s="35">
        <v>45555</v>
      </c>
      <c r="B222" s="7"/>
      <c r="C222" s="8">
        <v>82.04</v>
      </c>
      <c r="D222" s="8">
        <v>116.3</v>
      </c>
      <c r="E222" s="246">
        <v>11934.0746091</v>
      </c>
      <c r="F222" s="248">
        <v>-1.0301989236867299E-2</v>
      </c>
      <c r="G222" s="247">
        <v>1.1876484</v>
      </c>
      <c r="H222" s="24">
        <f t="shared" si="12"/>
        <v>-3.9344262295081922E-2</v>
      </c>
      <c r="I222" s="24">
        <f t="shared" si="13"/>
        <v>3.8843331894691246E-3</v>
      </c>
      <c r="J222" s="12">
        <f t="shared" si="14"/>
        <v>-1.0301989236867315E-2</v>
      </c>
      <c r="K222" s="44">
        <f t="shared" si="15"/>
        <v>8.9070248691314191E-4</v>
      </c>
    </row>
    <row r="223" spans="1:11">
      <c r="A223" s="35">
        <v>45558</v>
      </c>
      <c r="B223" s="7"/>
      <c r="C223" s="8">
        <v>82.88</v>
      </c>
      <c r="D223" s="8">
        <v>115.7</v>
      </c>
      <c r="E223" s="246">
        <v>11965.3525446</v>
      </c>
      <c r="F223" s="248">
        <v>2.6208932426272603E-3</v>
      </c>
      <c r="G223" s="247">
        <v>1.1784809000000001</v>
      </c>
      <c r="H223" s="24">
        <f t="shared" si="12"/>
        <v>1.0238907849829282E-2</v>
      </c>
      <c r="I223" s="24">
        <f t="shared" si="13"/>
        <v>-5.1590713671538779E-3</v>
      </c>
      <c r="J223" s="12">
        <f t="shared" si="14"/>
        <v>2.6208932426272646E-3</v>
      </c>
      <c r="K223" s="44">
        <f t="shared" si="15"/>
        <v>-7.719035364338489E-3</v>
      </c>
    </row>
    <row r="224" spans="1:11">
      <c r="A224" s="35">
        <v>45559</v>
      </c>
      <c r="B224" s="7"/>
      <c r="C224" s="8">
        <v>84</v>
      </c>
      <c r="D224" s="8">
        <v>117.3</v>
      </c>
      <c r="E224" s="246">
        <v>12048.8456799</v>
      </c>
      <c r="F224" s="248">
        <v>6.9779085061458801E-3</v>
      </c>
      <c r="G224" s="247">
        <v>1.1786198999999999</v>
      </c>
      <c r="H224" s="24">
        <f t="shared" si="12"/>
        <v>1.3513513513513598E-2</v>
      </c>
      <c r="I224" s="24">
        <f t="shared" si="13"/>
        <v>1.3828867761451979E-2</v>
      </c>
      <c r="J224" s="12">
        <f t="shared" si="14"/>
        <v>6.9779085061458801E-3</v>
      </c>
      <c r="K224" s="44">
        <f t="shared" si="15"/>
        <v>1.179484538103015E-4</v>
      </c>
    </row>
    <row r="225" spans="1:11">
      <c r="A225" s="35">
        <v>45560</v>
      </c>
      <c r="B225" s="7"/>
      <c r="C225" s="8">
        <v>84.36</v>
      </c>
      <c r="D225" s="8">
        <v>118.1</v>
      </c>
      <c r="E225" s="246">
        <v>12148.3846393</v>
      </c>
      <c r="F225" s="248">
        <v>8.261285939287431E-3</v>
      </c>
      <c r="G225" s="247">
        <v>1.175019</v>
      </c>
      <c r="H225" s="24">
        <f t="shared" si="12"/>
        <v>4.2857142857142261E-3</v>
      </c>
      <c r="I225" s="24">
        <f t="shared" si="13"/>
        <v>6.8201193520887049E-3</v>
      </c>
      <c r="J225" s="12">
        <f t="shared" si="14"/>
        <v>8.2612859392874327E-3</v>
      </c>
      <c r="K225" s="44">
        <f t="shared" si="15"/>
        <v>-3.0551834395464716E-3</v>
      </c>
    </row>
    <row r="226" spans="1:11">
      <c r="A226" s="35">
        <v>45561</v>
      </c>
      <c r="B226" s="7"/>
      <c r="C226" s="8">
        <v>84.82</v>
      </c>
      <c r="D226" s="8">
        <v>117.65</v>
      </c>
      <c r="E226" s="246">
        <v>12209.6183157</v>
      </c>
      <c r="F226" s="248">
        <v>5.0404788964211102E-3</v>
      </c>
      <c r="G226" s="247">
        <v>1.176609</v>
      </c>
      <c r="H226" s="24">
        <f t="shared" si="12"/>
        <v>5.4528212422948474E-3</v>
      </c>
      <c r="I226" s="24">
        <f t="shared" si="13"/>
        <v>-3.8103302286197627E-3</v>
      </c>
      <c r="J226" s="12">
        <f t="shared" si="14"/>
        <v>5.0404788964211189E-3</v>
      </c>
      <c r="K226" s="44">
        <f t="shared" si="15"/>
        <v>1.3531696083211031E-3</v>
      </c>
    </row>
    <row r="227" spans="1:11">
      <c r="A227" s="35">
        <v>45562</v>
      </c>
      <c r="B227" s="7"/>
      <c r="C227" s="8">
        <v>85.2</v>
      </c>
      <c r="D227" s="8">
        <v>117.5</v>
      </c>
      <c r="E227" s="246">
        <v>12234.0492259</v>
      </c>
      <c r="F227" s="248">
        <v>2.0009560961120601E-3</v>
      </c>
      <c r="G227" s="247">
        <v>1.1798713999999999</v>
      </c>
      <c r="H227" s="24">
        <f t="shared" si="12"/>
        <v>4.4800754539024989E-3</v>
      </c>
      <c r="I227" s="24">
        <f t="shared" si="13"/>
        <v>-1.2749681257968604E-3</v>
      </c>
      <c r="J227" s="12">
        <f t="shared" si="14"/>
        <v>2.0009560961120609E-3</v>
      </c>
      <c r="K227" s="44">
        <f t="shared" si="15"/>
        <v>2.7727137902224808E-3</v>
      </c>
    </row>
    <row r="228" spans="1:11">
      <c r="A228" s="35">
        <v>45565</v>
      </c>
      <c r="B228" s="7"/>
      <c r="C228" s="8">
        <v>84.96</v>
      </c>
      <c r="D228" s="8">
        <v>116.7</v>
      </c>
      <c r="E228" s="246">
        <v>12168.8694153</v>
      </c>
      <c r="F228" s="248">
        <v>-5.3277381344855003E-3</v>
      </c>
      <c r="G228" s="247">
        <v>1.1787586999999999</v>
      </c>
      <c r="H228" s="24">
        <f t="shared" si="12"/>
        <v>-2.8169014084508115E-3</v>
      </c>
      <c r="I228" s="24">
        <f t="shared" si="13"/>
        <v>-6.8085106382977933E-3</v>
      </c>
      <c r="J228" s="12">
        <f t="shared" si="14"/>
        <v>-5.3277381344855046E-3</v>
      </c>
      <c r="K228" s="44">
        <f t="shared" si="15"/>
        <v>-9.4306888021866708E-4</v>
      </c>
    </row>
    <row r="229" spans="1:11">
      <c r="A229" s="35">
        <v>45566</v>
      </c>
      <c r="B229" s="7"/>
      <c r="C229" s="8">
        <v>84.92</v>
      </c>
      <c r="D229" s="8">
        <v>115.35</v>
      </c>
      <c r="E229" s="246">
        <v>12086.663423100001</v>
      </c>
      <c r="F229" s="248">
        <v>-6.7554338364943503E-3</v>
      </c>
      <c r="G229" s="247">
        <v>1.187578</v>
      </c>
      <c r="H229" s="24">
        <f t="shared" si="12"/>
        <v>-4.7080979284364055E-4</v>
      </c>
      <c r="I229" s="24">
        <f t="shared" si="13"/>
        <v>-1.1568123393316254E-2</v>
      </c>
      <c r="J229" s="12">
        <f t="shared" si="14"/>
        <v>-6.7554338364943511E-3</v>
      </c>
      <c r="K229" s="44">
        <f t="shared" si="15"/>
        <v>7.4818535803808928E-3</v>
      </c>
    </row>
    <row r="230" spans="1:11">
      <c r="A230" s="35">
        <v>45567</v>
      </c>
      <c r="B230" s="7"/>
      <c r="C230" s="8">
        <v>85.06</v>
      </c>
      <c r="D230" s="8">
        <v>114.4</v>
      </c>
      <c r="E230" s="246">
        <v>12122.0927875</v>
      </c>
      <c r="F230" s="248">
        <v>2.9312774882343999E-3</v>
      </c>
      <c r="G230" s="247">
        <v>1.1798713999999999</v>
      </c>
      <c r="H230" s="24">
        <f t="shared" si="12"/>
        <v>1.6486104569006788E-3</v>
      </c>
      <c r="I230" s="24">
        <f t="shared" si="13"/>
        <v>-8.2358040745555972E-3</v>
      </c>
      <c r="J230" s="12">
        <f t="shared" si="14"/>
        <v>2.9312774882344073E-3</v>
      </c>
      <c r="K230" s="44">
        <f t="shared" si="15"/>
        <v>-6.4893421737352019E-3</v>
      </c>
    </row>
    <row r="231" spans="1:11">
      <c r="A231" s="35">
        <v>45568</v>
      </c>
      <c r="B231" s="7"/>
      <c r="C231" s="8">
        <v>83.98</v>
      </c>
      <c r="D231" s="8">
        <v>113.9</v>
      </c>
      <c r="E231" s="246">
        <v>12012.317161499999</v>
      </c>
      <c r="F231" s="248">
        <v>-9.0558311938676497E-3</v>
      </c>
      <c r="G231" s="247">
        <v>1.1795931</v>
      </c>
      <c r="H231" s="24">
        <f t="shared" si="12"/>
        <v>-1.269691982130261E-2</v>
      </c>
      <c r="I231" s="24">
        <f t="shared" si="13"/>
        <v>-4.3706293706293753E-3</v>
      </c>
      <c r="J231" s="12">
        <f t="shared" si="14"/>
        <v>-9.0558311938676583E-3</v>
      </c>
      <c r="K231" s="44">
        <f t="shared" si="15"/>
        <v>-2.3587316380413448E-4</v>
      </c>
    </row>
    <row r="232" spans="1:11">
      <c r="A232" s="35">
        <v>45569</v>
      </c>
      <c r="B232" s="7"/>
      <c r="C232" s="8">
        <v>83.72</v>
      </c>
      <c r="D232" s="8">
        <v>114.85</v>
      </c>
      <c r="E232" s="246">
        <v>11997.0930852</v>
      </c>
      <c r="F232" s="248">
        <v>-1.26737215603933E-3</v>
      </c>
      <c r="G232" s="247">
        <v>1.1786198999999999</v>
      </c>
      <c r="H232" s="24">
        <f t="shared" si="12"/>
        <v>-3.0959752321981782E-3</v>
      </c>
      <c r="I232" s="24">
        <f t="shared" si="13"/>
        <v>8.3406496927127538E-3</v>
      </c>
      <c r="J232" s="12">
        <f t="shared" si="14"/>
        <v>-1.267372156039337E-3</v>
      </c>
      <c r="K232" s="44">
        <f t="shared" si="15"/>
        <v>-8.2503025831537347E-4</v>
      </c>
    </row>
    <row r="233" spans="1:11">
      <c r="A233" s="35">
        <v>45572</v>
      </c>
      <c r="B233" s="7"/>
      <c r="C233" s="8">
        <v>83.62</v>
      </c>
      <c r="D233" s="8">
        <v>110.3</v>
      </c>
      <c r="E233" s="246">
        <v>12008.7038022</v>
      </c>
      <c r="F233" s="248">
        <v>9.6779419127135293E-4</v>
      </c>
      <c r="G233" s="247">
        <v>1.1710286999999999</v>
      </c>
      <c r="H233" s="24">
        <f t="shared" si="12"/>
        <v>-1.1944577161967507E-3</v>
      </c>
      <c r="I233" s="24">
        <f t="shared" si="13"/>
        <v>-3.9616891597736181E-2</v>
      </c>
      <c r="J233" s="12">
        <f t="shared" si="14"/>
        <v>9.6779419127135391E-4</v>
      </c>
      <c r="K233" s="44">
        <f t="shared" si="15"/>
        <v>-6.4407532912009735E-3</v>
      </c>
    </row>
    <row r="234" spans="1:11">
      <c r="A234" s="35">
        <v>45573</v>
      </c>
      <c r="B234" s="7"/>
      <c r="C234" s="8">
        <v>83.34</v>
      </c>
      <c r="D234" s="8">
        <v>110.45</v>
      </c>
      <c r="E234" s="246">
        <v>12010.9866668</v>
      </c>
      <c r="F234" s="248">
        <v>1.90100833328932E-4</v>
      </c>
      <c r="G234" s="247">
        <v>1.1794538000000001</v>
      </c>
      <c r="H234" s="24">
        <f t="shared" si="12"/>
        <v>-3.3484812245874185E-3</v>
      </c>
      <c r="I234" s="24">
        <f t="shared" si="13"/>
        <v>1.3599274705349274E-3</v>
      </c>
      <c r="J234" s="12">
        <f t="shared" si="14"/>
        <v>1.9010083332893224E-4</v>
      </c>
      <c r="K234" s="44">
        <f t="shared" si="15"/>
        <v>7.1946144445478311E-3</v>
      </c>
    </row>
    <row r="235" spans="1:11">
      <c r="A235" s="35">
        <v>45574</v>
      </c>
      <c r="B235" s="7"/>
      <c r="C235" s="8">
        <v>83.96</v>
      </c>
      <c r="D235" s="8">
        <v>112.55</v>
      </c>
      <c r="E235" s="246">
        <v>12122.933538499999</v>
      </c>
      <c r="F235" s="248">
        <v>9.3203726559314398E-3</v>
      </c>
      <c r="G235" s="247">
        <v>1.1830818999999999</v>
      </c>
      <c r="H235" s="24">
        <f t="shared" si="12"/>
        <v>7.4394048476120744E-3</v>
      </c>
      <c r="I235" s="24">
        <f t="shared" si="13"/>
        <v>1.9013128112267852E-2</v>
      </c>
      <c r="J235" s="12">
        <f t="shared" si="14"/>
        <v>9.3203726559314415E-3</v>
      </c>
      <c r="K235" s="44">
        <f t="shared" si="15"/>
        <v>3.0760848792887874E-3</v>
      </c>
    </row>
    <row r="236" spans="1:11">
      <c r="A236" s="35">
        <v>45575</v>
      </c>
      <c r="B236" s="7"/>
      <c r="C236" s="8">
        <v>83.8</v>
      </c>
      <c r="D236" s="8">
        <v>115.65</v>
      </c>
      <c r="E236" s="246">
        <v>12077.7574016</v>
      </c>
      <c r="F236" s="248">
        <v>-3.72650206788061E-3</v>
      </c>
      <c r="G236" s="247">
        <v>1.1812651000000001</v>
      </c>
      <c r="H236" s="24">
        <f t="shared" si="12"/>
        <v>-1.9056693663649371E-3</v>
      </c>
      <c r="I236" s="24">
        <f t="shared" si="13"/>
        <v>2.7543314082629999E-2</v>
      </c>
      <c r="J236" s="12">
        <f t="shared" si="14"/>
        <v>-3.7265020678806104E-3</v>
      </c>
      <c r="K236" s="44">
        <f t="shared" si="15"/>
        <v>-1.5356502368938374E-3</v>
      </c>
    </row>
    <row r="237" spans="1:11">
      <c r="A237" s="35">
        <v>45576</v>
      </c>
      <c r="B237" s="7"/>
      <c r="C237" s="8">
        <v>84</v>
      </c>
      <c r="D237" s="8">
        <v>116.45</v>
      </c>
      <c r="E237" s="246">
        <v>12154.19442</v>
      </c>
      <c r="F237" s="248">
        <v>6.3287426513363096E-3</v>
      </c>
      <c r="G237" s="247">
        <v>1.1822428</v>
      </c>
      <c r="H237" s="24">
        <f t="shared" si="12"/>
        <v>2.3866348448686736E-3</v>
      </c>
      <c r="I237" s="24">
        <f t="shared" si="13"/>
        <v>6.9174232598356866E-3</v>
      </c>
      <c r="J237" s="12">
        <f t="shared" si="14"/>
        <v>6.3287426513363165E-3</v>
      </c>
      <c r="K237" s="44">
        <f t="shared" si="15"/>
        <v>8.2767195949484673E-4</v>
      </c>
    </row>
    <row r="238" spans="1:11">
      <c r="A238" s="35">
        <v>45579</v>
      </c>
      <c r="B238" s="7"/>
      <c r="C238" s="8">
        <v>84.32</v>
      </c>
      <c r="D238" s="8">
        <v>118.15</v>
      </c>
      <c r="E238" s="246">
        <v>12259.225321100001</v>
      </c>
      <c r="F238" s="248">
        <v>8.6415353803432904E-3</v>
      </c>
      <c r="G238" s="247">
        <v>1.1788977</v>
      </c>
      <c r="H238" s="24">
        <f t="shared" si="12"/>
        <v>3.8095238095237072E-3</v>
      </c>
      <c r="I238" s="24">
        <f t="shared" si="13"/>
        <v>1.4598540145985384E-2</v>
      </c>
      <c r="J238" s="12">
        <f t="shared" si="14"/>
        <v>8.6415353803432904E-3</v>
      </c>
      <c r="K238" s="44">
        <f t="shared" si="15"/>
        <v>-2.8294526302041767E-3</v>
      </c>
    </row>
    <row r="239" spans="1:11">
      <c r="A239" s="35">
        <v>45580</v>
      </c>
      <c r="B239" s="7"/>
      <c r="C239" s="8">
        <v>83.88</v>
      </c>
      <c r="D239" s="8">
        <v>117.3</v>
      </c>
      <c r="E239" s="246">
        <v>12218.8525116</v>
      </c>
      <c r="F239" s="248">
        <v>-3.2932594387112802E-3</v>
      </c>
      <c r="G239" s="247">
        <v>1.1759173000000001</v>
      </c>
      <c r="H239" s="24">
        <f t="shared" si="12"/>
        <v>-5.2182163187856068E-3</v>
      </c>
      <c r="I239" s="24">
        <f t="shared" si="13"/>
        <v>-7.1942446043166131E-3</v>
      </c>
      <c r="J239" s="12">
        <f t="shared" si="14"/>
        <v>-3.2932594387112823E-3</v>
      </c>
      <c r="K239" s="44">
        <f t="shared" si="15"/>
        <v>-2.5281243656680719E-3</v>
      </c>
    </row>
    <row r="240" spans="1:11">
      <c r="A240" s="35">
        <v>45581</v>
      </c>
      <c r="B240" s="7"/>
      <c r="C240" s="8">
        <v>83.88</v>
      </c>
      <c r="D240" s="8">
        <v>116.9</v>
      </c>
      <c r="E240" s="246">
        <v>12193.0722737</v>
      </c>
      <c r="F240" s="248">
        <v>-2.10987389163797E-3</v>
      </c>
      <c r="G240" s="247">
        <v>1.1794538000000001</v>
      </c>
      <c r="H240" s="24">
        <f t="shared" si="12"/>
        <v>0</v>
      </c>
      <c r="I240" s="24">
        <f t="shared" si="13"/>
        <v>-3.4100596760442414E-3</v>
      </c>
      <c r="J240" s="12">
        <f t="shared" si="14"/>
        <v>-2.10987389163797E-3</v>
      </c>
      <c r="K240" s="44">
        <f t="shared" si="15"/>
        <v>3.0074393837049573E-3</v>
      </c>
    </row>
    <row r="241" spans="1:11">
      <c r="A241" s="35">
        <v>45582</v>
      </c>
      <c r="B241" s="7"/>
      <c r="C241" s="8">
        <v>86</v>
      </c>
      <c r="D241" s="8">
        <v>116.65</v>
      </c>
      <c r="E241" s="246">
        <v>12304.2726315</v>
      </c>
      <c r="F241" s="248">
        <v>9.1199621640769505E-3</v>
      </c>
      <c r="G241" s="247">
        <v>1.1822428</v>
      </c>
      <c r="H241" s="24">
        <f t="shared" si="12"/>
        <v>2.5274201239866567E-2</v>
      </c>
      <c r="I241" s="24">
        <f t="shared" si="13"/>
        <v>-2.1385799828913532E-3</v>
      </c>
      <c r="J241" s="12">
        <f t="shared" si="14"/>
        <v>9.1199621640769557E-3</v>
      </c>
      <c r="K241" s="44">
        <f t="shared" si="15"/>
        <v>2.3646538762263081E-3</v>
      </c>
    </row>
    <row r="242" spans="1:11">
      <c r="A242" s="35">
        <v>45583</v>
      </c>
      <c r="B242" s="7"/>
      <c r="C242" s="8">
        <v>85.98</v>
      </c>
      <c r="D242" s="8">
        <v>116.8</v>
      </c>
      <c r="E242" s="246">
        <v>12326.7647846</v>
      </c>
      <c r="F242" s="248">
        <v>1.8279953454882699E-3</v>
      </c>
      <c r="G242" s="247">
        <v>1.1779949999999999</v>
      </c>
      <c r="H242" s="24">
        <f t="shared" si="12"/>
        <v>-2.3255813953482196E-4</v>
      </c>
      <c r="I242" s="24">
        <f t="shared" si="13"/>
        <v>1.285897985426443E-3</v>
      </c>
      <c r="J242" s="12">
        <f t="shared" si="14"/>
        <v>1.8279953454882758E-3</v>
      </c>
      <c r="K242" s="44">
        <f t="shared" si="15"/>
        <v>-3.5930013699386754E-3</v>
      </c>
    </row>
    <row r="243" spans="1:11">
      <c r="A243" s="35">
        <v>45586</v>
      </c>
      <c r="B243" s="7"/>
      <c r="C243" s="8">
        <v>86.36</v>
      </c>
      <c r="D243" s="8">
        <v>114.65</v>
      </c>
      <c r="E243" s="246">
        <v>12261.868363899999</v>
      </c>
      <c r="F243" s="248">
        <v>-5.2646758361997101E-3</v>
      </c>
      <c r="G243" s="247">
        <v>1.1798713999999999</v>
      </c>
      <c r="H243" s="24">
        <f t="shared" si="12"/>
        <v>4.419632472667967E-3</v>
      </c>
      <c r="I243" s="24">
        <f t="shared" si="13"/>
        <v>-1.8407534246575263E-2</v>
      </c>
      <c r="J243" s="12">
        <f t="shared" si="14"/>
        <v>-5.264675836199717E-3</v>
      </c>
      <c r="K243" s="44">
        <f t="shared" si="15"/>
        <v>1.5928760308829837E-3</v>
      </c>
    </row>
    <row r="244" spans="1:11">
      <c r="A244" s="35">
        <v>45587</v>
      </c>
      <c r="B244" s="7"/>
      <c r="C244" s="8">
        <v>85.52</v>
      </c>
      <c r="D244" s="8">
        <v>112.65</v>
      </c>
      <c r="E244" s="246">
        <v>12163.325698799999</v>
      </c>
      <c r="F244" s="248">
        <v>-8.0365130480537506E-3</v>
      </c>
      <c r="G244" s="247">
        <v>1.187719</v>
      </c>
      <c r="H244" s="24">
        <f t="shared" si="12"/>
        <v>-9.7267253358036543E-3</v>
      </c>
      <c r="I244" s="24">
        <f t="shared" si="13"/>
        <v>-1.7444395987788908E-2</v>
      </c>
      <c r="J244" s="12">
        <f t="shared" si="14"/>
        <v>-8.0365130480537506E-3</v>
      </c>
      <c r="K244" s="44">
        <f t="shared" si="15"/>
        <v>6.6512333462782625E-3</v>
      </c>
    </row>
    <row r="245" spans="1:11">
      <c r="A245" s="35">
        <v>45588</v>
      </c>
      <c r="B245" s="7"/>
      <c r="C245" s="8">
        <v>85.38</v>
      </c>
      <c r="D245" s="8">
        <v>111.85</v>
      </c>
      <c r="E245" s="246">
        <v>12147.101887500001</v>
      </c>
      <c r="F245" s="248">
        <v>-1.3338302123735398E-3</v>
      </c>
      <c r="G245" s="247">
        <v>1.1854662</v>
      </c>
      <c r="H245" s="24">
        <f t="shared" si="12"/>
        <v>-1.6370439663236924E-3</v>
      </c>
      <c r="I245" s="24">
        <f t="shared" si="13"/>
        <v>-7.1016422547715008E-3</v>
      </c>
      <c r="J245" s="12">
        <f t="shared" si="14"/>
        <v>-1.3338302123735435E-3</v>
      </c>
      <c r="K245" s="44">
        <f t="shared" si="15"/>
        <v>-1.8967449371442013E-3</v>
      </c>
    </row>
    <row r="246" spans="1:11">
      <c r="A246" s="35">
        <v>45589</v>
      </c>
      <c r="B246" s="7"/>
      <c r="C246" s="8">
        <v>84.82</v>
      </c>
      <c r="D246" s="8">
        <v>112.25</v>
      </c>
      <c r="E246" s="246">
        <v>12173.036986499999</v>
      </c>
      <c r="F246" s="248">
        <v>2.1350853265409402E-3</v>
      </c>
      <c r="G246" s="247">
        <v>1.1830818999999999</v>
      </c>
      <c r="H246" s="24">
        <f t="shared" si="12"/>
        <v>-6.5589130944014862E-3</v>
      </c>
      <c r="I246" s="24">
        <f t="shared" si="13"/>
        <v>3.5762181493070866E-3</v>
      </c>
      <c r="J246" s="12">
        <f t="shared" si="14"/>
        <v>2.135085326540942E-3</v>
      </c>
      <c r="K246" s="44">
        <f t="shared" si="15"/>
        <v>-2.0112762388333483E-3</v>
      </c>
    </row>
    <row r="247" spans="1:11">
      <c r="A247" s="35">
        <v>45590</v>
      </c>
      <c r="B247" s="7"/>
      <c r="C247" s="8">
        <v>84.54</v>
      </c>
      <c r="D247" s="8">
        <v>111.75</v>
      </c>
      <c r="E247" s="246">
        <v>12183.9962375</v>
      </c>
      <c r="F247" s="248">
        <v>9.0028897572191902E-4</v>
      </c>
      <c r="G247" s="247">
        <v>1.1755716</v>
      </c>
      <c r="H247" s="24">
        <f t="shared" si="12"/>
        <v>-3.3011082291910521E-3</v>
      </c>
      <c r="I247" s="24">
        <f t="shared" si="13"/>
        <v>-4.4543429844098315E-3</v>
      </c>
      <c r="J247" s="12">
        <f t="shared" si="14"/>
        <v>9.0028897572191902E-4</v>
      </c>
      <c r="K247" s="44">
        <f t="shared" si="15"/>
        <v>-6.3480812275125142E-3</v>
      </c>
    </row>
    <row r="248" spans="1:11">
      <c r="A248" s="35">
        <v>45593</v>
      </c>
      <c r="B248" s="7"/>
      <c r="C248" s="8">
        <v>84.4</v>
      </c>
      <c r="D248" s="8">
        <v>112.8</v>
      </c>
      <c r="E248" s="246">
        <v>12237.969151699999</v>
      </c>
      <c r="F248" s="248">
        <v>4.4298203272488098E-3</v>
      </c>
      <c r="G248" s="247">
        <v>1.1715774999999999</v>
      </c>
      <c r="H248" s="24">
        <f t="shared" si="12"/>
        <v>-1.6560208185474323E-3</v>
      </c>
      <c r="I248" s="24">
        <f t="shared" si="13"/>
        <v>9.3959731543624692E-3</v>
      </c>
      <c r="J248" s="12">
        <f t="shared" si="14"/>
        <v>4.4298203272488124E-3</v>
      </c>
      <c r="K248" s="44">
        <f t="shared" si="15"/>
        <v>-3.3975812277194928E-3</v>
      </c>
    </row>
    <row r="249" spans="1:11">
      <c r="A249" s="35">
        <v>45594</v>
      </c>
      <c r="B249" s="7"/>
      <c r="C249" s="8">
        <v>83.06</v>
      </c>
      <c r="D249" s="8">
        <v>112.4</v>
      </c>
      <c r="E249" s="246">
        <v>12100.5659251</v>
      </c>
      <c r="F249" s="248">
        <v>-1.1227616681883199E-2</v>
      </c>
      <c r="G249" s="247">
        <v>1.1644155</v>
      </c>
      <c r="H249" s="24">
        <f t="shared" si="12"/>
        <v>-1.5876777251184859E-2</v>
      </c>
      <c r="I249" s="24">
        <f t="shared" si="13"/>
        <v>-3.5460992907800915E-3</v>
      </c>
      <c r="J249" s="12">
        <f t="shared" si="14"/>
        <v>-1.1227616681883212E-2</v>
      </c>
      <c r="K249" s="44">
        <f t="shared" si="15"/>
        <v>-6.1131252520638668E-3</v>
      </c>
    </row>
    <row r="250" spans="1:11">
      <c r="A250" s="35">
        <v>45595</v>
      </c>
      <c r="B250" s="7"/>
      <c r="C250" s="8">
        <v>82.42</v>
      </c>
      <c r="D250" s="8">
        <v>111.7</v>
      </c>
      <c r="E250" s="246">
        <v>11967.695905500001</v>
      </c>
      <c r="F250" s="248">
        <v>-1.0980479790981299E-2</v>
      </c>
      <c r="G250" s="247">
        <v>1.1680197000000001</v>
      </c>
      <c r="H250" s="24">
        <f t="shared" si="12"/>
        <v>-7.7052732964122406E-3</v>
      </c>
      <c r="I250" s="24">
        <f t="shared" si="13"/>
        <v>-6.2277580071175009E-3</v>
      </c>
      <c r="J250" s="12">
        <f t="shared" si="14"/>
        <v>-1.0980479790981379E-2</v>
      </c>
      <c r="K250" s="44">
        <f t="shared" si="15"/>
        <v>3.0952868628080221E-3</v>
      </c>
    </row>
    <row r="251" spans="1:11">
      <c r="A251" s="35">
        <v>45596</v>
      </c>
      <c r="B251" s="7"/>
      <c r="C251" s="8">
        <v>81.58</v>
      </c>
      <c r="D251" s="8">
        <v>110.65</v>
      </c>
      <c r="E251" s="246">
        <v>11792.9193849</v>
      </c>
      <c r="F251" s="248">
        <v>-1.4604024198148101E-2</v>
      </c>
      <c r="G251" s="247">
        <v>1.165705</v>
      </c>
      <c r="H251" s="24">
        <f t="shared" si="12"/>
        <v>-1.0191701043436141E-2</v>
      </c>
      <c r="I251" s="24">
        <f t="shared" si="13"/>
        <v>-9.4001790510295224E-3</v>
      </c>
      <c r="J251" s="12">
        <f t="shared" si="14"/>
        <v>-1.4604024198148102E-2</v>
      </c>
      <c r="K251" s="44">
        <f t="shared" si="15"/>
        <v>-1.9817302738986964E-3</v>
      </c>
    </row>
    <row r="252" spans="1:11">
      <c r="A252" s="35">
        <v>45597</v>
      </c>
      <c r="B252" s="7"/>
      <c r="C252" s="8">
        <v>82.72</v>
      </c>
      <c r="D252" s="8">
        <v>111.9</v>
      </c>
      <c r="E252" s="246">
        <v>11967.199196600001</v>
      </c>
      <c r="F252" s="248">
        <v>1.47783433441555E-2</v>
      </c>
      <c r="G252" s="247">
        <v>1.1637379000000001</v>
      </c>
      <c r="H252" s="24">
        <f t="shared" si="12"/>
        <v>1.3974013238538863E-2</v>
      </c>
      <c r="I252" s="24">
        <f t="shared" si="13"/>
        <v>1.1296882060551239E-2</v>
      </c>
      <c r="J252" s="12">
        <f t="shared" si="14"/>
        <v>1.4778343344155509E-2</v>
      </c>
      <c r="K252" s="44">
        <f t="shared" si="15"/>
        <v>-1.6874766772038141E-3</v>
      </c>
    </row>
    <row r="253" spans="1:11">
      <c r="A253" s="35">
        <v>45600</v>
      </c>
      <c r="B253" s="7"/>
      <c r="C253" s="8">
        <v>81.78</v>
      </c>
      <c r="D253" s="8">
        <v>110.35</v>
      </c>
      <c r="E253" s="246">
        <v>11896.943176000001</v>
      </c>
      <c r="F253" s="248">
        <v>-5.8707153984668406E-3</v>
      </c>
      <c r="G253" s="247">
        <v>1.1653652999999999</v>
      </c>
      <c r="H253" s="24">
        <f t="shared" si="12"/>
        <v>-1.1363636363636354E-2</v>
      </c>
      <c r="I253" s="24">
        <f t="shared" si="13"/>
        <v>-1.3851653261841013E-2</v>
      </c>
      <c r="J253" s="12">
        <f t="shared" si="14"/>
        <v>-5.8707153984668414E-3</v>
      </c>
      <c r="K253" s="44">
        <f t="shared" si="15"/>
        <v>1.3984248515064301E-3</v>
      </c>
    </row>
    <row r="254" spans="1:11">
      <c r="A254" s="35">
        <v>45601</v>
      </c>
      <c r="B254" s="7"/>
      <c r="C254" s="8">
        <v>80.819999999999993</v>
      </c>
      <c r="D254" s="8">
        <v>112.1</v>
      </c>
      <c r="E254" s="246">
        <v>11866.008313099999</v>
      </c>
      <c r="F254" s="248">
        <v>-2.6002362491238601E-3</v>
      </c>
      <c r="G254" s="247">
        <v>1.1663848000000001</v>
      </c>
      <c r="H254" s="24">
        <f t="shared" si="12"/>
        <v>-1.173881144534128E-2</v>
      </c>
      <c r="I254" s="24">
        <f t="shared" si="13"/>
        <v>1.5858631626642472E-2</v>
      </c>
      <c r="J254" s="12">
        <f t="shared" si="14"/>
        <v>-2.6002362491238662E-3</v>
      </c>
      <c r="K254" s="44">
        <f t="shared" si="15"/>
        <v>8.7483298155532907E-4</v>
      </c>
    </row>
    <row r="255" spans="1:11">
      <c r="A255" s="35">
        <v>45602</v>
      </c>
      <c r="B255" s="7"/>
      <c r="C255" s="8">
        <v>79.36</v>
      </c>
      <c r="D255" s="8">
        <v>111.85</v>
      </c>
      <c r="E255" s="246">
        <v>11847.2888372</v>
      </c>
      <c r="F255" s="248">
        <v>-1.5775714466113001E-3</v>
      </c>
      <c r="G255" s="247">
        <v>1.1585472000000001</v>
      </c>
      <c r="H255" s="24">
        <f t="shared" si="12"/>
        <v>-1.8064835436772952E-2</v>
      </c>
      <c r="I255" s="24">
        <f t="shared" si="13"/>
        <v>-2.230151650312262E-3</v>
      </c>
      <c r="J255" s="12">
        <f t="shared" si="14"/>
        <v>-1.5775714466113033E-3</v>
      </c>
      <c r="K255" s="44">
        <f t="shared" si="15"/>
        <v>-6.7195663043619902E-3</v>
      </c>
    </row>
    <row r="256" spans="1:11">
      <c r="A256" s="35">
        <v>45603</v>
      </c>
      <c r="B256" s="7"/>
      <c r="C256" s="8">
        <v>79.459999999999994</v>
      </c>
      <c r="D256" s="8">
        <v>119.95</v>
      </c>
      <c r="E256" s="246">
        <v>11916.9968417</v>
      </c>
      <c r="F256" s="248">
        <v>5.8838781984549204E-3</v>
      </c>
      <c r="G256" s="247">
        <v>1.1600254999999999</v>
      </c>
      <c r="H256" s="24">
        <f t="shared" si="12"/>
        <v>1.2600806451612545E-3</v>
      </c>
      <c r="I256" s="24">
        <f t="shared" si="13"/>
        <v>7.2418417523469003E-2</v>
      </c>
      <c r="J256" s="12">
        <f t="shared" si="14"/>
        <v>5.8838781984549282E-3</v>
      </c>
      <c r="K256" s="44">
        <f t="shared" si="15"/>
        <v>1.2759946249922827E-3</v>
      </c>
    </row>
    <row r="257" spans="1:11">
      <c r="A257" s="35">
        <v>45604</v>
      </c>
      <c r="B257" s="7"/>
      <c r="C257" s="8">
        <v>78.98</v>
      </c>
      <c r="D257" s="8">
        <v>118.35</v>
      </c>
      <c r="E257" s="246">
        <v>11797.7158602</v>
      </c>
      <c r="F257" s="248">
        <v>-1.0009315525083501E-2</v>
      </c>
      <c r="G257" s="247">
        <v>1.1570724999999999</v>
      </c>
      <c r="H257" s="24">
        <f t="shared" si="12"/>
        <v>-6.040775232821427E-3</v>
      </c>
      <c r="I257" s="24">
        <f t="shared" si="13"/>
        <v>-1.333889120466869E-2</v>
      </c>
      <c r="J257" s="12">
        <f t="shared" si="14"/>
        <v>-1.0009315525083551E-2</v>
      </c>
      <c r="K257" s="44">
        <f t="shared" si="15"/>
        <v>-2.5456336951213965E-3</v>
      </c>
    </row>
    <row r="258" spans="1:11">
      <c r="A258" s="35">
        <v>45607</v>
      </c>
      <c r="B258" s="7"/>
      <c r="C258" s="8">
        <v>79.02</v>
      </c>
      <c r="D258" s="8">
        <v>122.55</v>
      </c>
      <c r="E258" s="246">
        <v>11902.7937213</v>
      </c>
      <c r="F258" s="248">
        <v>8.9066275493618896E-3</v>
      </c>
      <c r="G258" s="247">
        <v>1.155869</v>
      </c>
      <c r="H258" s="24">
        <f t="shared" si="12"/>
        <v>5.0645733096965628E-4</v>
      </c>
      <c r="I258" s="24">
        <f t="shared" si="13"/>
        <v>3.5487959442332073E-2</v>
      </c>
      <c r="J258" s="12">
        <f t="shared" si="14"/>
        <v>8.9066275493618896E-3</v>
      </c>
      <c r="K258" s="44">
        <f t="shared" si="15"/>
        <v>-1.0401249705613846E-3</v>
      </c>
    </row>
    <row r="259" spans="1:11">
      <c r="A259" s="35">
        <v>45608</v>
      </c>
      <c r="C259" s="8">
        <v>78</v>
      </c>
      <c r="D259" s="8">
        <v>120.45</v>
      </c>
      <c r="E259" s="246">
        <v>11712.093557599999</v>
      </c>
      <c r="F259" s="248">
        <v>-1.60214625377187E-2</v>
      </c>
      <c r="G259" s="247">
        <v>1.1556685</v>
      </c>
      <c r="H259" s="24">
        <f t="shared" si="12"/>
        <v>-1.2908124525436548E-2</v>
      </c>
      <c r="I259" s="24">
        <f t="shared" si="13"/>
        <v>-1.7135862913096656E-2</v>
      </c>
      <c r="J259" s="12">
        <f t="shared" si="14"/>
        <v>-1.6021462537718745E-2</v>
      </c>
      <c r="K259" s="44">
        <f t="shared" si="15"/>
        <v>-1.7346256366423951E-4</v>
      </c>
    </row>
    <row r="260" spans="1:11">
      <c r="A260" s="35">
        <v>45609</v>
      </c>
      <c r="C260" s="8">
        <v>77.72</v>
      </c>
      <c r="D260" s="8">
        <v>120.55</v>
      </c>
      <c r="E260" s="246">
        <v>11703.8144975</v>
      </c>
      <c r="F260" s="248">
        <v>-7.0688131539276E-4</v>
      </c>
      <c r="G260" s="247">
        <v>1.1559356000000001</v>
      </c>
      <c r="H260" s="24">
        <f t="shared" si="12"/>
        <v>-3.5897435897436214E-3</v>
      </c>
      <c r="I260" s="24">
        <f t="shared" si="13"/>
        <v>8.3022000830212939E-4</v>
      </c>
      <c r="J260" s="12">
        <f t="shared" si="14"/>
        <v>-7.0688131539276E-4</v>
      </c>
      <c r="K260" s="44">
        <f t="shared" si="15"/>
        <v>2.3112164085126174E-4</v>
      </c>
    </row>
    <row r="261" spans="1:11">
      <c r="A261" s="35">
        <v>45610</v>
      </c>
      <c r="C261" s="8">
        <v>78.739999999999995</v>
      </c>
      <c r="D261" s="8">
        <v>121.2</v>
      </c>
      <c r="E261" s="246">
        <v>11783.648417099999</v>
      </c>
      <c r="F261" s="248">
        <v>6.8211880508746107E-3</v>
      </c>
      <c r="G261" s="247">
        <v>1.1556017000000001</v>
      </c>
      <c r="H261" s="24">
        <f t="shared" si="12"/>
        <v>1.3124034997426648E-2</v>
      </c>
      <c r="I261" s="24">
        <f t="shared" si="13"/>
        <v>5.3919535462463308E-3</v>
      </c>
      <c r="J261" s="12">
        <f t="shared" si="14"/>
        <v>6.8211880508746159E-3</v>
      </c>
      <c r="K261" s="44">
        <f t="shared" si="15"/>
        <v>-2.888569224790416E-4</v>
      </c>
    </row>
    <row r="262" spans="1:11">
      <c r="A262" s="35">
        <v>45611</v>
      </c>
      <c r="C262" s="8">
        <v>77.52</v>
      </c>
      <c r="D262" s="8">
        <v>122.35</v>
      </c>
      <c r="E262" s="246">
        <v>11627.0431995</v>
      </c>
      <c r="F262" s="248">
        <v>-1.3290044989185099E-2</v>
      </c>
      <c r="G262" s="247">
        <v>1.1533359999999999</v>
      </c>
      <c r="H262" s="24">
        <f t="shared" si="12"/>
        <v>-1.5494030988062013E-2</v>
      </c>
      <c r="I262" s="24">
        <f t="shared" si="13"/>
        <v>9.4884488448843118E-3</v>
      </c>
      <c r="J262" s="12">
        <f t="shared" si="14"/>
        <v>-1.3290044989185179E-2</v>
      </c>
      <c r="K262" s="44">
        <f t="shared" si="15"/>
        <v>-1.9606236300968582E-3</v>
      </c>
    </row>
    <row r="263" spans="1:11">
      <c r="A263" s="35">
        <v>45614</v>
      </c>
      <c r="C263" s="8">
        <v>78.180000000000007</v>
      </c>
      <c r="D263" s="8">
        <v>125</v>
      </c>
      <c r="E263" s="246">
        <v>11639.5984716</v>
      </c>
      <c r="F263" s="248">
        <v>1.0798336158706001E-3</v>
      </c>
      <c r="G263" s="247">
        <v>1.1544011999999999</v>
      </c>
      <c r="H263" s="24">
        <f t="shared" si="12"/>
        <v>8.5139318885449899E-3</v>
      </c>
      <c r="I263" s="24">
        <f t="shared" si="13"/>
        <v>2.1659174499387035E-2</v>
      </c>
      <c r="J263" s="12">
        <f t="shared" si="14"/>
        <v>1.0798336158706068E-3</v>
      </c>
      <c r="K263" s="44">
        <f t="shared" si="15"/>
        <v>9.235816795798435E-4</v>
      </c>
    </row>
    <row r="264" spans="1:11">
      <c r="A264" s="35">
        <v>45615</v>
      </c>
      <c r="C264" s="8">
        <v>76.66</v>
      </c>
      <c r="D264" s="8">
        <v>125.25</v>
      </c>
      <c r="E264" s="246">
        <v>11541.4290556</v>
      </c>
      <c r="F264" s="248">
        <v>-8.4340895641313793E-3</v>
      </c>
      <c r="G264" s="247">
        <v>1.1544011999999999</v>
      </c>
      <c r="H264" s="24">
        <f t="shared" si="12"/>
        <v>-1.9442312611921309E-2</v>
      </c>
      <c r="I264" s="24">
        <f t="shared" si="13"/>
        <v>2.0000000000000018E-3</v>
      </c>
      <c r="J264" s="12">
        <f t="shared" si="14"/>
        <v>-8.4340895641313862E-3</v>
      </c>
      <c r="K264" s="44">
        <f t="shared" si="15"/>
        <v>0</v>
      </c>
    </row>
    <row r="265" spans="1:11">
      <c r="A265" s="35">
        <v>45616</v>
      </c>
      <c r="C265" s="8">
        <v>76.52</v>
      </c>
      <c r="D265" s="8">
        <v>125.95</v>
      </c>
      <c r="E265" s="246">
        <v>11539.6376547</v>
      </c>
      <c r="F265" s="248">
        <v>-1.5521482576985599E-4</v>
      </c>
      <c r="G265" s="247">
        <v>1.1549345</v>
      </c>
      <c r="H265" s="24">
        <f t="shared" si="12"/>
        <v>-1.8262457605009441E-3</v>
      </c>
      <c r="I265" s="24">
        <f t="shared" si="13"/>
        <v>5.5888223552893468E-3</v>
      </c>
      <c r="J265" s="12">
        <f t="shared" si="14"/>
        <v>-1.5521482576985601E-4</v>
      </c>
      <c r="K265" s="44">
        <f t="shared" si="15"/>
        <v>4.6197110675216813E-4</v>
      </c>
    </row>
    <row r="266" spans="1:11">
      <c r="A266" s="35">
        <v>45617</v>
      </c>
      <c r="C266" s="8">
        <v>75.959999999999994</v>
      </c>
      <c r="D266" s="8">
        <v>127.2</v>
      </c>
      <c r="E266" s="246">
        <v>11591.593604399999</v>
      </c>
      <c r="F266" s="248">
        <v>4.5023900450493698E-3</v>
      </c>
      <c r="G266" s="247">
        <v>1.1514766999999999</v>
      </c>
      <c r="H266" s="24">
        <f t="shared" ref="H266:H329" si="16">(C266/C265)-1</f>
        <v>-7.3183481442760101E-3</v>
      </c>
      <c r="I266" s="24">
        <f t="shared" ref="I266:I329" si="17">(D266/D265)-1</f>
        <v>9.9245732433506095E-3</v>
      </c>
      <c r="J266" s="12">
        <f t="shared" ref="J266:J329" si="18">(E266/E265)-1</f>
        <v>4.5023900450493759E-3</v>
      </c>
      <c r="K266" s="44">
        <f t="shared" ref="K266:K329" si="19">(G266/G265)-1</f>
        <v>-2.9939360197484E-3</v>
      </c>
    </row>
    <row r="267" spans="1:11">
      <c r="A267" s="35">
        <v>45618</v>
      </c>
      <c r="C267" s="8">
        <v>76</v>
      </c>
      <c r="D267" s="8">
        <v>128.30000000000001</v>
      </c>
      <c r="E267" s="246">
        <v>11716.499777499999</v>
      </c>
      <c r="F267" s="248">
        <v>1.07755824921766E-2</v>
      </c>
      <c r="G267" s="247">
        <v>1.1540014999999999</v>
      </c>
      <c r="H267" s="24">
        <f t="shared" si="16"/>
        <v>5.2659294365464682E-4</v>
      </c>
      <c r="I267" s="24">
        <f t="shared" si="17"/>
        <v>8.6477987421385016E-3</v>
      </c>
      <c r="J267" s="12">
        <f t="shared" si="18"/>
        <v>1.0775582492176694E-2</v>
      </c>
      <c r="K267" s="44">
        <f t="shared" si="19"/>
        <v>2.1926626913075786E-3</v>
      </c>
    </row>
    <row r="268" spans="1:11">
      <c r="A268" s="35">
        <v>45621</v>
      </c>
      <c r="C268" s="8">
        <v>75.959999999999994</v>
      </c>
      <c r="D268" s="8">
        <v>129.35</v>
      </c>
      <c r="E268" s="246">
        <v>11678.5862892</v>
      </c>
      <c r="F268" s="248">
        <v>-3.2359056902647697E-3</v>
      </c>
      <c r="G268" s="247">
        <v>1.1564703999999999</v>
      </c>
      <c r="H268" s="24">
        <f t="shared" si="16"/>
        <v>-5.2631578947381907E-4</v>
      </c>
      <c r="I268" s="24">
        <f t="shared" si="17"/>
        <v>8.1839438815274335E-3</v>
      </c>
      <c r="J268" s="12">
        <f t="shared" si="18"/>
        <v>-3.2359056902647731E-3</v>
      </c>
      <c r="K268" s="44">
        <f t="shared" si="19"/>
        <v>2.1394252953743642E-3</v>
      </c>
    </row>
    <row r="269" spans="1:11">
      <c r="A269" s="35">
        <v>45622</v>
      </c>
      <c r="C269" s="8">
        <v>75.84</v>
      </c>
      <c r="D269" s="8">
        <v>128.80000000000001</v>
      </c>
      <c r="E269" s="246">
        <v>11632.879523</v>
      </c>
      <c r="F269" s="248">
        <v>-3.9137242358066003E-3</v>
      </c>
      <c r="G269" s="247">
        <v>1.1488309999999999</v>
      </c>
      <c r="H269" s="24">
        <f t="shared" si="16"/>
        <v>-1.5797788309634964E-3</v>
      </c>
      <c r="I269" s="24">
        <f t="shared" si="17"/>
        <v>-4.2520293776573403E-3</v>
      </c>
      <c r="J269" s="12">
        <f t="shared" si="18"/>
        <v>-3.9137242358066038E-3</v>
      </c>
      <c r="K269" s="44">
        <f t="shared" si="19"/>
        <v>-6.6057894780532367E-3</v>
      </c>
    </row>
    <row r="270" spans="1:11">
      <c r="A270" s="35">
        <v>45623</v>
      </c>
      <c r="C270" s="8">
        <v>76.36</v>
      </c>
      <c r="D270" s="8">
        <v>128.69999999999999</v>
      </c>
      <c r="E270" s="246">
        <v>11644.013181300001</v>
      </c>
      <c r="F270" s="248">
        <v>9.5708532680904802E-4</v>
      </c>
      <c r="G270" s="247">
        <v>1.1589499999999999</v>
      </c>
      <c r="H270" s="24">
        <f t="shared" si="16"/>
        <v>6.8565400843880742E-3</v>
      </c>
      <c r="I270" s="24">
        <f t="shared" si="17"/>
        <v>-7.7639751552815994E-4</v>
      </c>
      <c r="J270" s="12">
        <f t="shared" si="18"/>
        <v>9.5708532680904845E-4</v>
      </c>
      <c r="K270" s="44">
        <f t="shared" si="19"/>
        <v>8.808084043693043E-3</v>
      </c>
    </row>
    <row r="271" spans="1:11">
      <c r="A271" s="35">
        <v>45625</v>
      </c>
      <c r="C271" s="8">
        <v>76.48</v>
      </c>
      <c r="D271" s="8">
        <v>130.15</v>
      </c>
      <c r="E271" s="246">
        <v>11764.203608100001</v>
      </c>
      <c r="F271" s="248">
        <v>1.0322079246098901E-2</v>
      </c>
      <c r="G271" s="247">
        <v>1.1569387</v>
      </c>
      <c r="H271" s="24">
        <f t="shared" si="16"/>
        <v>1.5715034049241794E-3</v>
      </c>
      <c r="I271" s="24">
        <f t="shared" si="17"/>
        <v>1.1266511266511348E-2</v>
      </c>
      <c r="J271" s="12">
        <f t="shared" si="18"/>
        <v>1.0322079246098959E-2</v>
      </c>
      <c r="K271" s="44">
        <f t="shared" si="19"/>
        <v>-1.735450191984067E-3</v>
      </c>
    </row>
    <row r="272" spans="1:11">
      <c r="A272" s="35">
        <v>45628</v>
      </c>
      <c r="C272" s="8">
        <v>76.599999999999994</v>
      </c>
      <c r="D272" s="8">
        <v>132.19999999999999</v>
      </c>
      <c r="E272" s="246">
        <v>11829.2449731</v>
      </c>
      <c r="F272" s="248">
        <v>5.5287520657341105E-3</v>
      </c>
      <c r="G272" s="247">
        <v>1.1425959999999999</v>
      </c>
      <c r="H272" s="24">
        <f t="shared" si="16"/>
        <v>1.569037656903749E-3</v>
      </c>
      <c r="I272" s="24">
        <f t="shared" si="17"/>
        <v>1.5751056473299885E-2</v>
      </c>
      <c r="J272" s="12">
        <f t="shared" si="18"/>
        <v>5.5287520657341105E-3</v>
      </c>
      <c r="K272" s="44">
        <f t="shared" si="19"/>
        <v>-1.2397113174621999E-2</v>
      </c>
    </row>
    <row r="273" spans="1:11">
      <c r="A273" s="35">
        <v>45629</v>
      </c>
      <c r="C273" s="8">
        <v>76.599999999999994</v>
      </c>
      <c r="D273" s="8">
        <v>132.25</v>
      </c>
      <c r="E273" s="246">
        <v>11834.3218046</v>
      </c>
      <c r="F273" s="248">
        <v>4.2917629244687496E-4</v>
      </c>
      <c r="G273" s="247">
        <v>1.1471179</v>
      </c>
      <c r="H273" s="24">
        <f t="shared" si="16"/>
        <v>0</v>
      </c>
      <c r="I273" s="24">
        <f t="shared" si="17"/>
        <v>3.7821482602118373E-4</v>
      </c>
      <c r="J273" s="12">
        <f t="shared" si="18"/>
        <v>4.2917629244687561E-4</v>
      </c>
      <c r="K273" s="44">
        <f t="shared" si="19"/>
        <v>3.9575668040148226E-3</v>
      </c>
    </row>
    <row r="274" spans="1:11">
      <c r="A274" s="35">
        <v>45630</v>
      </c>
      <c r="C274" s="8">
        <v>76.36</v>
      </c>
      <c r="D274" s="8">
        <v>132.44999999999999</v>
      </c>
      <c r="E274" s="246">
        <v>11783.6082976</v>
      </c>
      <c r="F274" s="248">
        <v>-4.2852905166300597E-3</v>
      </c>
      <c r="G274" s="247">
        <v>1.1447541999999999</v>
      </c>
      <c r="H274" s="24">
        <f t="shared" si="16"/>
        <v>-3.1331592689294308E-3</v>
      </c>
      <c r="I274" s="24">
        <f t="shared" si="17"/>
        <v>1.5122873345934096E-3</v>
      </c>
      <c r="J274" s="12">
        <f t="shared" si="18"/>
        <v>-4.2852905166300692E-3</v>
      </c>
      <c r="K274" s="44">
        <f t="shared" si="19"/>
        <v>-2.0605554145742833E-3</v>
      </c>
    </row>
    <row r="275" spans="1:11">
      <c r="A275" s="35">
        <v>45631</v>
      </c>
      <c r="C275" s="8">
        <v>75.959999999999994</v>
      </c>
      <c r="D275" s="8">
        <v>132.55000000000001</v>
      </c>
      <c r="E275" s="246">
        <v>11790.791488299999</v>
      </c>
      <c r="F275" s="248">
        <v>6.0959177516650698E-4</v>
      </c>
      <c r="G275" s="247">
        <v>1.1364282000000001</v>
      </c>
      <c r="H275" s="24">
        <f t="shared" si="16"/>
        <v>-5.2383446830802649E-3</v>
      </c>
      <c r="I275" s="24">
        <f t="shared" si="17"/>
        <v>7.5500188750488029E-4</v>
      </c>
      <c r="J275" s="12">
        <f t="shared" si="18"/>
        <v>6.0959177516650698E-4</v>
      </c>
      <c r="K275" s="44">
        <f t="shared" si="19"/>
        <v>-7.2731770715493971E-3</v>
      </c>
    </row>
    <row r="276" spans="1:11">
      <c r="A276" s="35">
        <v>45632</v>
      </c>
      <c r="C276" s="8">
        <v>75.760000000000005</v>
      </c>
      <c r="D276" s="8">
        <v>131.30000000000001</v>
      </c>
      <c r="E276" s="246">
        <v>11780.653910700001</v>
      </c>
      <c r="F276" s="248">
        <v>-8.5978770891315104E-4</v>
      </c>
      <c r="G276" s="247">
        <v>1.1334655</v>
      </c>
      <c r="H276" s="24">
        <f t="shared" si="16"/>
        <v>-2.632964718272679E-3</v>
      </c>
      <c r="I276" s="24">
        <f t="shared" si="17"/>
        <v>-9.4304036212750075E-3</v>
      </c>
      <c r="J276" s="12">
        <f t="shared" si="18"/>
        <v>-8.5978770891315115E-4</v>
      </c>
      <c r="K276" s="44">
        <f t="shared" si="19"/>
        <v>-2.6070278791040513E-3</v>
      </c>
    </row>
    <row r="277" spans="1:11">
      <c r="A277" s="35">
        <v>45635</v>
      </c>
      <c r="C277" s="8">
        <v>75.599999999999994</v>
      </c>
      <c r="D277" s="8">
        <v>130.94999999999999</v>
      </c>
      <c r="E277" s="246">
        <v>11761.719012400001</v>
      </c>
      <c r="F277" s="248">
        <v>-1.60728754477723E-3</v>
      </c>
      <c r="G277" s="247">
        <v>1.1319261</v>
      </c>
      <c r="H277" s="24">
        <f t="shared" si="16"/>
        <v>-2.1119324181627652E-3</v>
      </c>
      <c r="I277" s="24">
        <f t="shared" si="17"/>
        <v>-2.6656511805028815E-3</v>
      </c>
      <c r="J277" s="12">
        <f t="shared" si="18"/>
        <v>-1.6072875447772361E-3</v>
      </c>
      <c r="K277" s="44">
        <f t="shared" si="19"/>
        <v>-1.3581357350531675E-3</v>
      </c>
    </row>
    <row r="278" spans="1:11">
      <c r="A278" s="35">
        <v>45636</v>
      </c>
      <c r="C278" s="8">
        <v>74.459999999999994</v>
      </c>
      <c r="D278" s="8">
        <v>129.05000000000001</v>
      </c>
      <c r="E278" s="246">
        <v>11642.389914900001</v>
      </c>
      <c r="F278" s="248">
        <v>-1.01455490795346E-2</v>
      </c>
      <c r="G278" s="247">
        <v>1.1266970999999999</v>
      </c>
      <c r="H278" s="24">
        <f t="shared" si="16"/>
        <v>-1.5079365079365137E-2</v>
      </c>
      <c r="I278" s="24">
        <f t="shared" si="17"/>
        <v>-1.4509354715540157E-2</v>
      </c>
      <c r="J278" s="12">
        <f t="shared" si="18"/>
        <v>-1.0145549079534688E-2</v>
      </c>
      <c r="K278" s="44">
        <f t="shared" si="19"/>
        <v>-4.6195595277820356E-3</v>
      </c>
    </row>
    <row r="279" spans="1:11">
      <c r="A279" s="35">
        <v>45637</v>
      </c>
      <c r="C279" s="8">
        <v>74.819999999999993</v>
      </c>
      <c r="D279" s="8">
        <v>128.19999999999999</v>
      </c>
      <c r="E279" s="246">
        <v>11681.872868300001</v>
      </c>
      <c r="F279" s="248">
        <v>3.3913100049560701E-3</v>
      </c>
      <c r="G279" s="247">
        <v>1.1261896</v>
      </c>
      <c r="H279" s="24">
        <f t="shared" si="16"/>
        <v>4.8348106365834198E-3</v>
      </c>
      <c r="I279" s="24">
        <f t="shared" si="17"/>
        <v>-6.5865943432780183E-3</v>
      </c>
      <c r="J279" s="12">
        <f t="shared" si="18"/>
        <v>3.3913100049560718E-3</v>
      </c>
      <c r="K279" s="44">
        <f t="shared" si="19"/>
        <v>-4.5043161999780423E-4</v>
      </c>
    </row>
    <row r="280" spans="1:11">
      <c r="A280" s="35">
        <v>45638</v>
      </c>
      <c r="C280" s="8">
        <v>74.900000000000006</v>
      </c>
      <c r="D280" s="8">
        <v>127.8</v>
      </c>
      <c r="E280" s="246">
        <v>11715.852885</v>
      </c>
      <c r="F280" s="248">
        <v>2.9087815869155396E-3</v>
      </c>
      <c r="G280" s="247">
        <v>1.1289867</v>
      </c>
      <c r="H280" s="24">
        <f t="shared" si="16"/>
        <v>1.0692328254480188E-3</v>
      </c>
      <c r="I280" s="24">
        <f t="shared" si="17"/>
        <v>-3.1201248049921304E-3</v>
      </c>
      <c r="J280" s="12">
        <f t="shared" si="18"/>
        <v>2.9087815869155431E-3</v>
      </c>
      <c r="K280" s="44">
        <f t="shared" si="19"/>
        <v>2.4836848076026374E-3</v>
      </c>
    </row>
    <row r="281" spans="1:11">
      <c r="A281" s="35">
        <v>45639</v>
      </c>
      <c r="C281" s="8">
        <v>75.180000000000007</v>
      </c>
      <c r="D281" s="8">
        <v>133.55000000000001</v>
      </c>
      <c r="E281" s="246">
        <v>11694.4251504</v>
      </c>
      <c r="F281" s="248">
        <v>-1.8289521736342099E-3</v>
      </c>
      <c r="G281" s="247">
        <v>1.1337227000000001</v>
      </c>
      <c r="H281" s="24">
        <f t="shared" si="16"/>
        <v>3.7383177570093906E-3</v>
      </c>
      <c r="I281" s="24">
        <f t="shared" si="17"/>
        <v>4.4992175273865564E-2</v>
      </c>
      <c r="J281" s="12">
        <f t="shared" si="18"/>
        <v>-1.8289521736342129E-3</v>
      </c>
      <c r="K281" s="44">
        <f t="shared" si="19"/>
        <v>4.1949121278399559E-3</v>
      </c>
    </row>
    <row r="282" spans="1:11">
      <c r="A282" s="35">
        <v>45642</v>
      </c>
      <c r="C282" s="8">
        <v>74.459999999999994</v>
      </c>
      <c r="D282" s="8">
        <v>132.85</v>
      </c>
      <c r="E282" s="246">
        <v>11701.5141289</v>
      </c>
      <c r="F282" s="248">
        <v>6.0618443479087904E-4</v>
      </c>
      <c r="G282" s="247">
        <v>1.1293693</v>
      </c>
      <c r="H282" s="24">
        <f t="shared" si="16"/>
        <v>-9.5770151636075385E-3</v>
      </c>
      <c r="I282" s="24">
        <f t="shared" si="17"/>
        <v>-5.2414825907900475E-3</v>
      </c>
      <c r="J282" s="12">
        <f t="shared" si="18"/>
        <v>6.0618443479087958E-4</v>
      </c>
      <c r="K282" s="44">
        <f t="shared" si="19"/>
        <v>-3.8399160570746771E-3</v>
      </c>
    </row>
    <row r="283" spans="1:11">
      <c r="A283" s="35">
        <v>45643</v>
      </c>
      <c r="C283" s="8">
        <v>75.22</v>
      </c>
      <c r="D283" s="8">
        <v>131.94999999999999</v>
      </c>
      <c r="E283" s="246">
        <v>11740.521929099999</v>
      </c>
      <c r="F283" s="248">
        <v>3.3335686108910603E-3</v>
      </c>
      <c r="G283" s="247">
        <v>1.1300074</v>
      </c>
      <c r="H283" s="24">
        <f t="shared" si="16"/>
        <v>1.0206822455009368E-2</v>
      </c>
      <c r="I283" s="24">
        <f t="shared" si="17"/>
        <v>-6.7745577719232619E-3</v>
      </c>
      <c r="J283" s="12">
        <f t="shared" si="18"/>
        <v>3.3335686108910689E-3</v>
      </c>
      <c r="K283" s="44">
        <f t="shared" si="19"/>
        <v>5.650056186226049E-4</v>
      </c>
    </row>
    <row r="284" spans="1:11">
      <c r="A284" s="35">
        <v>45644</v>
      </c>
      <c r="C284" s="8">
        <v>74.099999999999994</v>
      </c>
      <c r="D284" s="8">
        <v>129.6</v>
      </c>
      <c r="E284" s="246">
        <v>11638.9065448</v>
      </c>
      <c r="F284" s="248">
        <v>-8.6550993996388197E-3</v>
      </c>
      <c r="G284" s="247">
        <v>1.1188811000000001</v>
      </c>
      <c r="H284" s="24">
        <f t="shared" si="16"/>
        <v>-1.4889657006115442E-2</v>
      </c>
      <c r="I284" s="24">
        <f t="shared" si="17"/>
        <v>-1.7809776430465996E-2</v>
      </c>
      <c r="J284" s="12">
        <f t="shared" si="18"/>
        <v>-8.6550993996388215E-3</v>
      </c>
      <c r="K284" s="44">
        <f t="shared" si="19"/>
        <v>-9.8462187061783002E-3</v>
      </c>
    </row>
    <row r="285" spans="1:11">
      <c r="A285" s="35">
        <v>45645</v>
      </c>
      <c r="C285" s="8">
        <v>74.2</v>
      </c>
      <c r="D285" s="8">
        <v>129.1</v>
      </c>
      <c r="E285" s="246">
        <v>11414.8400253</v>
      </c>
      <c r="F285" s="248">
        <v>-1.9251509464186502E-2</v>
      </c>
      <c r="G285" s="247">
        <v>1.1265700999999999</v>
      </c>
      <c r="H285" s="24">
        <f t="shared" si="16"/>
        <v>1.3495276653172628E-3</v>
      </c>
      <c r="I285" s="24">
        <f t="shared" si="17"/>
        <v>-3.8580246913579863E-3</v>
      </c>
      <c r="J285" s="12">
        <f t="shared" si="18"/>
        <v>-1.9251509464186523E-2</v>
      </c>
      <c r="K285" s="44">
        <f t="shared" si="19"/>
        <v>6.8720438659655159E-3</v>
      </c>
    </row>
    <row r="286" spans="1:11">
      <c r="A286" s="35">
        <v>45646</v>
      </c>
      <c r="C286" s="8">
        <v>73.98</v>
      </c>
      <c r="D286" s="8">
        <v>128.5</v>
      </c>
      <c r="E286" s="246">
        <v>11384.9224681</v>
      </c>
      <c r="F286" s="248">
        <v>-2.6209353029644699E-3</v>
      </c>
      <c r="G286" s="247">
        <v>1.1266970999999999</v>
      </c>
      <c r="H286" s="24">
        <f t="shared" si="16"/>
        <v>-2.9649595687331054E-3</v>
      </c>
      <c r="I286" s="24">
        <f t="shared" si="17"/>
        <v>-4.6475600309836551E-3</v>
      </c>
      <c r="J286" s="12">
        <f t="shared" si="18"/>
        <v>-2.6209353029644777E-3</v>
      </c>
      <c r="K286" s="44">
        <f t="shared" si="19"/>
        <v>1.1273155571944748E-4</v>
      </c>
    </row>
    <row r="287" spans="1:11">
      <c r="A287" s="35">
        <v>45649</v>
      </c>
      <c r="C287" s="8">
        <v>74.08</v>
      </c>
      <c r="D287" s="8">
        <v>130.35</v>
      </c>
      <c r="E287" s="246">
        <v>11488.2776417</v>
      </c>
      <c r="F287" s="248">
        <v>9.0782501057513603E-3</v>
      </c>
      <c r="G287" s="247">
        <v>1.135267</v>
      </c>
      <c r="H287" s="24">
        <f t="shared" si="16"/>
        <v>1.3517166801837455E-3</v>
      </c>
      <c r="I287" s="24">
        <f t="shared" si="17"/>
        <v>1.4396887159533023E-2</v>
      </c>
      <c r="J287" s="12">
        <f t="shared" si="18"/>
        <v>9.078250105751362E-3</v>
      </c>
      <c r="K287" s="44">
        <f t="shared" si="19"/>
        <v>7.6062146605331282E-3</v>
      </c>
    </row>
    <row r="288" spans="1:11">
      <c r="A288" s="35">
        <v>45653</v>
      </c>
      <c r="C288" s="8">
        <v>74.42</v>
      </c>
      <c r="D288" s="8">
        <v>131.65</v>
      </c>
      <c r="E288" s="246">
        <v>11589.3385382</v>
      </c>
      <c r="F288" s="248">
        <v>8.7968710064221193E-3</v>
      </c>
      <c r="G288" s="247">
        <v>1.1323745999999999</v>
      </c>
      <c r="H288" s="24">
        <f t="shared" si="16"/>
        <v>4.5896328293737465E-3</v>
      </c>
      <c r="I288" s="24">
        <f t="shared" si="17"/>
        <v>9.9731492136556632E-3</v>
      </c>
      <c r="J288" s="12">
        <f t="shared" si="18"/>
        <v>8.7968710064221245E-3</v>
      </c>
      <c r="K288" s="44">
        <f t="shared" si="19"/>
        <v>-2.5477707006370531E-3</v>
      </c>
    </row>
    <row r="289" spans="1:11">
      <c r="A289" s="35">
        <v>45656</v>
      </c>
      <c r="C289" s="8">
        <v>74.88</v>
      </c>
      <c r="D289" s="8">
        <v>131.19999999999999</v>
      </c>
      <c r="E289" s="246">
        <v>11600.8964094</v>
      </c>
      <c r="F289" s="248">
        <v>9.9728480291649802E-4</v>
      </c>
      <c r="G289" s="247">
        <v>1.1350738</v>
      </c>
      <c r="H289" s="24">
        <f t="shared" si="16"/>
        <v>6.1811341037354417E-3</v>
      </c>
      <c r="I289" s="24">
        <f t="shared" si="17"/>
        <v>-3.418154196733858E-3</v>
      </c>
      <c r="J289" s="12">
        <f t="shared" si="18"/>
        <v>9.9728480291649824E-4</v>
      </c>
      <c r="K289" s="44">
        <f t="shared" si="19"/>
        <v>2.3836634979272908E-3</v>
      </c>
    </row>
    <row r="290" spans="1:11">
      <c r="A290" s="35">
        <v>45660</v>
      </c>
      <c r="C290" s="8">
        <v>74.7</v>
      </c>
      <c r="D290" s="8">
        <v>132.69999999999999</v>
      </c>
      <c r="E290" s="246">
        <v>11624.016937099999</v>
      </c>
      <c r="F290" s="248">
        <v>1.9929949276389302E-3</v>
      </c>
      <c r="G290" s="247">
        <v>1.1263164000000001</v>
      </c>
      <c r="H290" s="24">
        <f t="shared" si="16"/>
        <v>-2.4038461538460343E-3</v>
      </c>
      <c r="I290" s="24">
        <f t="shared" si="17"/>
        <v>1.1432926829268331E-2</v>
      </c>
      <c r="J290" s="12">
        <f t="shared" si="18"/>
        <v>1.9929949276389358E-3</v>
      </c>
      <c r="K290" s="44">
        <f t="shared" si="19"/>
        <v>-7.7152692626680786E-3</v>
      </c>
    </row>
    <row r="291" spans="1:11">
      <c r="A291" s="35">
        <v>45663</v>
      </c>
      <c r="C291" s="8">
        <v>74.02</v>
      </c>
      <c r="D291" s="8">
        <v>132.6</v>
      </c>
      <c r="E291" s="246">
        <v>11691.1291158</v>
      </c>
      <c r="F291" s="248">
        <v>5.7735788809634104E-3</v>
      </c>
      <c r="G291" s="247">
        <v>1.1294968000000001</v>
      </c>
      <c r="H291" s="24">
        <f t="shared" si="16"/>
        <v>-9.1030789825971015E-3</v>
      </c>
      <c r="I291" s="24">
        <f t="shared" si="17"/>
        <v>-7.5357950263743589E-4</v>
      </c>
      <c r="J291" s="12">
        <f t="shared" si="18"/>
        <v>5.7735788809634148E-3</v>
      </c>
      <c r="K291" s="44">
        <f t="shared" si="19"/>
        <v>2.8237180955545949E-3</v>
      </c>
    </row>
    <row r="292" spans="1:11">
      <c r="A292" s="35">
        <v>45664</v>
      </c>
      <c r="C292" s="8">
        <v>74.94</v>
      </c>
      <c r="D292" s="8">
        <v>134.85</v>
      </c>
      <c r="E292" s="246">
        <v>11830.770045400001</v>
      </c>
      <c r="F292" s="248">
        <v>1.19441782069862E-2</v>
      </c>
      <c r="G292" s="247">
        <v>1.1316698000000001</v>
      </c>
      <c r="H292" s="24">
        <f t="shared" si="16"/>
        <v>1.2429073223453102E-2</v>
      </c>
      <c r="I292" s="24">
        <f t="shared" si="17"/>
        <v>1.6968325791855143E-2</v>
      </c>
      <c r="J292" s="12">
        <f t="shared" si="18"/>
        <v>1.1944178206986233E-2</v>
      </c>
      <c r="K292" s="44">
        <f t="shared" si="19"/>
        <v>1.9238655656217407E-3</v>
      </c>
    </row>
    <row r="293" spans="1:11">
      <c r="A293" s="35">
        <v>45665</v>
      </c>
      <c r="C293" s="8">
        <v>75.36</v>
      </c>
      <c r="D293" s="8">
        <v>134.80000000000001</v>
      </c>
      <c r="E293" s="246">
        <v>11876.2086846</v>
      </c>
      <c r="F293" s="248">
        <v>3.84071696310805E-3</v>
      </c>
      <c r="G293" s="247">
        <v>1.1365575000000001</v>
      </c>
      <c r="H293" s="24">
        <f t="shared" si="16"/>
        <v>5.6044835868696019E-3</v>
      </c>
      <c r="I293" s="24">
        <f t="shared" si="17"/>
        <v>-3.7078235075993504E-4</v>
      </c>
      <c r="J293" s="12">
        <f t="shared" si="18"/>
        <v>3.8407169631080595E-3</v>
      </c>
      <c r="K293" s="44">
        <f t="shared" si="19"/>
        <v>4.3190160239321429E-3</v>
      </c>
    </row>
    <row r="294" spans="1:11">
      <c r="A294" s="35">
        <v>45667</v>
      </c>
      <c r="C294" s="8">
        <v>74.040000000000006</v>
      </c>
      <c r="D294" s="8">
        <v>131.44999999999999</v>
      </c>
      <c r="E294" s="246">
        <v>11791.9051664</v>
      </c>
      <c r="F294" s="248">
        <v>-7.09852112225994E-3</v>
      </c>
      <c r="G294" s="247">
        <v>1.1399258000000001</v>
      </c>
      <c r="H294" s="24">
        <f t="shared" si="16"/>
        <v>-1.7515923566878921E-2</v>
      </c>
      <c r="I294" s="24">
        <f t="shared" si="17"/>
        <v>-2.4851632047477867E-2</v>
      </c>
      <c r="J294" s="12">
        <f t="shared" si="18"/>
        <v>-7.0985211222599487E-3</v>
      </c>
      <c r="K294" s="44">
        <f t="shared" si="19"/>
        <v>2.96359841011129E-3</v>
      </c>
    </row>
    <row r="295" spans="1:11">
      <c r="A295" s="35">
        <v>45670</v>
      </c>
      <c r="C295" s="8">
        <v>74.239999999999995</v>
      </c>
      <c r="D295" s="8">
        <v>131.1</v>
      </c>
      <c r="E295" s="246">
        <v>11701.71796</v>
      </c>
      <c r="F295" s="248">
        <v>-7.6482303009848193E-3</v>
      </c>
      <c r="G295" s="247">
        <v>1.1413571</v>
      </c>
      <c r="H295" s="24">
        <f t="shared" si="16"/>
        <v>2.7012425715828847E-3</v>
      </c>
      <c r="I295" s="24">
        <f t="shared" si="17"/>
        <v>-2.6626093571699982E-3</v>
      </c>
      <c r="J295" s="12">
        <f t="shared" si="18"/>
        <v>-7.6482303009848263E-3</v>
      </c>
      <c r="K295" s="44">
        <f t="shared" si="19"/>
        <v>1.2556080404531045E-3</v>
      </c>
    </row>
    <row r="296" spans="1:11">
      <c r="A296" s="35">
        <v>45671</v>
      </c>
      <c r="C296" s="8">
        <v>74.16</v>
      </c>
      <c r="D296" s="8">
        <v>132.30000000000001</v>
      </c>
      <c r="E296" s="246">
        <v>11702.5720526</v>
      </c>
      <c r="F296" s="248">
        <v>7.2988650292149502E-5</v>
      </c>
      <c r="G296" s="247">
        <v>1.1332728999999999</v>
      </c>
      <c r="H296" s="24">
        <f t="shared" si="16"/>
        <v>-1.0775862068965747E-3</v>
      </c>
      <c r="I296" s="24">
        <f t="shared" si="17"/>
        <v>9.1533180778033962E-3</v>
      </c>
      <c r="J296" s="12">
        <f t="shared" si="18"/>
        <v>7.2988650292149515E-5</v>
      </c>
      <c r="K296" s="44">
        <f t="shared" si="19"/>
        <v>-7.0829716659230879E-3</v>
      </c>
    </row>
    <row r="297" spans="1:11">
      <c r="A297" s="35">
        <v>45672</v>
      </c>
      <c r="C297" s="8">
        <v>73.66</v>
      </c>
      <c r="D297" s="8">
        <v>134</v>
      </c>
      <c r="E297" s="246">
        <v>11781.7396537</v>
      </c>
      <c r="F297" s="248">
        <v>6.76497446408896E-3</v>
      </c>
      <c r="G297" s="247">
        <v>1.1309019</v>
      </c>
      <c r="H297" s="24">
        <f t="shared" si="16"/>
        <v>-6.7421790722761443E-3</v>
      </c>
      <c r="I297" s="24">
        <f t="shared" si="17"/>
        <v>1.2849584278155524E-2</v>
      </c>
      <c r="J297" s="12">
        <f t="shared" si="18"/>
        <v>6.7649744640889686E-3</v>
      </c>
      <c r="K297" s="44">
        <f t="shared" si="19"/>
        <v>-2.0921703854384077E-3</v>
      </c>
    </row>
    <row r="298" spans="1:11">
      <c r="A298" s="35">
        <v>45673</v>
      </c>
      <c r="C298" s="8">
        <v>73.900000000000006</v>
      </c>
      <c r="D298" s="8">
        <v>135.19999999999999</v>
      </c>
      <c r="E298" s="246">
        <v>11942.004869099999</v>
      </c>
      <c r="F298" s="248">
        <v>1.3602848145576501E-2</v>
      </c>
      <c r="G298" s="247">
        <v>1.1251758000000001</v>
      </c>
      <c r="H298" s="24">
        <f t="shared" si="16"/>
        <v>3.2582134129786056E-3</v>
      </c>
      <c r="I298" s="24">
        <f t="shared" si="17"/>
        <v>8.9552238805969964E-3</v>
      </c>
      <c r="J298" s="12">
        <f t="shared" si="18"/>
        <v>1.3602848145576552E-2</v>
      </c>
      <c r="K298" s="44">
        <f t="shared" si="19"/>
        <v>-5.0633038993036505E-3</v>
      </c>
    </row>
    <row r="299" spans="1:11">
      <c r="A299" s="35">
        <v>45674</v>
      </c>
      <c r="C299" s="8">
        <v>74.2</v>
      </c>
      <c r="D299" s="8">
        <v>135.85</v>
      </c>
      <c r="E299" s="246">
        <v>12111.160567299999</v>
      </c>
      <c r="F299" s="248">
        <v>4.0419404638576397E-3</v>
      </c>
      <c r="G299" s="247">
        <v>1.1191316</v>
      </c>
      <c r="H299" s="24">
        <f t="shared" si="16"/>
        <v>4.0595399188092518E-3</v>
      </c>
      <c r="I299" s="24">
        <f t="shared" si="17"/>
        <v>4.8076923076922906E-3</v>
      </c>
      <c r="J299" s="12">
        <f t="shared" si="18"/>
        <v>1.4164765468961615E-2</v>
      </c>
      <c r="K299" s="44">
        <f t="shared" si="19"/>
        <v>-5.3717827916314187E-3</v>
      </c>
    </row>
    <row r="300" spans="1:11">
      <c r="A300" s="35">
        <v>45678</v>
      </c>
      <c r="C300" s="8">
        <v>74.739999999999995</v>
      </c>
      <c r="D300" s="8">
        <v>135.85</v>
      </c>
      <c r="E300" s="246">
        <v>12207.892329099999</v>
      </c>
      <c r="F300" s="248">
        <v>1.0082073862798399E-2</v>
      </c>
      <c r="G300" s="247">
        <v>1.1205109</v>
      </c>
      <c r="H300" s="24">
        <f t="shared" si="16"/>
        <v>7.277628032344996E-3</v>
      </c>
      <c r="I300" s="45">
        <f>(D300/D299)-1</f>
        <v>0</v>
      </c>
      <c r="J300" s="12">
        <f t="shared" si="18"/>
        <v>7.9869935884735455E-3</v>
      </c>
      <c r="K300" s="44">
        <f t="shared" si="19"/>
        <v>1.2324734642468194E-3</v>
      </c>
    </row>
    <row r="301" spans="1:11">
      <c r="A301" s="35">
        <v>45679</v>
      </c>
      <c r="C301" s="8">
        <v>74.180000000000007</v>
      </c>
      <c r="D301" s="8">
        <v>137.85</v>
      </c>
      <c r="E301" s="246">
        <v>12265.401928499999</v>
      </c>
      <c r="F301" s="248">
        <v>7.9869935884735403E-3</v>
      </c>
      <c r="G301" s="247">
        <v>1.1177554999999999</v>
      </c>
      <c r="H301" s="24">
        <f t="shared" si="16"/>
        <v>-7.4926411560073403E-3</v>
      </c>
      <c r="I301" s="24">
        <f t="shared" si="17"/>
        <v>1.4722119985277837E-2</v>
      </c>
      <c r="J301" s="12">
        <f t="shared" si="18"/>
        <v>4.7108540810860688E-3</v>
      </c>
      <c r="K301" s="44">
        <f t="shared" si="19"/>
        <v>-2.4590568463012108E-3</v>
      </c>
    </row>
    <row r="302" spans="1:11">
      <c r="A302" s="35">
        <v>45680</v>
      </c>
      <c r="C302" s="8">
        <v>74.7</v>
      </c>
      <c r="D302" s="8">
        <v>138.6</v>
      </c>
      <c r="E302" s="246">
        <v>12287.282858299999</v>
      </c>
      <c r="F302" s="248">
        <v>4.7108540810860602E-3</v>
      </c>
      <c r="G302" s="247">
        <v>1.1198835</v>
      </c>
      <c r="H302" s="24">
        <f t="shared" si="16"/>
        <v>7.009975734699303E-3</v>
      </c>
      <c r="I302" s="24">
        <f t="shared" si="17"/>
        <v>5.4406964091404664E-3</v>
      </c>
      <c r="J302" s="12">
        <f t="shared" si="18"/>
        <v>1.7839553834071431E-3</v>
      </c>
      <c r="K302" s="44">
        <f t="shared" si="19"/>
        <v>1.9038152798176444E-3</v>
      </c>
    </row>
    <row r="303" spans="1:11">
      <c r="A303" s="35">
        <v>45681</v>
      </c>
      <c r="C303" s="8">
        <v>74.680000000000007</v>
      </c>
      <c r="D303" s="8">
        <v>138.05000000000001</v>
      </c>
      <c r="E303" s="246">
        <v>12416.607335799999</v>
      </c>
      <c r="F303" s="248">
        <v>1.7839553834071401E-3</v>
      </c>
      <c r="G303" s="247">
        <v>1.1137718000000001</v>
      </c>
      <c r="H303" s="24">
        <f t="shared" si="16"/>
        <v>-2.6773761713516642E-4</v>
      </c>
      <c r="I303" s="24">
        <f t="shared" si="17"/>
        <v>-3.9682539682538431E-3</v>
      </c>
      <c r="J303" s="12">
        <f t="shared" si="18"/>
        <v>1.0525067176478498E-2</v>
      </c>
      <c r="K303" s="44">
        <f t="shared" si="19"/>
        <v>-5.4574426714920632E-3</v>
      </c>
    </row>
    <row r="304" spans="1:11">
      <c r="A304" s="35">
        <v>45684</v>
      </c>
      <c r="C304" s="8">
        <v>77.56</v>
      </c>
      <c r="D304" s="8">
        <v>139.85</v>
      </c>
      <c r="E304" s="246">
        <v>12455.4364706</v>
      </c>
      <c r="F304" s="248">
        <v>1.05250671764784E-2</v>
      </c>
      <c r="G304" s="247">
        <v>1.1178805000000001</v>
      </c>
      <c r="H304" s="24">
        <f t="shared" si="16"/>
        <v>3.8564542046063188E-2</v>
      </c>
      <c r="I304" s="24">
        <f t="shared" si="17"/>
        <v>1.3038754074610415E-2</v>
      </c>
      <c r="J304" s="12">
        <f t="shared" si="18"/>
        <v>3.1271935843575349E-3</v>
      </c>
      <c r="K304" s="44">
        <f t="shared" si="19"/>
        <v>3.6889962557860034E-3</v>
      </c>
    </row>
    <row r="305" spans="1:11">
      <c r="A305" s="35">
        <v>45685</v>
      </c>
      <c r="C305" s="8">
        <v>78.180000000000007</v>
      </c>
      <c r="D305" s="8">
        <v>139.85</v>
      </c>
      <c r="E305" s="246">
        <v>12530.316045</v>
      </c>
      <c r="F305" s="248">
        <v>3.1271935843575297E-3</v>
      </c>
      <c r="G305" s="247">
        <v>1.1109876999999999</v>
      </c>
      <c r="H305" s="24">
        <f t="shared" si="16"/>
        <v>7.993811242908766E-3</v>
      </c>
      <c r="I305" s="24">
        <f t="shared" si="17"/>
        <v>0</v>
      </c>
      <c r="J305" s="12">
        <f t="shared" si="18"/>
        <v>6.0117985087673187E-3</v>
      </c>
      <c r="K305" s="44">
        <f t="shared" si="19"/>
        <v>-6.1659542321385041E-3</v>
      </c>
    </row>
    <row r="306" spans="1:11">
      <c r="A306" s="35">
        <v>45686</v>
      </c>
      <c r="C306" s="8">
        <v>78.28</v>
      </c>
      <c r="D306" s="8">
        <v>140.25</v>
      </c>
      <c r="E306" s="246">
        <v>12604.537117399999</v>
      </c>
      <c r="F306" s="248">
        <v>6.01179850876731E-3</v>
      </c>
      <c r="G306" s="247">
        <v>1.1100627000000001</v>
      </c>
      <c r="H306" s="24">
        <f t="shared" si="16"/>
        <v>1.2790995139420058E-3</v>
      </c>
      <c r="I306" s="24">
        <f t="shared" si="17"/>
        <v>2.8602073650338955E-3</v>
      </c>
      <c r="J306" s="12">
        <f t="shared" si="18"/>
        <v>5.9233200609984937E-3</v>
      </c>
      <c r="K306" s="44">
        <f t="shared" si="19"/>
        <v>-8.3259247604616782E-4</v>
      </c>
    </row>
    <row r="307" spans="1:11">
      <c r="A307" s="35">
        <v>45687</v>
      </c>
      <c r="C307" s="8">
        <v>78.680000000000007</v>
      </c>
      <c r="D307" s="8">
        <v>140.1</v>
      </c>
      <c r="E307" s="246">
        <v>12597.0883565</v>
      </c>
      <c r="F307" s="248">
        <v>5.9233200609984903E-3</v>
      </c>
      <c r="G307" s="247">
        <v>1.1100783000000001</v>
      </c>
      <c r="H307" s="24">
        <f t="shared" si="16"/>
        <v>5.1098620337250988E-3</v>
      </c>
      <c r="I307" s="24">
        <f t="shared" si="17"/>
        <v>-1.0695187165775666E-3</v>
      </c>
      <c r="J307" s="12">
        <f t="shared" si="18"/>
        <v>-5.9095870245928772E-4</v>
      </c>
      <c r="K307" s="44">
        <f t="shared" si="19"/>
        <v>1.4053260234847542E-5</v>
      </c>
    </row>
    <row r="308" spans="1:11">
      <c r="A308" s="35">
        <v>45688</v>
      </c>
      <c r="C308" s="8">
        <v>77.48</v>
      </c>
      <c r="D308" s="8">
        <v>139.4</v>
      </c>
      <c r="E308" s="246">
        <v>12546.773656400001</v>
      </c>
      <c r="F308" s="248">
        <v>-5.9095870245928707E-4</v>
      </c>
      <c r="G308" s="247">
        <v>1.1105559</v>
      </c>
      <c r="H308" s="24">
        <f t="shared" si="16"/>
        <v>-1.5251652262328497E-2</v>
      </c>
      <c r="I308" s="24">
        <f t="shared" si="17"/>
        <v>-4.9964311206280865E-3</v>
      </c>
      <c r="J308" s="12">
        <f t="shared" si="18"/>
        <v>-3.9941531468291602E-3</v>
      </c>
      <c r="K308" s="44">
        <f t="shared" si="19"/>
        <v>4.3023992091373309E-4</v>
      </c>
    </row>
    <row r="309" spans="1:11">
      <c r="A309" s="35">
        <v>45691</v>
      </c>
      <c r="C309" s="8">
        <v>77.86</v>
      </c>
      <c r="D309" s="8">
        <v>138.85</v>
      </c>
      <c r="E309" s="246">
        <v>12475.4926268</v>
      </c>
      <c r="F309" s="248">
        <v>-3.9941531468291602E-3</v>
      </c>
      <c r="G309" s="247">
        <v>1.1093238999999999</v>
      </c>
      <c r="H309" s="24">
        <f t="shared" si="16"/>
        <v>4.9044914816727125E-3</v>
      </c>
      <c r="I309" s="24">
        <f t="shared" si="17"/>
        <v>-3.9454806312769763E-3</v>
      </c>
      <c r="J309" s="12">
        <f t="shared" si="18"/>
        <v>-5.6812238390576697E-3</v>
      </c>
      <c r="K309" s="44">
        <f t="shared" si="19"/>
        <v>-1.1093543332668654E-3</v>
      </c>
    </row>
    <row r="310" spans="1:11">
      <c r="A310" s="35">
        <v>45692</v>
      </c>
      <c r="C310" s="8">
        <v>77.459999999999994</v>
      </c>
      <c r="D310" s="8">
        <v>139.30000000000001</v>
      </c>
      <c r="E310" s="246">
        <v>12579.4364453</v>
      </c>
      <c r="F310" s="248">
        <v>-5.6812238390576697E-3</v>
      </c>
      <c r="G310" s="247">
        <v>1.1029614000000001</v>
      </c>
      <c r="H310" s="24">
        <f t="shared" si="16"/>
        <v>-5.1374261494991913E-3</v>
      </c>
      <c r="I310" s="24">
        <f t="shared" si="17"/>
        <v>3.2409074540873384E-3</v>
      </c>
      <c r="J310" s="12">
        <f t="shared" si="18"/>
        <v>8.3318408025592205E-3</v>
      </c>
      <c r="K310" s="44">
        <f t="shared" si="19"/>
        <v>-5.7354754549143738E-3</v>
      </c>
    </row>
    <row r="311" spans="1:11">
      <c r="A311" s="35">
        <v>45693</v>
      </c>
      <c r="C311" s="8">
        <v>77.260000000000005</v>
      </c>
      <c r="D311" s="8">
        <v>140.25</v>
      </c>
      <c r="E311" s="246">
        <v>12624.203756000001</v>
      </c>
      <c r="F311" s="248">
        <v>8.3318408025592205E-3</v>
      </c>
      <c r="G311" s="247">
        <v>1.1034482999999999</v>
      </c>
      <c r="H311" s="24">
        <f t="shared" si="16"/>
        <v>-2.5819777949908085E-3</v>
      </c>
      <c r="I311" s="24">
        <f t="shared" si="17"/>
        <v>6.8198133524766114E-3</v>
      </c>
      <c r="J311" s="12">
        <f t="shared" si="18"/>
        <v>3.5587691781475694E-3</v>
      </c>
      <c r="K311" s="44">
        <f t="shared" si="19"/>
        <v>4.4144790561095881E-4</v>
      </c>
    </row>
    <row r="312" spans="1:11">
      <c r="A312" s="35">
        <v>45694</v>
      </c>
      <c r="C312" s="8">
        <v>77.5</v>
      </c>
      <c r="D312" s="8">
        <v>141.15</v>
      </c>
      <c r="E312" s="246">
        <v>12593.338571</v>
      </c>
      <c r="F312" s="248">
        <v>3.5587691781475599E-3</v>
      </c>
      <c r="G312" s="247">
        <v>1.1034360999999999</v>
      </c>
      <c r="H312" s="24">
        <f t="shared" si="16"/>
        <v>3.1063939943047902E-3</v>
      </c>
      <c r="I312" s="24">
        <f t="shared" si="17"/>
        <v>6.4171122994651775E-3</v>
      </c>
      <c r="J312" s="12">
        <f t="shared" si="18"/>
        <v>-2.4449213270445469E-3</v>
      </c>
      <c r="K312" s="44">
        <f t="shared" si="19"/>
        <v>-1.105624975816788E-5</v>
      </c>
    </row>
    <row r="313" spans="1:11">
      <c r="A313" s="35">
        <v>45695</v>
      </c>
      <c r="C313" s="8">
        <v>77.5</v>
      </c>
      <c r="D313" s="8">
        <v>141.65</v>
      </c>
      <c r="E313" s="246">
        <v>12627.840816899999</v>
      </c>
      <c r="F313" s="248">
        <v>-2.44492132704454E-3</v>
      </c>
      <c r="G313" s="247">
        <v>1.0978756000000001</v>
      </c>
      <c r="H313" s="24">
        <f t="shared" si="16"/>
        <v>0</v>
      </c>
      <c r="I313" s="24">
        <f t="shared" si="17"/>
        <v>3.5423308537017029E-3</v>
      </c>
      <c r="J313" s="12">
        <f t="shared" si="18"/>
        <v>2.7397219335825174E-3</v>
      </c>
      <c r="K313" s="44">
        <f t="shared" si="19"/>
        <v>-5.0392587300703839E-3</v>
      </c>
    </row>
    <row r="314" spans="1:11">
      <c r="A314" s="35">
        <v>45698</v>
      </c>
      <c r="C314" s="8">
        <v>77.36</v>
      </c>
      <c r="D314" s="8">
        <v>142</v>
      </c>
      <c r="E314" s="246">
        <v>12694.157158599999</v>
      </c>
      <c r="F314" s="248">
        <v>2.73972193358251E-3</v>
      </c>
      <c r="G314" s="247">
        <v>1.0979962000000001</v>
      </c>
      <c r="H314" s="24">
        <f t="shared" si="16"/>
        <v>-1.8064516129032704E-3</v>
      </c>
      <c r="I314" s="24">
        <f t="shared" si="17"/>
        <v>2.4708789269325404E-3</v>
      </c>
      <c r="J314" s="12">
        <f t="shared" si="18"/>
        <v>5.2515978512532868E-3</v>
      </c>
      <c r="K314" s="44">
        <f t="shared" si="19"/>
        <v>1.0984851106998761E-4</v>
      </c>
    </row>
    <row r="315" spans="1:11">
      <c r="A315" s="35">
        <v>45699</v>
      </c>
      <c r="C315" s="8">
        <v>78.2</v>
      </c>
      <c r="D315" s="8">
        <v>141.69999999999999</v>
      </c>
      <c r="E315" s="246">
        <v>12713.898594099999</v>
      </c>
      <c r="F315" s="248">
        <v>5.2515978512532799E-3</v>
      </c>
      <c r="G315" s="247">
        <v>1.1050333999999999</v>
      </c>
      <c r="H315" s="24">
        <f t="shared" si="16"/>
        <v>1.085832471561532E-2</v>
      </c>
      <c r="I315" s="24">
        <f t="shared" si="17"/>
        <v>-2.1126760563381364E-3</v>
      </c>
      <c r="J315" s="12">
        <f t="shared" si="18"/>
        <v>1.5551592164293471E-3</v>
      </c>
      <c r="K315" s="44">
        <f t="shared" si="19"/>
        <v>6.4091296490824679E-3</v>
      </c>
    </row>
    <row r="316" spans="1:11">
      <c r="A316" s="35">
        <v>45700</v>
      </c>
      <c r="C316" s="8">
        <v>78.78</v>
      </c>
      <c r="D316" s="8">
        <v>141.69999999999999</v>
      </c>
      <c r="E316" s="246">
        <v>12949.055794800001</v>
      </c>
      <c r="F316" s="248">
        <v>1.5551592164293401E-3</v>
      </c>
      <c r="G316" s="247">
        <v>1.1011397000000001</v>
      </c>
      <c r="H316" s="24">
        <f t="shared" si="16"/>
        <v>7.4168797953964027E-3</v>
      </c>
      <c r="I316" s="24">
        <f t="shared" si="17"/>
        <v>0</v>
      </c>
      <c r="J316" s="12">
        <f t="shared" si="18"/>
        <v>1.8496073329476559E-2</v>
      </c>
      <c r="K316" s="44">
        <f t="shared" si="19"/>
        <v>-3.5236039019271859E-3</v>
      </c>
    </row>
    <row r="317" spans="1:11">
      <c r="A317" s="35">
        <v>45701</v>
      </c>
      <c r="C317" s="8">
        <v>83.68</v>
      </c>
      <c r="D317" s="8">
        <v>141.05000000000001</v>
      </c>
      <c r="E317" s="246">
        <v>12839.8745385</v>
      </c>
      <c r="F317" s="248">
        <v>1.84960733294765E-2</v>
      </c>
      <c r="G317" s="247">
        <v>1.0971527999999999</v>
      </c>
      <c r="H317" s="24">
        <f t="shared" si="16"/>
        <v>6.2198527545062277E-2</v>
      </c>
      <c r="I317" s="24">
        <f t="shared" si="17"/>
        <v>-4.5871559633026138E-3</v>
      </c>
      <c r="J317" s="12">
        <f t="shared" si="18"/>
        <v>-8.4315998038902995E-3</v>
      </c>
      <c r="K317" s="44">
        <f t="shared" si="19"/>
        <v>-3.6207031678179291E-3</v>
      </c>
    </row>
    <row r="318" spans="1:11">
      <c r="A318" s="35">
        <v>45702</v>
      </c>
      <c r="C318" s="8">
        <v>82.48</v>
      </c>
      <c r="D318" s="8">
        <v>139.94999999999999</v>
      </c>
      <c r="E318" s="246">
        <v>12875.079596400001</v>
      </c>
      <c r="F318" s="248">
        <v>-8.4315998038902995E-3</v>
      </c>
      <c r="G318" s="247">
        <v>1.0963109</v>
      </c>
      <c r="H318" s="24">
        <f t="shared" si="16"/>
        <v>-1.4340344168260022E-2</v>
      </c>
      <c r="I318" s="24">
        <f t="shared" si="17"/>
        <v>-7.7986529599434196E-3</v>
      </c>
      <c r="J318" s="12">
        <f t="shared" si="18"/>
        <v>2.7418537303023349E-3</v>
      </c>
      <c r="K318" s="44">
        <f t="shared" si="19"/>
        <v>-7.6734981672554881E-4</v>
      </c>
    </row>
    <row r="319" spans="1:11">
      <c r="A319" s="35">
        <v>45706</v>
      </c>
      <c r="C319" s="8">
        <v>82.38</v>
      </c>
      <c r="D319" s="8">
        <v>142.65</v>
      </c>
      <c r="E319" s="246">
        <v>12893.984203100001</v>
      </c>
      <c r="F319" s="248">
        <v>4.2141895107894404E-3</v>
      </c>
      <c r="G319" s="247">
        <v>1.091167</v>
      </c>
      <c r="H319" s="24">
        <f t="shared" si="16"/>
        <v>-1.212415130940947E-3</v>
      </c>
      <c r="I319" s="24">
        <f t="shared" si="17"/>
        <v>1.9292604501607746E-2</v>
      </c>
      <c r="J319" s="12">
        <f t="shared" si="18"/>
        <v>1.4683098895393876E-3</v>
      </c>
      <c r="K319" s="44">
        <f t="shared" si="19"/>
        <v>-4.6920084439551202E-3</v>
      </c>
    </row>
    <row r="320" spans="1:11">
      <c r="A320" s="35">
        <v>45707</v>
      </c>
      <c r="C320" s="8">
        <v>82.5</v>
      </c>
      <c r="D320" s="8">
        <v>139.15</v>
      </c>
      <c r="E320" s="246">
        <v>12798.520725</v>
      </c>
      <c r="F320" s="248">
        <v>-7.4037222782581402E-3</v>
      </c>
      <c r="G320" s="247">
        <v>1.0874292999999999</v>
      </c>
      <c r="H320" s="24">
        <f t="shared" si="16"/>
        <v>1.4566642388929019E-3</v>
      </c>
      <c r="I320" s="24">
        <f t="shared" si="17"/>
        <v>-2.4535576586049768E-2</v>
      </c>
      <c r="J320" s="12">
        <f t="shared" si="18"/>
        <v>-7.4037222782581402E-3</v>
      </c>
      <c r="K320" s="44">
        <f t="shared" si="19"/>
        <v>-3.4254151747624695E-3</v>
      </c>
    </row>
    <row r="321" spans="1:11">
      <c r="A321" s="35">
        <v>45708</v>
      </c>
      <c r="C321" s="8">
        <v>82.34</v>
      </c>
      <c r="D321" s="8">
        <v>138.35</v>
      </c>
      <c r="E321" s="246">
        <v>12808.0840324</v>
      </c>
      <c r="F321" s="248">
        <v>7.4721974558511397E-4</v>
      </c>
      <c r="G321" s="247">
        <v>1.0934937</v>
      </c>
      <c r="H321" s="24">
        <f t="shared" si="16"/>
        <v>-1.9393939393939075E-3</v>
      </c>
      <c r="I321" s="24">
        <f t="shared" si="17"/>
        <v>-5.7491915199425758E-3</v>
      </c>
      <c r="J321" s="12">
        <f t="shared" si="18"/>
        <v>7.4721974558511484E-4</v>
      </c>
      <c r="K321" s="44">
        <f t="shared" si="19"/>
        <v>5.5768223276677631E-3</v>
      </c>
    </row>
    <row r="322" spans="1:11">
      <c r="A322" s="35">
        <v>45709</v>
      </c>
      <c r="C322" s="8">
        <v>85.1</v>
      </c>
      <c r="D322" s="8">
        <v>138.30000000000001</v>
      </c>
      <c r="E322" s="246">
        <v>12948.6005284</v>
      </c>
      <c r="F322" s="248">
        <v>1.0970922399052101E-2</v>
      </c>
      <c r="G322" s="247">
        <v>1.0969120999999999</v>
      </c>
      <c r="H322" s="24">
        <f t="shared" si="16"/>
        <v>3.3519553072625552E-2</v>
      </c>
      <c r="I322" s="24">
        <f t="shared" si="17"/>
        <v>-3.6140224069380888E-4</v>
      </c>
      <c r="J322" s="12">
        <f t="shared" si="18"/>
        <v>1.0970922399052174E-2</v>
      </c>
      <c r="K322" s="44">
        <f t="shared" si="19"/>
        <v>3.1261268354814131E-3</v>
      </c>
    </row>
    <row r="323" spans="1:11">
      <c r="A323" s="35">
        <v>45712</v>
      </c>
      <c r="C323" s="8">
        <v>87.78</v>
      </c>
      <c r="D323" s="8">
        <v>138.55000000000001</v>
      </c>
      <c r="E323" s="246">
        <v>12953.165376000001</v>
      </c>
      <c r="F323" s="248">
        <v>3.5253598178330798E-4</v>
      </c>
      <c r="G323" s="247">
        <v>1.0965513</v>
      </c>
      <c r="H323" s="24">
        <f t="shared" si="16"/>
        <v>3.1492361927144552E-2</v>
      </c>
      <c r="I323" s="24">
        <f t="shared" si="17"/>
        <v>1.8076644974691636E-3</v>
      </c>
      <c r="J323" s="12">
        <f t="shared" si="18"/>
        <v>3.5253598178330847E-4</v>
      </c>
      <c r="K323" s="44">
        <f t="shared" si="19"/>
        <v>-3.2892334764100806E-4</v>
      </c>
    </row>
    <row r="324" spans="1:11">
      <c r="A324" s="35">
        <v>45713</v>
      </c>
      <c r="C324" s="8">
        <v>89.02</v>
      </c>
      <c r="D324" s="8">
        <v>139.19999999999999</v>
      </c>
      <c r="E324" s="246">
        <v>13025.010455199999</v>
      </c>
      <c r="F324" s="248">
        <v>5.5465268229428696E-3</v>
      </c>
      <c r="G324" s="247">
        <v>1.0943912</v>
      </c>
      <c r="H324" s="24">
        <f t="shared" si="16"/>
        <v>1.4126224652540431E-2</v>
      </c>
      <c r="I324" s="24">
        <f t="shared" si="17"/>
        <v>4.6914471309995598E-3</v>
      </c>
      <c r="J324" s="12">
        <f t="shared" si="18"/>
        <v>5.5465268229428766E-3</v>
      </c>
      <c r="K324" s="44">
        <f t="shared" si="19"/>
        <v>-1.9699032776669956E-3</v>
      </c>
    </row>
    <row r="325" spans="1:11">
      <c r="A325" s="35">
        <v>45714</v>
      </c>
      <c r="C325" s="8">
        <v>87.6</v>
      </c>
      <c r="D325" s="8">
        <v>144.44999999999999</v>
      </c>
      <c r="E325" s="246">
        <v>13042.5055644</v>
      </c>
      <c r="F325" s="248">
        <v>1.3431934861147701E-3</v>
      </c>
      <c r="G325" s="247">
        <v>1.1010789999999999</v>
      </c>
      <c r="H325" s="24">
        <f t="shared" si="16"/>
        <v>-1.595147157942034E-2</v>
      </c>
      <c r="I325" s="24">
        <f t="shared" si="17"/>
        <v>3.7715517241379226E-2</v>
      </c>
      <c r="J325" s="12">
        <f t="shared" si="18"/>
        <v>1.3431934861147798E-3</v>
      </c>
      <c r="K325" s="44">
        <f t="shared" si="19"/>
        <v>6.1109775005498967E-3</v>
      </c>
    </row>
    <row r="326" spans="1:11">
      <c r="A326" s="35">
        <v>45715</v>
      </c>
      <c r="C326" s="8">
        <v>87.04</v>
      </c>
      <c r="D326" s="8">
        <v>145.19999999999999</v>
      </c>
      <c r="E326" s="246">
        <v>12958.3432178</v>
      </c>
      <c r="F326" s="248">
        <v>-6.4529277894060898E-3</v>
      </c>
      <c r="G326" s="247">
        <v>1.1017463000000001</v>
      </c>
      <c r="H326" s="24">
        <f t="shared" si="16"/>
        <v>-6.3926940639268404E-3</v>
      </c>
      <c r="I326" s="24">
        <f t="shared" si="17"/>
        <v>5.1921079958463512E-3</v>
      </c>
      <c r="J326" s="12">
        <f t="shared" si="18"/>
        <v>-6.4529277894060932E-3</v>
      </c>
      <c r="K326" s="44">
        <f t="shared" si="19"/>
        <v>6.0604189163560029E-4</v>
      </c>
    </row>
    <row r="327" spans="1:11">
      <c r="A327" s="35">
        <v>45716</v>
      </c>
      <c r="C327" s="8">
        <v>87.12</v>
      </c>
      <c r="D327" s="8">
        <v>144.30000000000001</v>
      </c>
      <c r="E327" s="246">
        <v>13004.4764111</v>
      </c>
      <c r="F327" s="248">
        <v>3.5601150953179501E-3</v>
      </c>
      <c r="G327" s="247">
        <v>1.1025966</v>
      </c>
      <c r="H327" s="24">
        <f t="shared" si="16"/>
        <v>9.1911764705887578E-4</v>
      </c>
      <c r="I327" s="24">
        <f t="shared" si="17"/>
        <v>-6.1983471074378294E-3</v>
      </c>
      <c r="J327" s="12">
        <f t="shared" si="18"/>
        <v>3.5601150953179506E-3</v>
      </c>
      <c r="K327" s="44">
        <f t="shared" si="19"/>
        <v>7.7177477246803683E-4</v>
      </c>
    </row>
    <row r="328" spans="1:11">
      <c r="A328" s="35">
        <v>45719</v>
      </c>
      <c r="C328" s="8">
        <v>88.6</v>
      </c>
      <c r="D328" s="8">
        <v>147.05000000000001</v>
      </c>
      <c r="E328" s="246">
        <v>13166.677911700001</v>
      </c>
      <c r="F328" s="248">
        <v>1.2472743651682201E-2</v>
      </c>
      <c r="G328" s="247">
        <v>1.0999285000000001</v>
      </c>
      <c r="H328" s="24">
        <f t="shared" si="16"/>
        <v>1.6988062442607754E-2</v>
      </c>
      <c r="I328" s="24">
        <f t="shared" si="17"/>
        <v>1.9057519057519068E-2</v>
      </c>
      <c r="J328" s="12">
        <f t="shared" si="18"/>
        <v>1.2472743651682272E-2</v>
      </c>
      <c r="K328" s="44">
        <f t="shared" si="19"/>
        <v>-2.4198333279822348E-3</v>
      </c>
    </row>
    <row r="329" spans="1:11">
      <c r="A329" s="35">
        <v>45720</v>
      </c>
      <c r="C329" s="8">
        <v>89.76</v>
      </c>
      <c r="D329" s="8">
        <v>145.94999999999999</v>
      </c>
      <c r="E329" s="246">
        <v>13006.7357371</v>
      </c>
      <c r="F329" s="248">
        <v>-1.21474965570377E-2</v>
      </c>
      <c r="G329" s="247">
        <v>1.1055219999999999</v>
      </c>
      <c r="H329" s="24">
        <f t="shared" si="16"/>
        <v>1.3092550790067881E-2</v>
      </c>
      <c r="I329" s="24">
        <f t="shared" si="17"/>
        <v>-7.4804488269297753E-3</v>
      </c>
      <c r="J329" s="12">
        <f t="shared" si="18"/>
        <v>-1.2147496557037729E-2</v>
      </c>
      <c r="K329" s="44">
        <f t="shared" si="19"/>
        <v>5.0853305464853005E-3</v>
      </c>
    </row>
    <row r="330" spans="1:11">
      <c r="A330" s="35">
        <v>45721</v>
      </c>
      <c r="C330" s="8">
        <v>88.12</v>
      </c>
      <c r="D330" s="8">
        <v>147.85</v>
      </c>
      <c r="E330" s="246">
        <v>13112.752654100001</v>
      </c>
      <c r="F330" s="248">
        <v>8.1509241936545893E-3</v>
      </c>
      <c r="G330" s="247">
        <v>1.1100627000000001</v>
      </c>
      <c r="H330" s="24">
        <f t="shared" ref="H330:H365" si="20">(C330/C329)-1</f>
        <v>-1.8270944741533013E-2</v>
      </c>
      <c r="I330" s="24">
        <f t="shared" ref="I330:I365" si="21">(D330/D329)-1</f>
        <v>1.3018156903048972E-2</v>
      </c>
      <c r="J330" s="12">
        <f t="shared" ref="J330:J365" si="22">(E330/E329)-1</f>
        <v>8.1509241936545962E-3</v>
      </c>
      <c r="K330" s="44">
        <f t="shared" ref="K330:K365" si="23">(G330/G329)-1</f>
        <v>4.1072904926362508E-3</v>
      </c>
    </row>
    <row r="331" spans="1:11">
      <c r="A331" s="35">
        <v>45722</v>
      </c>
      <c r="C331" s="8">
        <v>87.86</v>
      </c>
      <c r="D331" s="8">
        <v>144.80000000000001</v>
      </c>
      <c r="E331" s="246">
        <v>13029.385378700001</v>
      </c>
      <c r="F331" s="248">
        <v>-6.3577250024565704E-3</v>
      </c>
      <c r="G331" s="247">
        <v>1.1040574000000001</v>
      </c>
      <c r="H331" s="24">
        <f t="shared" si="20"/>
        <v>-2.9505220154335543E-3</v>
      </c>
      <c r="I331" s="24">
        <f t="shared" si="21"/>
        <v>-2.0629015894487512E-2</v>
      </c>
      <c r="J331" s="12">
        <f t="shared" si="22"/>
        <v>-6.3577250024565712E-3</v>
      </c>
      <c r="K331" s="44">
        <f t="shared" si="23"/>
        <v>-5.4098745953718996E-3</v>
      </c>
    </row>
    <row r="332" spans="1:11">
      <c r="A332" s="35">
        <v>45723</v>
      </c>
      <c r="C332" s="8">
        <v>89.72</v>
      </c>
      <c r="D332" s="8">
        <v>145.25</v>
      </c>
      <c r="E332" s="246">
        <v>13076.678806</v>
      </c>
      <c r="F332" s="248">
        <v>3.62975120663122E-3</v>
      </c>
      <c r="G332" s="247">
        <v>1.1030831000000001</v>
      </c>
      <c r="H332" s="24">
        <f t="shared" si="20"/>
        <v>2.1170043250625881E-2</v>
      </c>
      <c r="I332" s="24">
        <f t="shared" si="21"/>
        <v>3.1077348066297361E-3</v>
      </c>
      <c r="J332" s="12">
        <f t="shared" si="22"/>
        <v>3.6297512066312265E-3</v>
      </c>
      <c r="K332" s="44">
        <f t="shared" si="23"/>
        <v>-8.8247223378057349E-4</v>
      </c>
    </row>
    <row r="333" spans="1:11">
      <c r="A333" s="35">
        <v>45726</v>
      </c>
      <c r="C333" s="8">
        <v>90.5</v>
      </c>
      <c r="D333" s="8">
        <v>146.44999999999999</v>
      </c>
      <c r="E333" s="246">
        <v>13013.4489763</v>
      </c>
      <c r="F333" s="248">
        <v>-4.8353125925971706E-3</v>
      </c>
      <c r="G333" s="247">
        <v>1.1022320000000001</v>
      </c>
      <c r="H333" s="24">
        <f t="shared" si="20"/>
        <v>8.6937137761926575E-3</v>
      </c>
      <c r="I333" s="24">
        <f t="shared" si="21"/>
        <v>8.2616179001719914E-3</v>
      </c>
      <c r="J333" s="12">
        <f t="shared" si="22"/>
        <v>-4.8353125925971741E-3</v>
      </c>
      <c r="K333" s="44">
        <f t="shared" si="23"/>
        <v>-7.7156471710970731E-4</v>
      </c>
    </row>
    <row r="334" spans="1:11">
      <c r="A334" s="35">
        <v>45727</v>
      </c>
      <c r="C334" s="8">
        <v>88.6</v>
      </c>
      <c r="D334" s="8">
        <v>144.15</v>
      </c>
      <c r="E334" s="246">
        <v>12692.2456152</v>
      </c>
      <c r="F334" s="248">
        <v>-2.4682415990178602E-2</v>
      </c>
      <c r="G334" s="247">
        <v>1.1012609</v>
      </c>
      <c r="H334" s="24">
        <f t="shared" si="20"/>
        <v>-2.0994475138121582E-2</v>
      </c>
      <c r="I334" s="24">
        <f t="shared" si="21"/>
        <v>-1.5705018777739777E-2</v>
      </c>
      <c r="J334" s="12">
        <f t="shared" si="22"/>
        <v>-2.4682415990178619E-2</v>
      </c>
      <c r="K334" s="44">
        <f t="shared" si="23"/>
        <v>-8.8103049085863638E-4</v>
      </c>
    </row>
    <row r="335" spans="1:11">
      <c r="A335" s="35">
        <v>45728</v>
      </c>
      <c r="C335" s="8">
        <v>89.04</v>
      </c>
      <c r="D335" s="8">
        <v>147.15</v>
      </c>
      <c r="E335" s="246">
        <v>12868.426455000001</v>
      </c>
      <c r="F335" s="248">
        <v>1.3880982541734701E-2</v>
      </c>
      <c r="G335" s="247">
        <v>1.0967918999999999</v>
      </c>
      <c r="H335" s="24">
        <f t="shared" si="20"/>
        <v>4.9661399548535101E-3</v>
      </c>
      <c r="I335" s="24">
        <f t="shared" si="21"/>
        <v>2.0811654526534884E-2</v>
      </c>
      <c r="J335" s="12">
        <f t="shared" si="22"/>
        <v>1.3880982541734754E-2</v>
      </c>
      <c r="K335" s="44">
        <f t="shared" si="23"/>
        <v>-4.0580756113288707E-3</v>
      </c>
    </row>
    <row r="336" spans="1:11">
      <c r="A336" s="35">
        <v>45729</v>
      </c>
      <c r="C336" s="8">
        <v>89.24</v>
      </c>
      <c r="D336" s="8">
        <v>146.65</v>
      </c>
      <c r="E336" s="246">
        <v>12836.185208700001</v>
      </c>
      <c r="F336" s="248">
        <v>-2.5054536708699598E-3</v>
      </c>
      <c r="G336" s="247">
        <v>1.1039355</v>
      </c>
      <c r="H336" s="24">
        <f t="shared" si="20"/>
        <v>2.2461814914642719E-3</v>
      </c>
      <c r="I336" s="24">
        <f t="shared" si="21"/>
        <v>-3.397893306150146E-3</v>
      </c>
      <c r="J336" s="12">
        <f t="shared" si="22"/>
        <v>-2.5054536708699615E-3</v>
      </c>
      <c r="K336" s="44">
        <f t="shared" si="23"/>
        <v>6.5131772034421331E-3</v>
      </c>
    </row>
    <row r="337" spans="1:11">
      <c r="A337" s="35">
        <v>45730</v>
      </c>
      <c r="C337" s="8">
        <v>89.18</v>
      </c>
      <c r="D337" s="8">
        <v>147.35</v>
      </c>
      <c r="E337" s="246">
        <v>12916.811379999999</v>
      </c>
      <c r="F337" s="12">
        <v>6.2811629770933501E-4</v>
      </c>
      <c r="G337" s="247">
        <v>1.1103092000000001</v>
      </c>
      <c r="H337" s="24">
        <f t="shared" si="20"/>
        <v>-6.7234424025086614E-4</v>
      </c>
      <c r="I337" s="24">
        <f t="shared" si="21"/>
        <v>4.7732696897373472E-3</v>
      </c>
      <c r="J337" s="12">
        <f t="shared" si="22"/>
        <v>6.2811629770933575E-3</v>
      </c>
      <c r="K337" s="44">
        <f t="shared" si="23"/>
        <v>5.773616302764184E-3</v>
      </c>
    </row>
    <row r="338" spans="1:11">
      <c r="A338" s="35">
        <v>45733</v>
      </c>
      <c r="C338" s="8">
        <v>90.24</v>
      </c>
      <c r="D338" s="8">
        <v>148.6</v>
      </c>
      <c r="E338" s="246">
        <v>13058.1221477</v>
      </c>
      <c r="F338" s="12">
        <v>1.0940065898833399E-3</v>
      </c>
      <c r="G338" s="247">
        <v>1.1046672</v>
      </c>
      <c r="H338" s="24">
        <f t="shared" si="20"/>
        <v>1.1886073110562778E-2</v>
      </c>
      <c r="I338" s="24">
        <f t="shared" si="21"/>
        <v>8.4832032575501426E-3</v>
      </c>
      <c r="J338" s="12">
        <f t="shared" si="22"/>
        <v>1.0940065898833451E-2</v>
      </c>
      <c r="K338" s="44">
        <f t="shared" si="23"/>
        <v>-5.0814673966496082E-3</v>
      </c>
    </row>
    <row r="339" spans="1:11">
      <c r="A339" s="35">
        <v>45734</v>
      </c>
      <c r="C339" s="8">
        <v>90.5</v>
      </c>
      <c r="D339" s="8">
        <v>149.15</v>
      </c>
      <c r="E339" s="246">
        <v>13062.107819999999</v>
      </c>
      <c r="F339" s="12">
        <v>3.0522553357337196E-5</v>
      </c>
      <c r="G339" s="247">
        <v>1.0996866000000001</v>
      </c>
      <c r="H339" s="24">
        <f t="shared" si="20"/>
        <v>2.8812056737588243E-3</v>
      </c>
      <c r="I339" s="24">
        <f t="shared" si="21"/>
        <v>3.7012113055181484E-3</v>
      </c>
      <c r="J339" s="12">
        <f t="shared" si="22"/>
        <v>3.0522553357337223E-4</v>
      </c>
      <c r="K339" s="44">
        <f t="shared" si="23"/>
        <v>-4.5086882275493512E-3</v>
      </c>
    </row>
    <row r="340" spans="1:11">
      <c r="A340" s="35">
        <v>45735</v>
      </c>
      <c r="C340" s="8">
        <v>89.76</v>
      </c>
      <c r="D340" s="8">
        <v>149.1</v>
      </c>
      <c r="E340" s="246">
        <v>13040.919479300001</v>
      </c>
      <c r="F340" s="12">
        <v>-1.62212263074079E-4</v>
      </c>
      <c r="G340" s="247">
        <v>1.0984786</v>
      </c>
      <c r="H340" s="24">
        <f t="shared" si="20"/>
        <v>-8.1767955801104186E-3</v>
      </c>
      <c r="I340" s="24">
        <f t="shared" si="21"/>
        <v>-3.352329869259485E-4</v>
      </c>
      <c r="J340" s="12">
        <f t="shared" si="22"/>
        <v>-1.6221226307407965E-3</v>
      </c>
      <c r="K340" s="44">
        <f t="shared" si="23"/>
        <v>-1.0984947893336594E-3</v>
      </c>
    </row>
    <row r="341" spans="1:11">
      <c r="A341" s="35">
        <v>45736</v>
      </c>
      <c r="C341" s="8">
        <v>91.22</v>
      </c>
      <c r="D341" s="8">
        <v>148.85</v>
      </c>
      <c r="E341" s="246">
        <v>13097.0485923</v>
      </c>
      <c r="F341" s="12">
        <v>4.30407634132645E-4</v>
      </c>
      <c r="G341" s="247">
        <v>1.0949903999999999</v>
      </c>
      <c r="H341" s="24">
        <f t="shared" si="20"/>
        <v>1.6265597147949951E-2</v>
      </c>
      <c r="I341" s="24">
        <f t="shared" si="21"/>
        <v>-1.6767270288396974E-3</v>
      </c>
      <c r="J341" s="12">
        <f t="shared" si="22"/>
        <v>4.3040763413264571E-3</v>
      </c>
      <c r="K341" s="44">
        <f t="shared" si="23"/>
        <v>-3.1754828906089827E-3</v>
      </c>
    </row>
    <row r="342" spans="1:11">
      <c r="A342" s="35">
        <v>45737</v>
      </c>
      <c r="C342" s="8">
        <v>91.68</v>
      </c>
      <c r="D342" s="8">
        <v>148.44999999999999</v>
      </c>
      <c r="E342" s="246">
        <v>13075.4043857</v>
      </c>
      <c r="F342" s="12">
        <v>-1.6526018398317299E-4</v>
      </c>
      <c r="G342" s="247">
        <v>1.0947506</v>
      </c>
      <c r="H342" s="24">
        <f t="shared" si="20"/>
        <v>5.0427537820654234E-3</v>
      </c>
      <c r="I342" s="24">
        <f t="shared" si="21"/>
        <v>-2.6872690628149121E-3</v>
      </c>
      <c r="J342" s="12">
        <f t="shared" si="22"/>
        <v>-1.6526018398317355E-3</v>
      </c>
      <c r="K342" s="44">
        <f t="shared" si="23"/>
        <v>-2.1899735376662566E-4</v>
      </c>
    </row>
    <row r="343" spans="1:11">
      <c r="A343" s="35">
        <v>45740</v>
      </c>
      <c r="C343" s="8">
        <v>89.6</v>
      </c>
      <c r="D343" s="8">
        <v>150.30000000000001</v>
      </c>
      <c r="E343" s="246">
        <v>13000.235573</v>
      </c>
      <c r="F343" s="12">
        <v>-5.7488709704618299E-4</v>
      </c>
      <c r="G343" s="247">
        <v>1.1047893</v>
      </c>
      <c r="H343" s="24">
        <f t="shared" si="20"/>
        <v>-2.2687609075043746E-2</v>
      </c>
      <c r="I343" s="24">
        <f t="shared" si="21"/>
        <v>1.2462108454025067E-2</v>
      </c>
      <c r="J343" s="12">
        <f t="shared" si="22"/>
        <v>-5.748870970461839E-3</v>
      </c>
      <c r="K343" s="44">
        <f t="shared" si="23"/>
        <v>9.1698511058133647E-3</v>
      </c>
    </row>
    <row r="344" spans="1:11">
      <c r="A344" s="35">
        <v>45741</v>
      </c>
      <c r="C344" s="8">
        <v>88.84</v>
      </c>
      <c r="D344" s="8">
        <v>152.1</v>
      </c>
      <c r="E344" s="246">
        <v>13013.153523200001</v>
      </c>
      <c r="F344" s="12">
        <v>9.9367047062059991E-5</v>
      </c>
      <c r="G344" s="247">
        <v>1.1137718000000001</v>
      </c>
      <c r="H344" s="24">
        <f t="shared" si="20"/>
        <v>-8.4821428571427715E-3</v>
      </c>
      <c r="I344" s="24">
        <f t="shared" si="21"/>
        <v>1.1976047904191489E-2</v>
      </c>
      <c r="J344" s="12">
        <f t="shared" si="22"/>
        <v>9.936704706206001E-4</v>
      </c>
      <c r="K344" s="44">
        <f t="shared" si="23"/>
        <v>8.1305095912860281E-3</v>
      </c>
    </row>
    <row r="345" spans="1:11">
      <c r="A345" s="35">
        <v>45742</v>
      </c>
      <c r="C345" s="8">
        <v>88.94</v>
      </c>
      <c r="D345" s="8">
        <v>152.6</v>
      </c>
      <c r="E345" s="246">
        <v>12953.7993116</v>
      </c>
      <c r="F345" s="12">
        <v>-4.5610936268586301E-4</v>
      </c>
      <c r="G345" s="247">
        <v>1.1097547999999999</v>
      </c>
      <c r="H345" s="24">
        <f t="shared" si="20"/>
        <v>1.1256190904997965E-3</v>
      </c>
      <c r="I345" s="24">
        <f t="shared" si="21"/>
        <v>3.2873109796187627E-3</v>
      </c>
      <c r="J345" s="12">
        <f t="shared" si="22"/>
        <v>-4.5610936268586366E-3</v>
      </c>
      <c r="K345" s="44">
        <f t="shared" si="23"/>
        <v>-3.6066634116612706E-3</v>
      </c>
    </row>
    <row r="346" spans="1:11">
      <c r="A346" s="35">
        <v>45743</v>
      </c>
      <c r="C346" s="8">
        <v>89.54</v>
      </c>
      <c r="D346" s="8">
        <v>152.25</v>
      </c>
      <c r="E346" s="246">
        <v>12867.2297975</v>
      </c>
      <c r="F346" s="12">
        <v>-6.6829439006730294E-4</v>
      </c>
      <c r="G346" s="247">
        <v>1.1090777999999999</v>
      </c>
      <c r="H346" s="24">
        <f t="shared" si="20"/>
        <v>6.7461209804362543E-3</v>
      </c>
      <c r="I346" s="24">
        <f t="shared" si="21"/>
        <v>-2.2935779816513069E-3</v>
      </c>
      <c r="J346" s="12">
        <f t="shared" si="22"/>
        <v>-6.6829439006730329E-3</v>
      </c>
      <c r="K346" s="44">
        <f t="shared" si="23"/>
        <v>-6.1004466932701451E-4</v>
      </c>
    </row>
    <row r="347" spans="1:11">
      <c r="A347" s="35">
        <v>45744</v>
      </c>
      <c r="C347" s="8">
        <v>90.24</v>
      </c>
      <c r="D347" s="8">
        <v>151.55000000000001</v>
      </c>
      <c r="E347" s="246">
        <v>12840.433430200001</v>
      </c>
      <c r="F347" s="12">
        <v>-2.0825280749401301E-4</v>
      </c>
      <c r="G347" s="247">
        <v>1.1064395</v>
      </c>
      <c r="H347" s="24">
        <f t="shared" si="20"/>
        <v>7.8177350904622411E-3</v>
      </c>
      <c r="I347" s="24">
        <f t="shared" si="21"/>
        <v>-4.5977011494252595E-3</v>
      </c>
      <c r="J347" s="12">
        <f t="shared" si="22"/>
        <v>-2.0825280749401376E-3</v>
      </c>
      <c r="K347" s="44">
        <f t="shared" si="23"/>
        <v>-2.3788231988773889E-3</v>
      </c>
    </row>
    <row r="348" spans="1:11">
      <c r="A348" s="35">
        <v>45747</v>
      </c>
      <c r="C348" s="8">
        <v>89.34</v>
      </c>
      <c r="D348" s="8">
        <v>150</v>
      </c>
      <c r="E348" s="246">
        <v>12598.118156</v>
      </c>
      <c r="F348" s="12">
        <v>-1.88712690671397E-3</v>
      </c>
      <c r="G348" s="247">
        <v>1.1114198</v>
      </c>
      <c r="H348" s="24">
        <f t="shared" si="20"/>
        <v>-9.9734042553190072E-3</v>
      </c>
      <c r="I348" s="24">
        <f t="shared" si="21"/>
        <v>-1.022764764104267E-2</v>
      </c>
      <c r="J348" s="12">
        <f t="shared" si="22"/>
        <v>-1.8871269067139762E-2</v>
      </c>
      <c r="K348" s="44">
        <f t="shared" si="23"/>
        <v>4.5011950495259523E-3</v>
      </c>
    </row>
    <row r="349" spans="1:11">
      <c r="A349" s="35">
        <v>45748</v>
      </c>
      <c r="C349" s="8">
        <v>90.16</v>
      </c>
      <c r="D349" s="8">
        <v>152.1</v>
      </c>
      <c r="E349" s="246">
        <v>12686.620710699999</v>
      </c>
      <c r="F349" s="12">
        <v>7.0250614896676296E-4</v>
      </c>
      <c r="G349" s="247">
        <v>1.1116668999999999</v>
      </c>
      <c r="H349" s="24">
        <f t="shared" si="20"/>
        <v>9.1784195209312358E-3</v>
      </c>
      <c r="I349" s="24">
        <f t="shared" si="21"/>
        <v>1.4000000000000012E-2</v>
      </c>
      <c r="J349" s="12">
        <f t="shared" si="22"/>
        <v>7.0250614896676389E-3</v>
      </c>
      <c r="K349" s="44">
        <f t="shared" si="23"/>
        <v>2.2232823277024139E-4</v>
      </c>
    </row>
    <row r="350" spans="1:11">
      <c r="A350" s="35">
        <v>45749</v>
      </c>
      <c r="C350" s="8">
        <v>89.8</v>
      </c>
      <c r="D350" s="8">
        <v>152</v>
      </c>
      <c r="E350" s="246">
        <v>12588.309861399999</v>
      </c>
      <c r="F350" s="12">
        <v>-7.7491754141497608E-4</v>
      </c>
      <c r="G350" s="247">
        <v>1.114765</v>
      </c>
      <c r="H350" s="24">
        <f t="shared" si="20"/>
        <v>-3.9929015084294583E-3</v>
      </c>
      <c r="I350" s="24">
        <f t="shared" si="21"/>
        <v>-6.5746219592366373E-4</v>
      </c>
      <c r="J350" s="12">
        <f t="shared" si="22"/>
        <v>-7.7491754141497671E-3</v>
      </c>
      <c r="K350" s="44">
        <f t="shared" si="23"/>
        <v>2.78689596676851E-3</v>
      </c>
    </row>
    <row r="351" spans="1:11">
      <c r="A351" s="35">
        <v>45750</v>
      </c>
      <c r="C351" s="8">
        <v>90.66</v>
      </c>
      <c r="D351" s="8">
        <v>149.94999999999999</v>
      </c>
      <c r="E351" s="246">
        <v>12279.477706</v>
      </c>
      <c r="F351" s="12">
        <v>-2.4533250198025599E-3</v>
      </c>
      <c r="G351" s="247">
        <v>1.1191316</v>
      </c>
      <c r="H351" s="24">
        <f t="shared" si="20"/>
        <v>9.5768374164810766E-3</v>
      </c>
      <c r="I351" s="24">
        <f t="shared" si="21"/>
        <v>-1.3486842105263186E-2</v>
      </c>
      <c r="J351" s="12">
        <f t="shared" si="22"/>
        <v>-2.4533250198025658E-2</v>
      </c>
      <c r="K351" s="44">
        <f t="shared" si="23"/>
        <v>3.917058752292979E-3</v>
      </c>
    </row>
    <row r="352" spans="1:11">
      <c r="A352" s="35">
        <v>45751</v>
      </c>
      <c r="C352" s="8">
        <v>87.36</v>
      </c>
      <c r="D352" s="8">
        <v>138.69999999999999</v>
      </c>
      <c r="E352" s="246">
        <v>11648.8326311</v>
      </c>
      <c r="F352" s="12">
        <v>-5.1357646473176406E-3</v>
      </c>
      <c r="G352" s="247">
        <v>1.1189437</v>
      </c>
      <c r="H352" s="24">
        <f t="shared" si="20"/>
        <v>-3.6399735274652567E-2</v>
      </c>
      <c r="I352" s="24">
        <f t="shared" si="21"/>
        <v>-7.5025008336112031E-2</v>
      </c>
      <c r="J352" s="12">
        <f t="shared" si="22"/>
        <v>-5.1357646473176422E-2</v>
      </c>
      <c r="K352" s="44">
        <f t="shared" si="23"/>
        <v>-1.6789803808592296E-4</v>
      </c>
    </row>
    <row r="353" spans="1:11">
      <c r="A353" s="35">
        <v>45754</v>
      </c>
      <c r="C353" s="8">
        <v>83.62</v>
      </c>
      <c r="D353" s="8">
        <v>129.80000000000001</v>
      </c>
      <c r="E353" s="246">
        <v>11047.476809600001</v>
      </c>
      <c r="F353" s="12">
        <v>-5.1623698317589499E-3</v>
      </c>
      <c r="G353" s="247">
        <v>1.1119142</v>
      </c>
      <c r="H353" s="24">
        <f t="shared" si="20"/>
        <v>-4.281135531135527E-2</v>
      </c>
      <c r="I353" s="24">
        <f t="shared" si="21"/>
        <v>-6.4167267483777768E-2</v>
      </c>
      <c r="J353" s="12">
        <f t="shared" si="22"/>
        <v>-5.1623698317589506E-2</v>
      </c>
      <c r="K353" s="44">
        <f t="shared" si="23"/>
        <v>-6.2822642461815015E-3</v>
      </c>
    </row>
    <row r="354" spans="1:11">
      <c r="A354" s="35">
        <v>45755</v>
      </c>
      <c r="C354" s="8">
        <v>85.27</v>
      </c>
      <c r="D354" s="8">
        <v>137.30000000000001</v>
      </c>
      <c r="E354" s="246">
        <v>11359.117834299999</v>
      </c>
      <c r="F354" s="12">
        <v>2.8209249050352198E-3</v>
      </c>
      <c r="G354" s="247">
        <v>1.1083403000000001</v>
      </c>
      <c r="H354" s="24">
        <f t="shared" si="20"/>
        <v>1.9732121502032962E-2</v>
      </c>
      <c r="I354" s="24">
        <f t="shared" si="21"/>
        <v>5.7781201848998487E-2</v>
      </c>
      <c r="J354" s="12">
        <f t="shared" si="22"/>
        <v>2.820924905035227E-2</v>
      </c>
      <c r="K354" s="44">
        <f t="shared" si="23"/>
        <v>-3.2141868500284998E-3</v>
      </c>
    </row>
    <row r="355" spans="1:11">
      <c r="A355" s="35">
        <v>45756</v>
      </c>
      <c r="C355" s="8">
        <v>83.25</v>
      </c>
      <c r="D355" s="8">
        <v>130.69999999999999</v>
      </c>
      <c r="E355" s="246">
        <v>10887.731361800001</v>
      </c>
      <c r="F355" s="12">
        <v>-4.1498510656927797E-3</v>
      </c>
      <c r="G355" s="247">
        <v>1.1131519000000001</v>
      </c>
      <c r="H355" s="24">
        <f t="shared" si="20"/>
        <v>-2.3689457018881144E-2</v>
      </c>
      <c r="I355" s="24">
        <f t="shared" si="21"/>
        <v>-4.8069919883466983E-2</v>
      </c>
      <c r="J355" s="12">
        <f t="shared" si="22"/>
        <v>-4.1498510656927889E-2</v>
      </c>
      <c r="K355" s="44">
        <f t="shared" si="23"/>
        <v>4.3412659451254054E-3</v>
      </c>
    </row>
    <row r="356" spans="1:11">
      <c r="A356" s="35">
        <v>45757</v>
      </c>
      <c r="C356" s="8">
        <v>84.3</v>
      </c>
      <c r="D356" s="8">
        <v>139.19999999999999</v>
      </c>
      <c r="E356" s="246">
        <v>11244.592474900001</v>
      </c>
      <c r="F356" s="12">
        <v>3.2776443617268097E-3</v>
      </c>
      <c r="G356" s="247">
        <v>1.1230277</v>
      </c>
      <c r="H356" s="24">
        <f t="shared" si="20"/>
        <v>1.2612612612612484E-2</v>
      </c>
      <c r="I356" s="24">
        <f t="shared" si="21"/>
        <v>6.5034429992348874E-2</v>
      </c>
      <c r="J356" s="12">
        <f t="shared" si="22"/>
        <v>3.2776443617268169E-2</v>
      </c>
      <c r="K356" s="44">
        <f t="shared" si="23"/>
        <v>8.8719248469142364E-3</v>
      </c>
    </row>
    <row r="357" spans="1:11">
      <c r="A357" s="35">
        <v>45758</v>
      </c>
      <c r="C357" s="8">
        <v>84.98</v>
      </c>
      <c r="D357" s="8">
        <v>138.05000000000001</v>
      </c>
      <c r="E357" s="246">
        <v>11239.8317207</v>
      </c>
      <c r="F357" s="12">
        <v>-4.2338165750577204E-5</v>
      </c>
      <c r="G357" s="247">
        <v>1.1253024</v>
      </c>
      <c r="H357" s="24">
        <f t="shared" si="20"/>
        <v>8.0664294187426933E-3</v>
      </c>
      <c r="I357" s="24">
        <f t="shared" si="21"/>
        <v>-8.2614942528733692E-3</v>
      </c>
      <c r="J357" s="12">
        <f t="shared" si="22"/>
        <v>-4.233816575057725E-4</v>
      </c>
      <c r="K357" s="44">
        <f t="shared" si="23"/>
        <v>2.0255065836756181E-3</v>
      </c>
    </row>
    <row r="358" spans="1:11">
      <c r="A358" s="35">
        <v>45761</v>
      </c>
      <c r="C358" s="8">
        <v>86.05</v>
      </c>
      <c r="D358" s="8">
        <v>141.9</v>
      </c>
      <c r="E358" s="246">
        <v>11499.456717700001</v>
      </c>
      <c r="F358" s="12">
        <v>2.3098655162413001E-3</v>
      </c>
      <c r="G358" s="247">
        <v>1.1286045</v>
      </c>
      <c r="H358" s="24">
        <f t="shared" si="20"/>
        <v>1.259119792892438E-2</v>
      </c>
      <c r="I358" s="24">
        <f t="shared" si="21"/>
        <v>2.7888446215139417E-2</v>
      </c>
      <c r="J358" s="12">
        <f t="shared" si="22"/>
        <v>2.3098655162413051E-2</v>
      </c>
      <c r="K358" s="44">
        <f t="shared" si="23"/>
        <v>2.9344112302613912E-3</v>
      </c>
    </row>
    <row r="359" spans="1:11">
      <c r="A359" s="35">
        <v>45762</v>
      </c>
      <c r="C359" s="8">
        <v>86.38</v>
      </c>
      <c r="D359" s="8">
        <v>139.80000000000001</v>
      </c>
      <c r="E359" s="246">
        <v>11609.8412873</v>
      </c>
      <c r="F359" s="12">
        <v>9.5991117067377701E-4</v>
      </c>
      <c r="G359" s="247">
        <v>1.1379801</v>
      </c>
      <c r="H359" s="24">
        <f t="shared" si="20"/>
        <v>3.8349796629866262E-3</v>
      </c>
      <c r="I359" s="24">
        <f t="shared" si="21"/>
        <v>-1.4799154334038001E-2</v>
      </c>
      <c r="J359" s="12">
        <f t="shared" si="22"/>
        <v>9.5991117067377729E-3</v>
      </c>
      <c r="K359" s="44">
        <f t="shared" si="23"/>
        <v>8.3072502369077039E-3</v>
      </c>
    </row>
    <row r="360" spans="1:11">
      <c r="A360" s="35">
        <v>45763</v>
      </c>
      <c r="C360" s="8">
        <v>86.8</v>
      </c>
      <c r="D360" s="8">
        <v>140.15</v>
      </c>
      <c r="E360" s="246">
        <v>11598.621943</v>
      </c>
      <c r="F360" s="12">
        <v>-9.66365002101454E-5</v>
      </c>
      <c r="G360" s="247">
        <v>1.1345586999999999</v>
      </c>
      <c r="H360" s="24">
        <f t="shared" si="20"/>
        <v>4.8622366288493257E-3</v>
      </c>
      <c r="I360" s="24">
        <f t="shared" si="21"/>
        <v>2.5035765379113339E-3</v>
      </c>
      <c r="J360" s="12">
        <f t="shared" si="22"/>
        <v>-9.6636500210145471E-4</v>
      </c>
      <c r="K360" s="44">
        <f t="shared" si="23"/>
        <v>-3.0065552112906735E-3</v>
      </c>
    </row>
    <row r="361" spans="1:11">
      <c r="A361" s="35">
        <v>45764</v>
      </c>
      <c r="C361" s="8">
        <v>87.98</v>
      </c>
      <c r="D361" s="8">
        <v>141.80000000000001</v>
      </c>
      <c r="E361" s="246">
        <v>11660.963728799999</v>
      </c>
      <c r="F361" s="12">
        <v>5.3749304103858301E-4</v>
      </c>
      <c r="G361" s="247">
        <v>1.1361699000000001</v>
      </c>
      <c r="H361" s="24">
        <f t="shared" si="20"/>
        <v>1.3594470046083051E-2</v>
      </c>
      <c r="I361" s="24">
        <f t="shared" si="21"/>
        <v>1.1773100249732549E-2</v>
      </c>
      <c r="J361" s="12">
        <f t="shared" si="22"/>
        <v>5.3749304103858364E-3</v>
      </c>
      <c r="K361" s="44">
        <f t="shared" si="23"/>
        <v>1.4201116257803736E-3</v>
      </c>
    </row>
    <row r="362" spans="1:11">
      <c r="A362" s="35">
        <v>45769</v>
      </c>
      <c r="C362" s="8">
        <v>86.66</v>
      </c>
      <c r="D362" s="8">
        <v>143.6</v>
      </c>
      <c r="E362" s="246">
        <v>11646.318988000001</v>
      </c>
      <c r="F362" s="12">
        <v>-1.2558773992091802E-4</v>
      </c>
      <c r="G362" s="247">
        <v>1.1328236</v>
      </c>
      <c r="H362" s="24">
        <f t="shared" si="20"/>
        <v>-1.500340986587867E-2</v>
      </c>
      <c r="I362" s="24">
        <f t="shared" si="21"/>
        <v>1.2693935119887145E-2</v>
      </c>
      <c r="J362" s="12">
        <f t="shared" si="22"/>
        <v>-1.2558773992091821E-3</v>
      </c>
      <c r="K362" s="44">
        <f t="shared" si="23"/>
        <v>-2.9452461291220589E-3</v>
      </c>
    </row>
    <row r="363" spans="1:11">
      <c r="A363" s="35">
        <v>45770</v>
      </c>
      <c r="C363" s="8">
        <v>87.4</v>
      </c>
      <c r="D363" s="8">
        <v>145.1</v>
      </c>
      <c r="E363" s="246">
        <v>11808.709113700001</v>
      </c>
      <c r="F363" s="12">
        <v>1.3943472256540499E-3</v>
      </c>
      <c r="G363" s="247">
        <v>1.1300074</v>
      </c>
      <c r="H363" s="24">
        <f t="shared" si="20"/>
        <v>8.5391183937226778E-3</v>
      </c>
      <c r="I363" s="24">
        <f t="shared" si="21"/>
        <v>1.0445682451253546E-2</v>
      </c>
      <c r="J363" s="12">
        <f t="shared" si="22"/>
        <v>1.3943472256540579E-2</v>
      </c>
      <c r="K363" s="44">
        <f t="shared" si="23"/>
        <v>-2.4860004682106807E-3</v>
      </c>
    </row>
    <row r="364" spans="1:11">
      <c r="A364" s="35">
        <v>45771</v>
      </c>
      <c r="C364" s="8">
        <v>87.44</v>
      </c>
      <c r="D364" s="8">
        <v>144.75</v>
      </c>
      <c r="E364" s="246">
        <v>11917.5867667</v>
      </c>
      <c r="F364" s="12">
        <v>9.2201147434214307E-4</v>
      </c>
      <c r="G364" s="247">
        <v>1.1293055000000001</v>
      </c>
      <c r="H364" s="24">
        <f t="shared" si="20"/>
        <v>4.5766590388995887E-4</v>
      </c>
      <c r="I364" s="24">
        <f t="shared" si="21"/>
        <v>-2.4121295658166009E-3</v>
      </c>
      <c r="J364" s="12">
        <f t="shared" si="22"/>
        <v>9.220114743421437E-3</v>
      </c>
      <c r="K364" s="44">
        <f t="shared" si="23"/>
        <v>-6.2114637479360191E-4</v>
      </c>
    </row>
    <row r="365" spans="1:11">
      <c r="A365" s="36">
        <v>45772</v>
      </c>
      <c r="C365" s="8">
        <v>85.74</v>
      </c>
      <c r="D365" s="8">
        <v>144.80000000000001</v>
      </c>
      <c r="E365" s="246">
        <v>11942.049172999999</v>
      </c>
      <c r="F365" s="12">
        <v>2.0526308537858101E-4</v>
      </c>
      <c r="G365" s="247">
        <v>1.1347518000000001</v>
      </c>
      <c r="H365" s="24">
        <f t="shared" si="20"/>
        <v>-1.9441903019213225E-2</v>
      </c>
      <c r="I365" s="24">
        <f t="shared" si="21"/>
        <v>3.4542314335062052E-4</v>
      </c>
      <c r="J365" s="12">
        <f t="shared" si="22"/>
        <v>2.0526308537858196E-3</v>
      </c>
      <c r="K365" s="44">
        <f t="shared" si="23"/>
        <v>4.8226985523402988E-3</v>
      </c>
    </row>
    <row r="366" spans="1:11">
      <c r="E366" s="246"/>
      <c r="G366" s="247"/>
    </row>
    <row r="367" spans="1:11">
      <c r="E367" s="246"/>
      <c r="G367" s="247"/>
    </row>
    <row r="368" spans="1:11">
      <c r="E368" s="246"/>
      <c r="G368" s="247"/>
    </row>
    <row r="369" spans="5:7">
      <c r="E369" s="246"/>
      <c r="G369" s="247"/>
    </row>
    <row r="370" spans="5:7">
      <c r="E370" s="246"/>
      <c r="G370" s="247"/>
    </row>
    <row r="371" spans="5:7">
      <c r="E371" s="246"/>
      <c r="G371" s="247"/>
    </row>
    <row r="372" spans="5:7">
      <c r="E372" s="246"/>
      <c r="G372" s="247"/>
    </row>
    <row r="373" spans="5:7">
      <c r="E373" s="246"/>
      <c r="G373" s="247"/>
    </row>
    <row r="374" spans="5:7">
      <c r="E374" s="246"/>
      <c r="G374" s="247"/>
    </row>
    <row r="375" spans="5:7">
      <c r="E375" s="246"/>
      <c r="G375" s="247"/>
    </row>
    <row r="376" spans="5:7">
      <c r="E376" s="246"/>
      <c r="G376" s="247"/>
    </row>
    <row r="377" spans="5:7">
      <c r="E377" s="246"/>
      <c r="G377" s="247"/>
    </row>
    <row r="378" spans="5:7">
      <c r="E378" s="246"/>
      <c r="G378" s="247"/>
    </row>
    <row r="379" spans="5:7">
      <c r="E379" s="246"/>
      <c r="G379" s="247"/>
    </row>
    <row r="380" spans="5:7">
      <c r="E380" s="246"/>
      <c r="G380" s="247"/>
    </row>
    <row r="381" spans="5:7">
      <c r="E381" s="246"/>
      <c r="G381" s="247"/>
    </row>
    <row r="382" spans="5:7">
      <c r="E382" s="246"/>
      <c r="G382" s="247"/>
    </row>
    <row r="383" spans="5:7">
      <c r="E383" s="246"/>
      <c r="G383" s="247"/>
    </row>
    <row r="384" spans="5:7">
      <c r="E384" s="246"/>
      <c r="G384" s="247"/>
    </row>
    <row r="385" spans="5:7">
      <c r="E385" s="246"/>
      <c r="G385" s="247"/>
    </row>
    <row r="386" spans="5:7">
      <c r="E386" s="246"/>
      <c r="G386" s="247"/>
    </row>
    <row r="387" spans="5:7">
      <c r="E387" s="246"/>
      <c r="G387" s="247"/>
    </row>
    <row r="388" spans="5:7">
      <c r="E388" s="246"/>
      <c r="G388" s="247"/>
    </row>
    <row r="389" spans="5:7">
      <c r="E389" s="246"/>
      <c r="G389" s="247"/>
    </row>
    <row r="390" spans="5:7">
      <c r="E390" s="246"/>
      <c r="G390" s="247"/>
    </row>
    <row r="391" spans="5:7">
      <c r="E391" s="246"/>
      <c r="G391" s="247"/>
    </row>
    <row r="392" spans="5:7">
      <c r="E392" s="246"/>
      <c r="G392" s="247"/>
    </row>
    <row r="393" spans="5:7">
      <c r="G393" s="247"/>
    </row>
    <row r="394" spans="5:7">
      <c r="G394" s="2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0"/>
  <sheetViews>
    <sheetView zoomScale="160" zoomScaleNormal="160" workbookViewId="0">
      <selection activeCell="H7" sqref="H7"/>
    </sheetView>
  </sheetViews>
  <sheetFormatPr baseColWidth="10" defaultColWidth="8.83203125" defaultRowHeight="16"/>
  <cols>
    <col min="1" max="1" width="8.83203125" style="1"/>
    <col min="2" max="2" width="13.6640625" style="1" bestFit="1" customWidth="1"/>
    <col min="3" max="3" width="19" style="1" bestFit="1" customWidth="1"/>
    <col min="4" max="4" width="15" style="1" bestFit="1" customWidth="1"/>
    <col min="5" max="7" width="8.83203125" style="1"/>
    <col min="8" max="8" width="12.5" style="1" bestFit="1" customWidth="1"/>
    <col min="9" max="16384" width="8.83203125" style="1"/>
  </cols>
  <sheetData>
    <row r="2" spans="2:14">
      <c r="I2"/>
      <c r="J2"/>
      <c r="K2"/>
      <c r="L2"/>
      <c r="M2"/>
      <c r="N2"/>
    </row>
    <row r="3" spans="2:14">
      <c r="B3" s="125" t="s">
        <v>0</v>
      </c>
      <c r="C3" s="126" t="s">
        <v>24</v>
      </c>
      <c r="D3" s="126" t="s">
        <v>25</v>
      </c>
      <c r="E3" s="127"/>
    </row>
    <row r="4" spans="2:14">
      <c r="B4" s="128">
        <v>2000000</v>
      </c>
      <c r="C4" s="129">
        <v>1</v>
      </c>
      <c r="D4" s="130" t="s">
        <v>3</v>
      </c>
      <c r="E4" s="131">
        <v>0</v>
      </c>
    </row>
    <row r="5" spans="2:14">
      <c r="B5" s="132">
        <v>-1500000</v>
      </c>
      <c r="C5" s="3">
        <v>3</v>
      </c>
      <c r="D5" s="133">
        <v>5</v>
      </c>
      <c r="E5" s="134">
        <v>5</v>
      </c>
    </row>
    <row r="6" spans="2:14">
      <c r="B6" s="135">
        <v>4000000</v>
      </c>
      <c r="C6" s="136">
        <v>5</v>
      </c>
      <c r="D6" s="137">
        <v>2</v>
      </c>
      <c r="E6" s="138">
        <v>2</v>
      </c>
    </row>
    <row r="7" spans="2:14">
      <c r="B7" s="4"/>
      <c r="C7" s="3"/>
      <c r="D7" s="3"/>
    </row>
    <row r="9" spans="2:14">
      <c r="B9" s="2" t="s">
        <v>2</v>
      </c>
    </row>
    <row r="10" spans="2:14">
      <c r="B10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80"/>
  <sheetViews>
    <sheetView tabSelected="1" zoomScale="113" zoomScaleNormal="70" workbookViewId="0">
      <selection activeCell="Q16" sqref="Q16"/>
    </sheetView>
  </sheetViews>
  <sheetFormatPr baseColWidth="10" defaultColWidth="8.83203125" defaultRowHeight="16"/>
  <cols>
    <col min="1" max="1" width="25.6640625" style="320" customWidth="1"/>
    <col min="2" max="4" width="11" style="1" bestFit="1" customWidth="1"/>
    <col min="5" max="5" width="11" style="11" bestFit="1" customWidth="1"/>
    <col min="6" max="6" width="11" style="1" bestFit="1" customWidth="1"/>
    <col min="7" max="7" width="10.83203125" style="1" customWidth="1"/>
    <col min="8" max="17" width="8.83203125" style="1"/>
    <col min="18" max="18" width="11.5" style="1" customWidth="1"/>
    <col min="19" max="16384" width="8.83203125" style="1"/>
  </cols>
  <sheetData>
    <row r="1" spans="1:18">
      <c r="A1" s="318" t="s">
        <v>12</v>
      </c>
      <c r="B1" s="166" t="s">
        <v>15</v>
      </c>
      <c r="C1" s="167" t="s">
        <v>16</v>
      </c>
      <c r="D1" s="167" t="s">
        <v>17</v>
      </c>
      <c r="E1" s="168" t="s">
        <v>18</v>
      </c>
      <c r="F1" s="169" t="s">
        <v>19</v>
      </c>
      <c r="G1" s="170" t="s">
        <v>15</v>
      </c>
      <c r="H1" s="171" t="s">
        <v>16</v>
      </c>
      <c r="I1" s="171" t="s">
        <v>17</v>
      </c>
      <c r="J1" s="172" t="s">
        <v>18</v>
      </c>
      <c r="K1" s="173" t="s">
        <v>19</v>
      </c>
      <c r="L1" s="174" t="s">
        <v>15</v>
      </c>
      <c r="M1" s="175" t="s">
        <v>16</v>
      </c>
      <c r="N1" s="175" t="s">
        <v>17</v>
      </c>
      <c r="O1" s="176" t="s">
        <v>18</v>
      </c>
      <c r="P1" s="177" t="s">
        <v>19</v>
      </c>
    </row>
    <row r="2" spans="1:18">
      <c r="A2" s="319">
        <v>44200</v>
      </c>
      <c r="B2" s="25">
        <v>0.1</v>
      </c>
      <c r="C2" s="26">
        <v>0.11</v>
      </c>
      <c r="D2" s="26">
        <v>0.16</v>
      </c>
      <c r="E2" s="27">
        <v>0.26005083579250782</v>
      </c>
      <c r="F2" s="26">
        <v>0.36</v>
      </c>
      <c r="G2" s="148">
        <v>0</v>
      </c>
      <c r="H2" s="149">
        <v>0</v>
      </c>
      <c r="I2" s="149">
        <v>0</v>
      </c>
      <c r="J2" s="149">
        <v>0</v>
      </c>
      <c r="K2" s="150">
        <v>0</v>
      </c>
      <c r="L2" s="151">
        <f>G2/B2</f>
        <v>0</v>
      </c>
      <c r="M2" s="152">
        <f t="shared" ref="M2:P2" si="0">H2/C2</f>
        <v>0</v>
      </c>
      <c r="N2" s="152">
        <f t="shared" si="0"/>
        <v>0</v>
      </c>
      <c r="O2" s="152">
        <f t="shared" si="0"/>
        <v>0</v>
      </c>
      <c r="P2" s="153">
        <f t="shared" si="0"/>
        <v>0</v>
      </c>
      <c r="R2" s="156" t="s">
        <v>324</v>
      </c>
    </row>
    <row r="3" spans="1:18">
      <c r="A3" s="319">
        <v>44201</v>
      </c>
      <c r="B3" s="28">
        <v>0.1</v>
      </c>
      <c r="C3" s="29">
        <v>0.13</v>
      </c>
      <c r="D3" s="29">
        <v>0.17</v>
      </c>
      <c r="E3" s="30">
        <v>0.27536132750021997</v>
      </c>
      <c r="F3" s="29">
        <v>0.38</v>
      </c>
      <c r="G3" s="159">
        <f>(B3-B2)/100</f>
        <v>0</v>
      </c>
      <c r="H3" s="154">
        <f>(C3-C2)/100</f>
        <v>2.0000000000000004E-4</v>
      </c>
      <c r="I3" s="154">
        <f>(D3-D2)/100</f>
        <v>1.0000000000000009E-4</v>
      </c>
      <c r="J3" s="154">
        <f>(E3-E2)/100</f>
        <v>1.5310491707712148E-4</v>
      </c>
      <c r="K3" s="160">
        <f>(F3-F2)/100</f>
        <v>2.0000000000000017E-4</v>
      </c>
      <c r="L3" s="161">
        <f>(B3/B2)-1</f>
        <v>0</v>
      </c>
      <c r="M3" s="155">
        <f>(C3/C2)-1</f>
        <v>0.18181818181818188</v>
      </c>
      <c r="N3" s="155">
        <f t="shared" ref="N3:P3" si="1">(D3/D2)-1</f>
        <v>6.25E-2</v>
      </c>
      <c r="O3" s="155">
        <f t="shared" si="1"/>
        <v>5.8874995194894364E-2</v>
      </c>
      <c r="P3" s="162">
        <f t="shared" si="1"/>
        <v>5.555555555555558E-2</v>
      </c>
      <c r="R3" s="158" t="s">
        <v>325</v>
      </c>
    </row>
    <row r="4" spans="1:18">
      <c r="A4" s="319">
        <v>44202</v>
      </c>
      <c r="B4" s="28">
        <v>0.11</v>
      </c>
      <c r="C4" s="29">
        <v>0.14000000000000001</v>
      </c>
      <c r="D4" s="29">
        <v>0.2</v>
      </c>
      <c r="E4" s="30">
        <v>0.31523797062719949</v>
      </c>
      <c r="F4" s="29">
        <v>0.43</v>
      </c>
      <c r="G4" s="159">
        <f t="shared" ref="G4:G67" si="2">(B4-B3)/100</f>
        <v>9.9999999999999951E-5</v>
      </c>
      <c r="H4" s="154">
        <f t="shared" ref="H4:H67" si="3">(C4-C3)/100</f>
        <v>1.0000000000000009E-4</v>
      </c>
      <c r="I4" s="154">
        <f t="shared" ref="I4:I67" si="4">(D4-D3)/100</f>
        <v>2.9999999999999997E-4</v>
      </c>
      <c r="J4" s="154">
        <f t="shared" ref="J4:J67" si="5">(E4-E3)/100</f>
        <v>3.9876643126979526E-4</v>
      </c>
      <c r="K4" s="160">
        <f t="shared" ref="K4:K67" si="6">(F4-F3)/100</f>
        <v>4.999999999999999E-4</v>
      </c>
      <c r="L4" s="161">
        <f t="shared" ref="L4:L67" si="7">(B4/B3)-1</f>
        <v>9.9999999999999867E-2</v>
      </c>
      <c r="M4" s="155">
        <f t="shared" ref="M4:M67" si="8">(C4/C3)-1</f>
        <v>7.6923076923077094E-2</v>
      </c>
      <c r="N4" s="155">
        <f t="shared" ref="N4:N67" si="9">(D4/D3)-1</f>
        <v>0.17647058823529416</v>
      </c>
      <c r="O4" s="155">
        <f t="shared" ref="O4:O67" si="10">(E4/E3)-1</f>
        <v>0.14481569902711811</v>
      </c>
      <c r="P4" s="162">
        <f t="shared" ref="P4:P67" si="11">(F4/F3)-1</f>
        <v>0.13157894736842102</v>
      </c>
      <c r="R4" s="157" t="s">
        <v>370</v>
      </c>
    </row>
    <row r="5" spans="1:18">
      <c r="A5" s="319">
        <v>44203</v>
      </c>
      <c r="B5" s="28">
        <v>0.11</v>
      </c>
      <c r="C5" s="29">
        <v>0.14000000000000001</v>
      </c>
      <c r="D5" s="29">
        <v>0.22</v>
      </c>
      <c r="E5" s="30">
        <v>0.34002364394133383</v>
      </c>
      <c r="F5" s="29">
        <v>0.46</v>
      </c>
      <c r="G5" s="159">
        <f t="shared" si="2"/>
        <v>0</v>
      </c>
      <c r="H5" s="154">
        <f t="shared" si="3"/>
        <v>0</v>
      </c>
      <c r="I5" s="154">
        <f t="shared" si="4"/>
        <v>1.999999999999999E-4</v>
      </c>
      <c r="J5" s="154">
        <f t="shared" si="5"/>
        <v>2.4785673314134339E-4</v>
      </c>
      <c r="K5" s="160">
        <f t="shared" si="6"/>
        <v>3.0000000000000024E-4</v>
      </c>
      <c r="L5" s="161">
        <f t="shared" si="7"/>
        <v>0</v>
      </c>
      <c r="M5" s="155">
        <f t="shared" si="8"/>
        <v>0</v>
      </c>
      <c r="N5" s="155">
        <f t="shared" si="9"/>
        <v>9.9999999999999867E-2</v>
      </c>
      <c r="O5" s="155">
        <f t="shared" si="10"/>
        <v>7.8625278753129191E-2</v>
      </c>
      <c r="P5" s="162">
        <f t="shared" si="11"/>
        <v>6.976744186046524E-2</v>
      </c>
    </row>
    <row r="6" spans="1:18">
      <c r="A6" s="319">
        <v>44204</v>
      </c>
      <c r="B6" s="28">
        <v>0.1</v>
      </c>
      <c r="C6" s="29">
        <v>0.14000000000000001</v>
      </c>
      <c r="D6" s="29">
        <v>0.24</v>
      </c>
      <c r="E6" s="30">
        <v>0.36533805332904562</v>
      </c>
      <c r="F6" s="29">
        <v>0.49</v>
      </c>
      <c r="G6" s="159">
        <f t="shared" si="2"/>
        <v>-9.9999999999999951E-5</v>
      </c>
      <c r="H6" s="154">
        <f t="shared" si="3"/>
        <v>0</v>
      </c>
      <c r="I6" s="154">
        <f t="shared" si="4"/>
        <v>1.999999999999999E-4</v>
      </c>
      <c r="J6" s="154">
        <f t="shared" si="5"/>
        <v>2.531440938771179E-4</v>
      </c>
      <c r="K6" s="160">
        <f t="shared" si="6"/>
        <v>2.999999999999997E-4</v>
      </c>
      <c r="L6" s="161">
        <f t="shared" si="7"/>
        <v>-9.0909090909090828E-2</v>
      </c>
      <c r="M6" s="155">
        <f t="shared" si="8"/>
        <v>0</v>
      </c>
      <c r="N6" s="155">
        <f t="shared" si="9"/>
        <v>9.0909090909090828E-2</v>
      </c>
      <c r="O6" s="155">
        <f t="shared" si="10"/>
        <v>7.444896800199996E-2</v>
      </c>
      <c r="P6" s="162">
        <f t="shared" si="11"/>
        <v>6.5217391304347672E-2</v>
      </c>
    </row>
    <row r="7" spans="1:18">
      <c r="A7" s="319">
        <v>44207</v>
      </c>
      <c r="B7" s="28">
        <v>0.1</v>
      </c>
      <c r="C7" s="29">
        <v>0.14000000000000001</v>
      </c>
      <c r="D7" s="29">
        <v>0.22</v>
      </c>
      <c r="E7" s="30">
        <v>0.36043964288626917</v>
      </c>
      <c r="F7" s="29">
        <v>0.5</v>
      </c>
      <c r="G7" s="159">
        <f t="shared" si="2"/>
        <v>0</v>
      </c>
      <c r="H7" s="154">
        <f t="shared" si="3"/>
        <v>0</v>
      </c>
      <c r="I7" s="154">
        <f>(D7-D6)/100</f>
        <v>-1.999999999999999E-4</v>
      </c>
      <c r="J7" s="154">
        <f t="shared" si="5"/>
        <v>-4.8984104427764461E-5</v>
      </c>
      <c r="K7" s="160">
        <f t="shared" si="6"/>
        <v>1.0000000000000009E-4</v>
      </c>
      <c r="L7" s="161">
        <f t="shared" si="7"/>
        <v>0</v>
      </c>
      <c r="M7" s="155">
        <f t="shared" si="8"/>
        <v>0</v>
      </c>
      <c r="N7" s="155">
        <f t="shared" si="9"/>
        <v>-8.3333333333333259E-2</v>
      </c>
      <c r="O7" s="155">
        <f t="shared" si="10"/>
        <v>-1.3407884555525995E-2</v>
      </c>
      <c r="P7" s="162">
        <f t="shared" si="11"/>
        <v>2.0408163265306145E-2</v>
      </c>
    </row>
    <row r="8" spans="1:18">
      <c r="A8" s="319">
        <v>44208</v>
      </c>
      <c r="B8" s="28">
        <v>0.11</v>
      </c>
      <c r="C8" s="29">
        <v>0.14000000000000001</v>
      </c>
      <c r="D8" s="29">
        <v>0.23</v>
      </c>
      <c r="E8" s="30">
        <v>0.36541896512912647</v>
      </c>
      <c r="F8" s="29">
        <v>0.5</v>
      </c>
      <c r="G8" s="159">
        <f t="shared" si="2"/>
        <v>9.9999999999999951E-5</v>
      </c>
      <c r="H8" s="154">
        <f t="shared" si="3"/>
        <v>0</v>
      </c>
      <c r="I8" s="154">
        <f t="shared" si="4"/>
        <v>1.0000000000000009E-4</v>
      </c>
      <c r="J8" s="154">
        <f t="shared" si="5"/>
        <v>4.9793222428572979E-5</v>
      </c>
      <c r="K8" s="160">
        <f t="shared" si="6"/>
        <v>0</v>
      </c>
      <c r="L8" s="161">
        <f t="shared" si="7"/>
        <v>9.9999999999999867E-2</v>
      </c>
      <c r="M8" s="155">
        <f t="shared" si="8"/>
        <v>0</v>
      </c>
      <c r="N8" s="155">
        <f t="shared" si="9"/>
        <v>4.5454545454545414E-2</v>
      </c>
      <c r="O8" s="155">
        <f t="shared" si="10"/>
        <v>1.3814579891891832E-2</v>
      </c>
      <c r="P8" s="162">
        <f t="shared" si="11"/>
        <v>0</v>
      </c>
    </row>
    <row r="9" spans="1:18">
      <c r="A9" s="319">
        <v>44209</v>
      </c>
      <c r="B9" s="28">
        <v>0.12</v>
      </c>
      <c r="C9" s="29">
        <v>0.14000000000000001</v>
      </c>
      <c r="D9" s="29">
        <v>0.22</v>
      </c>
      <c r="E9" s="30">
        <v>0.35011297561366633</v>
      </c>
      <c r="F9" s="29">
        <v>0.48</v>
      </c>
      <c r="G9" s="159">
        <f t="shared" si="2"/>
        <v>9.9999999999999951E-5</v>
      </c>
      <c r="H9" s="154">
        <f t="shared" si="3"/>
        <v>0</v>
      </c>
      <c r="I9" s="154">
        <f t="shared" si="4"/>
        <v>-1.0000000000000009E-4</v>
      </c>
      <c r="J9" s="154">
        <f t="shared" si="5"/>
        <v>-1.5305989515460139E-4</v>
      </c>
      <c r="K9" s="160">
        <f t="shared" si="6"/>
        <v>-2.0000000000000017E-4</v>
      </c>
      <c r="L9" s="161">
        <f t="shared" si="7"/>
        <v>9.0909090909090828E-2</v>
      </c>
      <c r="M9" s="155">
        <f t="shared" si="8"/>
        <v>0</v>
      </c>
      <c r="N9" s="155">
        <f t="shared" si="9"/>
        <v>-4.3478260869565299E-2</v>
      </c>
      <c r="O9" s="155">
        <f t="shared" si="10"/>
        <v>-4.1886138859956401E-2</v>
      </c>
      <c r="P9" s="162">
        <f t="shared" si="11"/>
        <v>-4.0000000000000036E-2</v>
      </c>
    </row>
    <row r="10" spans="1:18">
      <c r="A10" s="319">
        <v>44210</v>
      </c>
      <c r="B10" s="28">
        <v>0.1</v>
      </c>
      <c r="C10" s="29">
        <v>0.16</v>
      </c>
      <c r="D10" s="29">
        <v>0.23</v>
      </c>
      <c r="E10" s="30">
        <v>0.36044743045889183</v>
      </c>
      <c r="F10" s="29">
        <v>0.49</v>
      </c>
      <c r="G10" s="159">
        <f t="shared" si="2"/>
        <v>-1.999999999999999E-4</v>
      </c>
      <c r="H10" s="154">
        <f t="shared" si="3"/>
        <v>1.999999999999999E-4</v>
      </c>
      <c r="I10" s="154">
        <f t="shared" si="4"/>
        <v>1.0000000000000009E-4</v>
      </c>
      <c r="J10" s="154">
        <f t="shared" si="5"/>
        <v>1.0334454845225493E-4</v>
      </c>
      <c r="K10" s="160">
        <f t="shared" si="6"/>
        <v>1.0000000000000009E-4</v>
      </c>
      <c r="L10" s="161">
        <f t="shared" si="7"/>
        <v>-0.16666666666666663</v>
      </c>
      <c r="M10" s="155">
        <f t="shared" si="8"/>
        <v>0.14285714285714279</v>
      </c>
      <c r="N10" s="155">
        <f t="shared" si="9"/>
        <v>4.5454545454545414E-2</v>
      </c>
      <c r="O10" s="155">
        <f t="shared" si="10"/>
        <v>2.9517485968955093E-2</v>
      </c>
      <c r="P10" s="162">
        <f t="shared" si="11"/>
        <v>2.0833333333333259E-2</v>
      </c>
    </row>
    <row r="11" spans="1:18">
      <c r="A11" s="319">
        <v>44211</v>
      </c>
      <c r="B11" s="28">
        <v>0.1</v>
      </c>
      <c r="C11" s="29">
        <v>0.13</v>
      </c>
      <c r="D11" s="29">
        <v>0.2</v>
      </c>
      <c r="E11" s="30">
        <v>0.33023905314104968</v>
      </c>
      <c r="F11" s="29">
        <v>0.46</v>
      </c>
      <c r="G11" s="159">
        <f t="shared" si="2"/>
        <v>0</v>
      </c>
      <c r="H11" s="154">
        <f t="shared" si="3"/>
        <v>-2.9999999999999997E-4</v>
      </c>
      <c r="I11" s="154">
        <f t="shared" si="4"/>
        <v>-2.9999999999999997E-4</v>
      </c>
      <c r="J11" s="154">
        <f t="shared" si="5"/>
        <v>-3.0208377317842149E-4</v>
      </c>
      <c r="K11" s="160">
        <f t="shared" si="6"/>
        <v>-2.999999999999997E-4</v>
      </c>
      <c r="L11" s="161">
        <f t="shared" si="7"/>
        <v>0</v>
      </c>
      <c r="M11" s="155">
        <f t="shared" si="8"/>
        <v>-0.1875</v>
      </c>
      <c r="N11" s="155">
        <f t="shared" si="9"/>
        <v>-0.13043478260869568</v>
      </c>
      <c r="O11" s="155">
        <f t="shared" si="10"/>
        <v>-8.3807997408618884E-2</v>
      </c>
      <c r="P11" s="162">
        <f t="shared" si="11"/>
        <v>-6.1224489795918324E-2</v>
      </c>
    </row>
    <row r="12" spans="1:18">
      <c r="A12" s="319">
        <v>44215</v>
      </c>
      <c r="B12" s="28">
        <v>0.1</v>
      </c>
      <c r="C12" s="29">
        <v>0.14000000000000001</v>
      </c>
      <c r="D12" s="29">
        <v>0.21</v>
      </c>
      <c r="E12" s="30">
        <v>0.33025797945418078</v>
      </c>
      <c r="F12" s="29">
        <v>0.45</v>
      </c>
      <c r="G12" s="159">
        <f t="shared" si="2"/>
        <v>0</v>
      </c>
      <c r="H12" s="154">
        <f t="shared" si="3"/>
        <v>1.0000000000000009E-4</v>
      </c>
      <c r="I12" s="154">
        <f t="shared" si="4"/>
        <v>9.9999999999999815E-5</v>
      </c>
      <c r="J12" s="154">
        <f t="shared" si="5"/>
        <v>1.8926313131106821E-7</v>
      </c>
      <c r="K12" s="160">
        <f t="shared" si="6"/>
        <v>-1.0000000000000009E-4</v>
      </c>
      <c r="L12" s="161">
        <f t="shared" si="7"/>
        <v>0</v>
      </c>
      <c r="M12" s="155">
        <f t="shared" si="8"/>
        <v>7.6923076923077094E-2</v>
      </c>
      <c r="N12" s="155">
        <f t="shared" si="9"/>
        <v>4.9999999999999822E-2</v>
      </c>
      <c r="O12" s="155">
        <f t="shared" si="10"/>
        <v>5.7310947784827704E-5</v>
      </c>
      <c r="P12" s="162">
        <f t="shared" si="11"/>
        <v>-2.1739130434782594E-2</v>
      </c>
    </row>
    <row r="13" spans="1:18">
      <c r="A13" s="319">
        <v>44216</v>
      </c>
      <c r="B13" s="28">
        <v>0.1</v>
      </c>
      <c r="C13" s="29">
        <v>0.13</v>
      </c>
      <c r="D13" s="29">
        <v>0.19</v>
      </c>
      <c r="E13" s="30">
        <v>0.32026831093250807</v>
      </c>
      <c r="F13" s="29">
        <v>0.45</v>
      </c>
      <c r="G13" s="159">
        <f t="shared" si="2"/>
        <v>0</v>
      </c>
      <c r="H13" s="154">
        <f t="shared" si="3"/>
        <v>-1.0000000000000009E-4</v>
      </c>
      <c r="I13" s="154">
        <f t="shared" si="4"/>
        <v>-1.999999999999999E-4</v>
      </c>
      <c r="J13" s="154">
        <f t="shared" si="5"/>
        <v>-9.9896685216727116E-5</v>
      </c>
      <c r="K13" s="160">
        <f t="shared" si="6"/>
        <v>0</v>
      </c>
      <c r="L13" s="161">
        <f t="shared" si="7"/>
        <v>0</v>
      </c>
      <c r="M13" s="155">
        <f t="shared" si="8"/>
        <v>-7.1428571428571508E-2</v>
      </c>
      <c r="N13" s="155">
        <f t="shared" si="9"/>
        <v>-9.5238095238095233E-2</v>
      </c>
      <c r="O13" s="155">
        <f t="shared" si="10"/>
        <v>-3.024807618027181E-2</v>
      </c>
      <c r="P13" s="162">
        <f t="shared" si="11"/>
        <v>0</v>
      </c>
    </row>
    <row r="14" spans="1:18">
      <c r="A14" s="319">
        <v>44217</v>
      </c>
      <c r="B14" s="28">
        <v>0.1</v>
      </c>
      <c r="C14" s="29">
        <v>0.13</v>
      </c>
      <c r="D14" s="29">
        <v>0.19</v>
      </c>
      <c r="E14" s="30">
        <v>0.32042424870175107</v>
      </c>
      <c r="F14" s="29">
        <v>0.45</v>
      </c>
      <c r="G14" s="159">
        <f t="shared" si="2"/>
        <v>0</v>
      </c>
      <c r="H14" s="154">
        <f t="shared" si="3"/>
        <v>0</v>
      </c>
      <c r="I14" s="154">
        <f t="shared" si="4"/>
        <v>0</v>
      </c>
      <c r="J14" s="154">
        <f t="shared" si="5"/>
        <v>1.5593776924299751E-6</v>
      </c>
      <c r="K14" s="160">
        <f t="shared" si="6"/>
        <v>0</v>
      </c>
      <c r="L14" s="161">
        <f t="shared" si="7"/>
        <v>0</v>
      </c>
      <c r="M14" s="155">
        <f t="shared" si="8"/>
        <v>0</v>
      </c>
      <c r="N14" s="155">
        <f t="shared" si="9"/>
        <v>0</v>
      </c>
      <c r="O14" s="155">
        <f t="shared" si="10"/>
        <v>4.8689727931239268E-4</v>
      </c>
      <c r="P14" s="162">
        <f t="shared" si="11"/>
        <v>0</v>
      </c>
    </row>
    <row r="15" spans="1:18">
      <c r="A15" s="319">
        <v>44218</v>
      </c>
      <c r="B15" s="28">
        <v>0.1</v>
      </c>
      <c r="C15" s="29">
        <v>0.13</v>
      </c>
      <c r="D15" s="29">
        <v>0.19</v>
      </c>
      <c r="E15" s="30">
        <v>0.31548957415942824</v>
      </c>
      <c r="F15" s="29">
        <v>0.44</v>
      </c>
      <c r="G15" s="159">
        <f t="shared" si="2"/>
        <v>0</v>
      </c>
      <c r="H15" s="154">
        <f t="shared" si="3"/>
        <v>0</v>
      </c>
      <c r="I15" s="154">
        <f t="shared" si="4"/>
        <v>0</v>
      </c>
      <c r="J15" s="154">
        <f t="shared" si="5"/>
        <v>-4.9346745423228255E-5</v>
      </c>
      <c r="K15" s="160">
        <f t="shared" si="6"/>
        <v>-1.0000000000000009E-4</v>
      </c>
      <c r="L15" s="161">
        <f t="shared" si="7"/>
        <v>0</v>
      </c>
      <c r="M15" s="155">
        <f t="shared" si="8"/>
        <v>0</v>
      </c>
      <c r="N15" s="155">
        <f t="shared" si="9"/>
        <v>0</v>
      </c>
      <c r="O15" s="155">
        <f t="shared" si="10"/>
        <v>-1.5400440392125181E-2</v>
      </c>
      <c r="P15" s="162">
        <f t="shared" si="11"/>
        <v>-2.2222222222222254E-2</v>
      </c>
    </row>
    <row r="16" spans="1:18">
      <c r="A16" s="319">
        <v>44221</v>
      </c>
      <c r="B16" s="28">
        <v>0.1</v>
      </c>
      <c r="C16" s="29">
        <v>0.13</v>
      </c>
      <c r="D16" s="29">
        <v>0.17</v>
      </c>
      <c r="E16" s="30">
        <v>0.29528304174197922</v>
      </c>
      <c r="F16" s="29">
        <v>0.42</v>
      </c>
      <c r="G16" s="159">
        <f t="shared" si="2"/>
        <v>0</v>
      </c>
      <c r="H16" s="154">
        <f t="shared" si="3"/>
        <v>0</v>
      </c>
      <c r="I16" s="154">
        <f t="shared" si="4"/>
        <v>-1.999999999999999E-4</v>
      </c>
      <c r="J16" s="154">
        <f t="shared" si="5"/>
        <v>-2.020653241744902E-4</v>
      </c>
      <c r="K16" s="160">
        <f t="shared" si="6"/>
        <v>-2.0000000000000017E-4</v>
      </c>
      <c r="L16" s="161">
        <f t="shared" si="7"/>
        <v>0</v>
      </c>
      <c r="M16" s="155">
        <f t="shared" si="8"/>
        <v>0</v>
      </c>
      <c r="N16" s="155">
        <f t="shared" si="9"/>
        <v>-0.10526315789473684</v>
      </c>
      <c r="O16" s="155">
        <f t="shared" si="10"/>
        <v>-6.4048178046092641E-2</v>
      </c>
      <c r="P16" s="162">
        <f t="shared" si="11"/>
        <v>-4.5454545454545525E-2</v>
      </c>
    </row>
    <row r="17" spans="1:16">
      <c r="A17" s="319">
        <v>44222</v>
      </c>
      <c r="B17" s="28">
        <v>0.09</v>
      </c>
      <c r="C17" s="29">
        <v>0.11</v>
      </c>
      <c r="D17" s="29">
        <v>0.18</v>
      </c>
      <c r="E17" s="30">
        <v>0.30007899943145272</v>
      </c>
      <c r="F17" s="29">
        <v>0.42</v>
      </c>
      <c r="G17" s="159">
        <f t="shared" si="2"/>
        <v>-1.0000000000000009E-4</v>
      </c>
      <c r="H17" s="154">
        <f t="shared" si="3"/>
        <v>-2.0000000000000004E-4</v>
      </c>
      <c r="I17" s="154">
        <f t="shared" si="4"/>
        <v>9.9999999999999815E-5</v>
      </c>
      <c r="J17" s="154">
        <f t="shared" si="5"/>
        <v>4.7959576894734958E-5</v>
      </c>
      <c r="K17" s="160">
        <f t="shared" si="6"/>
        <v>0</v>
      </c>
      <c r="L17" s="161">
        <f t="shared" si="7"/>
        <v>-0.10000000000000009</v>
      </c>
      <c r="M17" s="155">
        <f t="shared" si="8"/>
        <v>-0.15384615384615385</v>
      </c>
      <c r="N17" s="155">
        <f t="shared" si="9"/>
        <v>5.8823529411764497E-2</v>
      </c>
      <c r="O17" s="155">
        <f t="shared" si="10"/>
        <v>1.6241900182213165E-2</v>
      </c>
      <c r="P17" s="162">
        <f t="shared" si="11"/>
        <v>0</v>
      </c>
    </row>
    <row r="18" spans="1:16">
      <c r="A18" s="319">
        <v>44223</v>
      </c>
      <c r="B18" s="28">
        <v>0.09</v>
      </c>
      <c r="C18" s="29">
        <v>0.12</v>
      </c>
      <c r="D18" s="29">
        <v>0.18</v>
      </c>
      <c r="E18" s="30">
        <v>0.29516043212700738</v>
      </c>
      <c r="F18" s="29">
        <v>0.41</v>
      </c>
      <c r="G18" s="159">
        <f t="shared" si="2"/>
        <v>0</v>
      </c>
      <c r="H18" s="154">
        <f t="shared" si="3"/>
        <v>9.9999999999999951E-5</v>
      </c>
      <c r="I18" s="154">
        <f t="shared" si="4"/>
        <v>0</v>
      </c>
      <c r="J18" s="154">
        <f t="shared" si="5"/>
        <v>-4.9185673044453426E-5</v>
      </c>
      <c r="K18" s="160">
        <f t="shared" si="6"/>
        <v>-1.0000000000000009E-4</v>
      </c>
      <c r="L18" s="161">
        <f t="shared" si="7"/>
        <v>0</v>
      </c>
      <c r="M18" s="155">
        <f t="shared" si="8"/>
        <v>9.0909090909090828E-2</v>
      </c>
      <c r="N18" s="155">
        <f t="shared" si="9"/>
        <v>0</v>
      </c>
      <c r="O18" s="155">
        <f t="shared" si="10"/>
        <v>-1.6390908106746371E-2</v>
      </c>
      <c r="P18" s="162">
        <f t="shared" si="11"/>
        <v>-2.3809523809523836E-2</v>
      </c>
    </row>
    <row r="19" spans="1:16">
      <c r="A19" s="319">
        <v>44224</v>
      </c>
      <c r="B19" s="28">
        <v>0.08</v>
      </c>
      <c r="C19" s="29">
        <v>0.12</v>
      </c>
      <c r="D19" s="29">
        <v>0.18</v>
      </c>
      <c r="E19" s="30">
        <v>0.30026378982482388</v>
      </c>
      <c r="F19" s="29">
        <v>0.42</v>
      </c>
      <c r="G19" s="159">
        <f t="shared" si="2"/>
        <v>-9.9999999999999951E-5</v>
      </c>
      <c r="H19" s="154">
        <f t="shared" si="3"/>
        <v>0</v>
      </c>
      <c r="I19" s="154">
        <f t="shared" si="4"/>
        <v>0</v>
      </c>
      <c r="J19" s="154">
        <f t="shared" si="5"/>
        <v>5.1033576978165018E-5</v>
      </c>
      <c r="K19" s="160">
        <f t="shared" si="6"/>
        <v>1.0000000000000009E-4</v>
      </c>
      <c r="L19" s="161">
        <f t="shared" si="7"/>
        <v>-0.11111111111111105</v>
      </c>
      <c r="M19" s="155">
        <f t="shared" si="8"/>
        <v>0</v>
      </c>
      <c r="N19" s="155">
        <f t="shared" si="9"/>
        <v>0</v>
      </c>
      <c r="O19" s="155">
        <f t="shared" si="10"/>
        <v>1.7290114603235596E-2</v>
      </c>
      <c r="P19" s="162">
        <f t="shared" si="11"/>
        <v>2.4390243902439046E-2</v>
      </c>
    </row>
    <row r="20" spans="1:16">
      <c r="A20" s="319">
        <v>44225</v>
      </c>
      <c r="B20" s="28">
        <v>0.1</v>
      </c>
      <c r="C20" s="29">
        <v>0.11</v>
      </c>
      <c r="D20" s="29">
        <v>0.19</v>
      </c>
      <c r="E20" s="30">
        <v>0.32041193294019943</v>
      </c>
      <c r="F20" s="29">
        <v>0.45</v>
      </c>
      <c r="G20" s="159">
        <f t="shared" si="2"/>
        <v>2.0000000000000004E-4</v>
      </c>
      <c r="H20" s="154">
        <f t="shared" si="3"/>
        <v>-9.9999999999999951E-5</v>
      </c>
      <c r="I20" s="154">
        <f t="shared" si="4"/>
        <v>1.0000000000000009E-4</v>
      </c>
      <c r="J20" s="154">
        <f t="shared" si="5"/>
        <v>2.0148143115375548E-4</v>
      </c>
      <c r="K20" s="160">
        <f t="shared" si="6"/>
        <v>3.0000000000000024E-4</v>
      </c>
      <c r="L20" s="161">
        <f t="shared" si="7"/>
        <v>0.25</v>
      </c>
      <c r="M20" s="155">
        <f t="shared" si="8"/>
        <v>-8.3333333333333259E-2</v>
      </c>
      <c r="N20" s="155">
        <f t="shared" si="9"/>
        <v>5.555555555555558E-2</v>
      </c>
      <c r="O20" s="155">
        <f t="shared" si="10"/>
        <v>6.7101474763674007E-2</v>
      </c>
      <c r="P20" s="162">
        <f t="shared" si="11"/>
        <v>7.1428571428571397E-2</v>
      </c>
    </row>
    <row r="21" spans="1:16">
      <c r="A21" s="319">
        <v>44228</v>
      </c>
      <c r="B21" s="28">
        <v>0.08</v>
      </c>
      <c r="C21" s="29">
        <v>0.11</v>
      </c>
      <c r="D21" s="29">
        <v>0.17</v>
      </c>
      <c r="E21" s="30">
        <v>0.2953760344308532</v>
      </c>
      <c r="F21" s="29">
        <v>0.42</v>
      </c>
      <c r="G21" s="159">
        <f t="shared" si="2"/>
        <v>-2.0000000000000004E-4</v>
      </c>
      <c r="H21" s="154">
        <f t="shared" si="3"/>
        <v>0</v>
      </c>
      <c r="I21" s="154">
        <f t="shared" si="4"/>
        <v>-1.999999999999999E-4</v>
      </c>
      <c r="J21" s="154">
        <f t="shared" si="5"/>
        <v>-2.5035898509346232E-4</v>
      </c>
      <c r="K21" s="160">
        <f t="shared" si="6"/>
        <v>-3.0000000000000024E-4</v>
      </c>
      <c r="L21" s="161">
        <f t="shared" si="7"/>
        <v>-0.20000000000000007</v>
      </c>
      <c r="M21" s="155">
        <f t="shared" si="8"/>
        <v>0</v>
      </c>
      <c r="N21" s="155">
        <f t="shared" si="9"/>
        <v>-0.10526315789473684</v>
      </c>
      <c r="O21" s="155">
        <f t="shared" si="10"/>
        <v>-7.813659834578901E-2</v>
      </c>
      <c r="P21" s="162">
        <f t="shared" si="11"/>
        <v>-6.6666666666666763E-2</v>
      </c>
    </row>
    <row r="22" spans="1:16">
      <c r="A22" s="319">
        <v>44229</v>
      </c>
      <c r="B22" s="28">
        <v>0.08</v>
      </c>
      <c r="C22" s="29">
        <v>0.11</v>
      </c>
      <c r="D22" s="29">
        <v>0.18</v>
      </c>
      <c r="E22" s="30">
        <v>0.31546292604470183</v>
      </c>
      <c r="F22" s="29">
        <v>0.45</v>
      </c>
      <c r="G22" s="159">
        <f t="shared" si="2"/>
        <v>0</v>
      </c>
      <c r="H22" s="154">
        <f t="shared" si="3"/>
        <v>0</v>
      </c>
      <c r="I22" s="154">
        <f t="shared" si="4"/>
        <v>9.9999999999999815E-5</v>
      </c>
      <c r="J22" s="154">
        <f t="shared" si="5"/>
        <v>2.0086891613848635E-4</v>
      </c>
      <c r="K22" s="160">
        <f t="shared" si="6"/>
        <v>3.0000000000000024E-4</v>
      </c>
      <c r="L22" s="161">
        <f t="shared" si="7"/>
        <v>0</v>
      </c>
      <c r="M22" s="155">
        <f t="shared" si="8"/>
        <v>0</v>
      </c>
      <c r="N22" s="155">
        <f t="shared" si="9"/>
        <v>5.8823529411764497E-2</v>
      </c>
      <c r="O22" s="155">
        <f t="shared" si="10"/>
        <v>6.8004473188060688E-2</v>
      </c>
      <c r="P22" s="162">
        <f t="shared" si="11"/>
        <v>7.1428571428571397E-2</v>
      </c>
    </row>
    <row r="23" spans="1:16">
      <c r="A23" s="319">
        <v>44230</v>
      </c>
      <c r="B23" s="28">
        <v>0.08</v>
      </c>
      <c r="C23" s="29">
        <v>0.11</v>
      </c>
      <c r="D23" s="29">
        <v>0.19</v>
      </c>
      <c r="E23" s="30">
        <v>0.3253285173606304</v>
      </c>
      <c r="F23" s="29">
        <v>0.46</v>
      </c>
      <c r="G23" s="159">
        <f t="shared" si="2"/>
        <v>0</v>
      </c>
      <c r="H23" s="154">
        <f t="shared" si="3"/>
        <v>0</v>
      </c>
      <c r="I23" s="154">
        <f t="shared" si="4"/>
        <v>1.0000000000000009E-4</v>
      </c>
      <c r="J23" s="154">
        <f t="shared" si="5"/>
        <v>9.8655913159285678E-5</v>
      </c>
      <c r="K23" s="160">
        <f t="shared" si="6"/>
        <v>1.0000000000000009E-4</v>
      </c>
      <c r="L23" s="161">
        <f t="shared" si="7"/>
        <v>0</v>
      </c>
      <c r="M23" s="155">
        <f t="shared" si="8"/>
        <v>0</v>
      </c>
      <c r="N23" s="155">
        <f t="shared" si="9"/>
        <v>5.555555555555558E-2</v>
      </c>
      <c r="O23" s="155">
        <f t="shared" si="10"/>
        <v>3.1273377951647419E-2</v>
      </c>
      <c r="P23" s="162">
        <f t="shared" si="11"/>
        <v>2.2222222222222143E-2</v>
      </c>
    </row>
    <row r="24" spans="1:16">
      <c r="A24" s="319">
        <v>44231</v>
      </c>
      <c r="B24" s="28">
        <v>7.0000000000000007E-2</v>
      </c>
      <c r="C24" s="29">
        <v>0.11</v>
      </c>
      <c r="D24" s="29">
        <v>0.18</v>
      </c>
      <c r="E24" s="30">
        <v>0.32039533947540055</v>
      </c>
      <c r="F24" s="29">
        <v>0.46</v>
      </c>
      <c r="G24" s="159">
        <f t="shared" si="2"/>
        <v>-9.9999999999999951E-5</v>
      </c>
      <c r="H24" s="154">
        <f t="shared" si="3"/>
        <v>0</v>
      </c>
      <c r="I24" s="154">
        <f t="shared" si="4"/>
        <v>-1.0000000000000009E-4</v>
      </c>
      <c r="J24" s="154">
        <f t="shared" si="5"/>
        <v>-4.9331778852298444E-5</v>
      </c>
      <c r="K24" s="160">
        <f t="shared" si="6"/>
        <v>0</v>
      </c>
      <c r="L24" s="161">
        <f t="shared" si="7"/>
        <v>-0.12499999999999989</v>
      </c>
      <c r="M24" s="155">
        <f t="shared" si="8"/>
        <v>0</v>
      </c>
      <c r="N24" s="155">
        <f t="shared" si="9"/>
        <v>-5.2631578947368474E-2</v>
      </c>
      <c r="O24" s="155">
        <f t="shared" si="10"/>
        <v>-1.5163681085360703E-2</v>
      </c>
      <c r="P24" s="162">
        <f t="shared" si="11"/>
        <v>0</v>
      </c>
    </row>
    <row r="25" spans="1:16">
      <c r="A25" s="319">
        <v>44232</v>
      </c>
      <c r="B25" s="28">
        <v>0.06</v>
      </c>
      <c r="C25" s="29">
        <v>0.09</v>
      </c>
      <c r="D25" s="29">
        <v>0.19</v>
      </c>
      <c r="E25" s="30">
        <v>0.3303918290423446</v>
      </c>
      <c r="F25" s="29">
        <v>0.47</v>
      </c>
      <c r="G25" s="159">
        <f t="shared" si="2"/>
        <v>-1.0000000000000009E-4</v>
      </c>
      <c r="H25" s="154">
        <f t="shared" si="3"/>
        <v>-2.0000000000000004E-4</v>
      </c>
      <c r="I25" s="154">
        <f t="shared" si="4"/>
        <v>1.0000000000000009E-4</v>
      </c>
      <c r="J25" s="154">
        <f t="shared" si="5"/>
        <v>9.996489566944045E-5</v>
      </c>
      <c r="K25" s="160">
        <f t="shared" si="6"/>
        <v>9.999999999999953E-5</v>
      </c>
      <c r="L25" s="161">
        <f t="shared" si="7"/>
        <v>-0.14285714285714302</v>
      </c>
      <c r="M25" s="155">
        <f t="shared" si="8"/>
        <v>-0.18181818181818188</v>
      </c>
      <c r="N25" s="155">
        <f t="shared" si="9"/>
        <v>5.555555555555558E-2</v>
      </c>
      <c r="O25" s="155">
        <f t="shared" si="10"/>
        <v>3.1200483700267956E-2</v>
      </c>
      <c r="P25" s="162">
        <f t="shared" si="11"/>
        <v>2.1739130434782483E-2</v>
      </c>
    </row>
    <row r="26" spans="1:16">
      <c r="A26" s="319">
        <v>44235</v>
      </c>
      <c r="B26" s="28">
        <v>7.0000000000000007E-2</v>
      </c>
      <c r="C26" s="29">
        <v>0.11</v>
      </c>
      <c r="D26" s="29">
        <v>0.2</v>
      </c>
      <c r="E26" s="30">
        <v>0.34021979469572167</v>
      </c>
      <c r="F26" s="29">
        <v>0.48</v>
      </c>
      <c r="G26" s="159">
        <f t="shared" si="2"/>
        <v>1.0000000000000009E-4</v>
      </c>
      <c r="H26" s="154">
        <f t="shared" si="3"/>
        <v>2.0000000000000004E-4</v>
      </c>
      <c r="I26" s="154">
        <f t="shared" si="4"/>
        <v>1.0000000000000009E-4</v>
      </c>
      <c r="J26" s="154">
        <f t="shared" si="5"/>
        <v>9.8279656533770693E-5</v>
      </c>
      <c r="K26" s="160">
        <f t="shared" si="6"/>
        <v>1.0000000000000009E-4</v>
      </c>
      <c r="L26" s="161">
        <f t="shared" si="7"/>
        <v>0.16666666666666674</v>
      </c>
      <c r="M26" s="155">
        <f t="shared" si="8"/>
        <v>0.22222222222222232</v>
      </c>
      <c r="N26" s="155">
        <f t="shared" si="9"/>
        <v>5.2631578947368363E-2</v>
      </c>
      <c r="O26" s="155">
        <f t="shared" si="10"/>
        <v>2.9746394400442133E-2</v>
      </c>
      <c r="P26" s="162">
        <f t="shared" si="11"/>
        <v>2.1276595744680771E-2</v>
      </c>
    </row>
    <row r="27" spans="1:16">
      <c r="A27" s="319">
        <v>44236</v>
      </c>
      <c r="B27" s="28">
        <v>7.0000000000000007E-2</v>
      </c>
      <c r="C27" s="29">
        <v>0.11</v>
      </c>
      <c r="D27" s="29">
        <v>0.19</v>
      </c>
      <c r="E27" s="30">
        <v>0.33512482216850636</v>
      </c>
      <c r="F27" s="29">
        <v>0.48</v>
      </c>
      <c r="G27" s="159">
        <f t="shared" si="2"/>
        <v>0</v>
      </c>
      <c r="H27" s="154">
        <f t="shared" si="3"/>
        <v>0</v>
      </c>
      <c r="I27" s="154">
        <f t="shared" si="4"/>
        <v>-1.0000000000000009E-4</v>
      </c>
      <c r="J27" s="154">
        <f t="shared" si="5"/>
        <v>-5.094972527215302E-5</v>
      </c>
      <c r="K27" s="160">
        <f t="shared" si="6"/>
        <v>0</v>
      </c>
      <c r="L27" s="161">
        <f t="shared" si="7"/>
        <v>0</v>
      </c>
      <c r="M27" s="155">
        <f t="shared" si="8"/>
        <v>0</v>
      </c>
      <c r="N27" s="155">
        <f t="shared" si="9"/>
        <v>-5.0000000000000044E-2</v>
      </c>
      <c r="O27" s="155">
        <f t="shared" si="10"/>
        <v>-1.4975532307789585E-2</v>
      </c>
      <c r="P27" s="162">
        <f t="shared" si="11"/>
        <v>0</v>
      </c>
    </row>
    <row r="28" spans="1:16">
      <c r="A28" s="319">
        <v>44237</v>
      </c>
      <c r="B28" s="28">
        <v>7.0000000000000007E-2</v>
      </c>
      <c r="C28" s="29">
        <v>0.11</v>
      </c>
      <c r="D28" s="29">
        <v>0.19</v>
      </c>
      <c r="E28" s="30">
        <v>0.32521123904550792</v>
      </c>
      <c r="F28" s="29">
        <v>0.46</v>
      </c>
      <c r="G28" s="159">
        <f t="shared" si="2"/>
        <v>0</v>
      </c>
      <c r="H28" s="154">
        <f t="shared" si="3"/>
        <v>0</v>
      </c>
      <c r="I28" s="154">
        <f t="shared" si="4"/>
        <v>0</v>
      </c>
      <c r="J28" s="154">
        <f t="shared" si="5"/>
        <v>-9.913583122998448E-5</v>
      </c>
      <c r="K28" s="160">
        <f t="shared" si="6"/>
        <v>-1.9999999999999963E-4</v>
      </c>
      <c r="L28" s="161">
        <f t="shared" si="7"/>
        <v>0</v>
      </c>
      <c r="M28" s="155">
        <f t="shared" si="8"/>
        <v>0</v>
      </c>
      <c r="N28" s="155">
        <f t="shared" si="9"/>
        <v>0</v>
      </c>
      <c r="O28" s="155">
        <f t="shared" si="10"/>
        <v>-2.958176317364436E-2</v>
      </c>
      <c r="P28" s="162">
        <f t="shared" si="11"/>
        <v>-4.166666666666663E-2</v>
      </c>
    </row>
    <row r="29" spans="1:16">
      <c r="A29" s="319">
        <v>44238</v>
      </c>
      <c r="B29" s="28">
        <v>7.0000000000000007E-2</v>
      </c>
      <c r="C29" s="29">
        <v>0.11</v>
      </c>
      <c r="D29" s="29">
        <v>0.19</v>
      </c>
      <c r="E29" s="30">
        <v>0.32547046829643239</v>
      </c>
      <c r="F29" s="29">
        <v>0.46</v>
      </c>
      <c r="G29" s="159">
        <f t="shared" si="2"/>
        <v>0</v>
      </c>
      <c r="H29" s="154">
        <f t="shared" si="3"/>
        <v>0</v>
      </c>
      <c r="I29" s="154">
        <f t="shared" si="4"/>
        <v>0</v>
      </c>
      <c r="J29" s="154">
        <f t="shared" si="5"/>
        <v>2.5922925092447535E-6</v>
      </c>
      <c r="K29" s="160">
        <f t="shared" si="6"/>
        <v>0</v>
      </c>
      <c r="L29" s="161">
        <f t="shared" si="7"/>
        <v>0</v>
      </c>
      <c r="M29" s="155">
        <f t="shared" si="8"/>
        <v>0</v>
      </c>
      <c r="N29" s="155">
        <f t="shared" si="9"/>
        <v>0</v>
      </c>
      <c r="O29" s="155">
        <f t="shared" si="10"/>
        <v>7.9711036951035652E-4</v>
      </c>
      <c r="P29" s="162">
        <f t="shared" si="11"/>
        <v>0</v>
      </c>
    </row>
    <row r="30" spans="1:16">
      <c r="A30" s="319">
        <v>44239</v>
      </c>
      <c r="B30" s="28">
        <v>0.06</v>
      </c>
      <c r="C30" s="29">
        <v>0.11</v>
      </c>
      <c r="D30" s="29">
        <v>0.2</v>
      </c>
      <c r="E30" s="30">
        <v>0.35035299059573155</v>
      </c>
      <c r="F30" s="29">
        <v>0.5</v>
      </c>
      <c r="G30" s="159">
        <f t="shared" si="2"/>
        <v>-1.0000000000000009E-4</v>
      </c>
      <c r="H30" s="154">
        <f t="shared" si="3"/>
        <v>0</v>
      </c>
      <c r="I30" s="154">
        <f t="shared" si="4"/>
        <v>1.0000000000000009E-4</v>
      </c>
      <c r="J30" s="154">
        <f t="shared" si="5"/>
        <v>2.4882522299299158E-4</v>
      </c>
      <c r="K30" s="160">
        <f t="shared" si="6"/>
        <v>3.999999999999998E-4</v>
      </c>
      <c r="L30" s="161">
        <f t="shared" si="7"/>
        <v>-0.14285714285714302</v>
      </c>
      <c r="M30" s="155">
        <f t="shared" si="8"/>
        <v>0</v>
      </c>
      <c r="N30" s="155">
        <f t="shared" si="9"/>
        <v>5.2631578947368363E-2</v>
      </c>
      <c r="O30" s="155">
        <f t="shared" si="10"/>
        <v>7.645093709895856E-2</v>
      </c>
      <c r="P30" s="162">
        <f t="shared" si="11"/>
        <v>8.6956521739130377E-2</v>
      </c>
    </row>
    <row r="31" spans="1:16">
      <c r="A31" s="319">
        <v>44243</v>
      </c>
      <c r="B31" s="28">
        <v>0.08</v>
      </c>
      <c r="C31" s="29">
        <v>0.13</v>
      </c>
      <c r="D31" s="29">
        <v>0.23</v>
      </c>
      <c r="E31" s="30">
        <v>0.40039289391643107</v>
      </c>
      <c r="F31" s="29">
        <v>0.56999999999999995</v>
      </c>
      <c r="G31" s="159">
        <f t="shared" si="2"/>
        <v>2.0000000000000004E-4</v>
      </c>
      <c r="H31" s="154">
        <f t="shared" si="3"/>
        <v>2.0000000000000004E-4</v>
      </c>
      <c r="I31" s="154">
        <f t="shared" si="4"/>
        <v>2.9999999999999997E-4</v>
      </c>
      <c r="J31" s="154">
        <f t="shared" si="5"/>
        <v>5.0039903320699521E-4</v>
      </c>
      <c r="K31" s="160">
        <f t="shared" si="6"/>
        <v>6.9999999999999956E-4</v>
      </c>
      <c r="L31" s="161">
        <f t="shared" si="7"/>
        <v>0.33333333333333348</v>
      </c>
      <c r="M31" s="155">
        <f t="shared" si="8"/>
        <v>0.18181818181818188</v>
      </c>
      <c r="N31" s="155">
        <f t="shared" si="9"/>
        <v>0.14999999999999991</v>
      </c>
      <c r="O31" s="155">
        <f t="shared" si="10"/>
        <v>0.14282710484535288</v>
      </c>
      <c r="P31" s="162">
        <f t="shared" si="11"/>
        <v>0.1399999999999999</v>
      </c>
    </row>
    <row r="32" spans="1:16">
      <c r="A32" s="319">
        <v>44244</v>
      </c>
      <c r="B32" s="28">
        <v>7.0000000000000007E-2</v>
      </c>
      <c r="C32" s="29">
        <v>0.11</v>
      </c>
      <c r="D32" s="29">
        <v>0.21</v>
      </c>
      <c r="E32" s="30">
        <v>0.3904681890119297</v>
      </c>
      <c r="F32" s="29">
        <v>0.56999999999999995</v>
      </c>
      <c r="G32" s="159">
        <f t="shared" si="2"/>
        <v>-9.9999999999999951E-5</v>
      </c>
      <c r="H32" s="154">
        <f t="shared" si="3"/>
        <v>-2.0000000000000004E-4</v>
      </c>
      <c r="I32" s="154">
        <f t="shared" si="4"/>
        <v>-2.0000000000000017E-4</v>
      </c>
      <c r="J32" s="154">
        <f t="shared" si="5"/>
        <v>-9.924704904501369E-5</v>
      </c>
      <c r="K32" s="160">
        <f t="shared" si="6"/>
        <v>0</v>
      </c>
      <c r="L32" s="161">
        <f t="shared" si="7"/>
        <v>-0.12499999999999989</v>
      </c>
      <c r="M32" s="155">
        <f t="shared" si="8"/>
        <v>-0.15384615384615385</v>
      </c>
      <c r="N32" s="155">
        <f t="shared" si="9"/>
        <v>-8.6956521739130488E-2</v>
      </c>
      <c r="O32" s="155">
        <f t="shared" si="10"/>
        <v>-2.4787415199663432E-2</v>
      </c>
      <c r="P32" s="162">
        <f t="shared" si="11"/>
        <v>0</v>
      </c>
    </row>
    <row r="33" spans="1:16">
      <c r="A33" s="319">
        <v>44245</v>
      </c>
      <c r="B33" s="28">
        <v>0.06</v>
      </c>
      <c r="C33" s="29">
        <v>0.11</v>
      </c>
      <c r="D33" s="29">
        <v>0.21</v>
      </c>
      <c r="E33" s="30">
        <v>0.38506701561906442</v>
      </c>
      <c r="F33" s="29">
        <v>0.56000000000000005</v>
      </c>
      <c r="G33" s="159">
        <f t="shared" si="2"/>
        <v>-1.0000000000000009E-4</v>
      </c>
      <c r="H33" s="154">
        <f t="shared" si="3"/>
        <v>0</v>
      </c>
      <c r="I33" s="154">
        <f t="shared" si="4"/>
        <v>0</v>
      </c>
      <c r="J33" s="154">
        <f t="shared" si="5"/>
        <v>-5.4011733928652771E-5</v>
      </c>
      <c r="K33" s="160">
        <f t="shared" si="6"/>
        <v>-9.9999999999998975E-5</v>
      </c>
      <c r="L33" s="161">
        <f t="shared" si="7"/>
        <v>-0.14285714285714302</v>
      </c>
      <c r="M33" s="155">
        <f t="shared" si="8"/>
        <v>0</v>
      </c>
      <c r="N33" s="155">
        <f t="shared" si="9"/>
        <v>0</v>
      </c>
      <c r="O33" s="155">
        <f t="shared" si="10"/>
        <v>-1.3832556773786919E-2</v>
      </c>
      <c r="P33" s="162">
        <f t="shared" si="11"/>
        <v>-1.754385964912264E-2</v>
      </c>
    </row>
    <row r="34" spans="1:16">
      <c r="A34" s="319">
        <v>44246</v>
      </c>
      <c r="B34" s="28">
        <v>7.0000000000000007E-2</v>
      </c>
      <c r="C34" s="29">
        <v>0.11</v>
      </c>
      <c r="D34" s="29">
        <v>0.22</v>
      </c>
      <c r="E34" s="30">
        <v>0.40532614265738581</v>
      </c>
      <c r="F34" s="29">
        <v>0.59</v>
      </c>
      <c r="G34" s="159">
        <f t="shared" si="2"/>
        <v>1.0000000000000009E-4</v>
      </c>
      <c r="H34" s="154">
        <f t="shared" si="3"/>
        <v>0</v>
      </c>
      <c r="I34" s="154">
        <f t="shared" si="4"/>
        <v>1.0000000000000009E-4</v>
      </c>
      <c r="J34" s="154">
        <f t="shared" si="5"/>
        <v>2.025912703832139E-4</v>
      </c>
      <c r="K34" s="160">
        <f t="shared" si="6"/>
        <v>2.9999999999999916E-4</v>
      </c>
      <c r="L34" s="161">
        <f t="shared" si="7"/>
        <v>0.16666666666666674</v>
      </c>
      <c r="M34" s="155">
        <f t="shared" si="8"/>
        <v>0</v>
      </c>
      <c r="N34" s="155">
        <f t="shared" si="9"/>
        <v>4.7619047619047672E-2</v>
      </c>
      <c r="O34" s="155">
        <f t="shared" si="10"/>
        <v>5.2611951209976304E-2</v>
      </c>
      <c r="P34" s="162">
        <f t="shared" si="11"/>
        <v>5.3571428571428381E-2</v>
      </c>
    </row>
    <row r="35" spans="1:16">
      <c r="A35" s="319">
        <v>44249</v>
      </c>
      <c r="B35" s="28">
        <v>0.06</v>
      </c>
      <c r="C35" s="29">
        <v>0.11</v>
      </c>
      <c r="D35" s="29">
        <v>0.22</v>
      </c>
      <c r="E35" s="30">
        <v>0.41515875274314901</v>
      </c>
      <c r="F35" s="29">
        <v>0.61</v>
      </c>
      <c r="G35" s="159">
        <f t="shared" si="2"/>
        <v>-1.0000000000000009E-4</v>
      </c>
      <c r="H35" s="154">
        <f t="shared" si="3"/>
        <v>0</v>
      </c>
      <c r="I35" s="154">
        <f t="shared" si="4"/>
        <v>0</v>
      </c>
      <c r="J35" s="154">
        <f t="shared" si="5"/>
        <v>9.8326100857631932E-5</v>
      </c>
      <c r="K35" s="160">
        <f t="shared" si="6"/>
        <v>2.0000000000000017E-4</v>
      </c>
      <c r="L35" s="161">
        <f t="shared" si="7"/>
        <v>-0.14285714285714302</v>
      </c>
      <c r="M35" s="155">
        <f t="shared" si="8"/>
        <v>0</v>
      </c>
      <c r="N35" s="155">
        <f t="shared" si="9"/>
        <v>0</v>
      </c>
      <c r="O35" s="155">
        <f t="shared" si="10"/>
        <v>2.4258514442959456E-2</v>
      </c>
      <c r="P35" s="162">
        <f t="shared" si="11"/>
        <v>3.3898305084745894E-2</v>
      </c>
    </row>
    <row r="36" spans="1:16">
      <c r="A36" s="319">
        <v>44250</v>
      </c>
      <c r="B36" s="28">
        <v>0.08</v>
      </c>
      <c r="C36" s="29">
        <v>0.11</v>
      </c>
      <c r="D36" s="29">
        <v>0.22</v>
      </c>
      <c r="E36" s="30">
        <v>0.40547882689728015</v>
      </c>
      <c r="F36" s="29">
        <v>0.59</v>
      </c>
      <c r="G36" s="159">
        <f t="shared" si="2"/>
        <v>2.0000000000000004E-4</v>
      </c>
      <c r="H36" s="154">
        <f t="shared" si="3"/>
        <v>0</v>
      </c>
      <c r="I36" s="154">
        <f t="shared" si="4"/>
        <v>0</v>
      </c>
      <c r="J36" s="154">
        <f t="shared" si="5"/>
        <v>-9.6799258458688526E-5</v>
      </c>
      <c r="K36" s="160">
        <f t="shared" si="6"/>
        <v>-2.0000000000000017E-4</v>
      </c>
      <c r="L36" s="161">
        <f t="shared" si="7"/>
        <v>0.33333333333333348</v>
      </c>
      <c r="M36" s="155">
        <f t="shared" si="8"/>
        <v>0</v>
      </c>
      <c r="N36" s="155">
        <f t="shared" si="9"/>
        <v>0</v>
      </c>
      <c r="O36" s="155">
        <f t="shared" si="10"/>
        <v>-2.3316203216020459E-2</v>
      </c>
      <c r="P36" s="162">
        <f t="shared" si="11"/>
        <v>-3.2786885245901676E-2</v>
      </c>
    </row>
    <row r="37" spans="1:16">
      <c r="A37" s="319">
        <v>44251</v>
      </c>
      <c r="B37" s="28">
        <v>0.08</v>
      </c>
      <c r="C37" s="29">
        <v>0.12</v>
      </c>
      <c r="D37" s="29">
        <v>0.24</v>
      </c>
      <c r="E37" s="30">
        <v>0.43023658583468588</v>
      </c>
      <c r="F37" s="29">
        <v>0.62</v>
      </c>
      <c r="G37" s="159">
        <f t="shared" si="2"/>
        <v>0</v>
      </c>
      <c r="H37" s="154">
        <f t="shared" si="3"/>
        <v>9.9999999999999951E-5</v>
      </c>
      <c r="I37" s="154">
        <f t="shared" si="4"/>
        <v>1.999999999999999E-4</v>
      </c>
      <c r="J37" s="154">
        <f t="shared" si="5"/>
        <v>2.4757758937405728E-4</v>
      </c>
      <c r="K37" s="160">
        <f t="shared" si="6"/>
        <v>3.0000000000000024E-4</v>
      </c>
      <c r="L37" s="161">
        <f t="shared" si="7"/>
        <v>0</v>
      </c>
      <c r="M37" s="155">
        <f t="shared" si="8"/>
        <v>9.0909090909090828E-2</v>
      </c>
      <c r="N37" s="155">
        <f t="shared" si="9"/>
        <v>9.0909090909090828E-2</v>
      </c>
      <c r="O37" s="155">
        <f t="shared" si="10"/>
        <v>6.105808070633878E-2</v>
      </c>
      <c r="P37" s="162">
        <f t="shared" si="11"/>
        <v>5.0847457627118731E-2</v>
      </c>
    </row>
    <row r="38" spans="1:16">
      <c r="A38" s="319">
        <v>44252</v>
      </c>
      <c r="B38" s="28">
        <v>0.09</v>
      </c>
      <c r="C38" s="29">
        <v>0.17</v>
      </c>
      <c r="D38" s="29">
        <v>0.34</v>
      </c>
      <c r="E38" s="30">
        <v>0.5752038298333777</v>
      </c>
      <c r="F38" s="29">
        <v>0.81</v>
      </c>
      <c r="G38" s="159">
        <f t="shared" si="2"/>
        <v>9.9999999999999951E-5</v>
      </c>
      <c r="H38" s="154">
        <f t="shared" si="3"/>
        <v>5.0000000000000012E-4</v>
      </c>
      <c r="I38" s="154">
        <f t="shared" si="4"/>
        <v>1.0000000000000002E-3</v>
      </c>
      <c r="J38" s="154">
        <f t="shared" si="5"/>
        <v>1.4496724399869181E-3</v>
      </c>
      <c r="K38" s="160">
        <f t="shared" si="6"/>
        <v>1.9000000000000006E-3</v>
      </c>
      <c r="L38" s="161">
        <f t="shared" si="7"/>
        <v>0.125</v>
      </c>
      <c r="M38" s="155">
        <f t="shared" si="8"/>
        <v>0.41666666666666674</v>
      </c>
      <c r="N38" s="155">
        <f t="shared" si="9"/>
        <v>0.41666666666666674</v>
      </c>
      <c r="O38" s="155">
        <f t="shared" si="10"/>
        <v>0.33694773706296099</v>
      </c>
      <c r="P38" s="162">
        <f t="shared" si="11"/>
        <v>0.30645161290322598</v>
      </c>
    </row>
    <row r="39" spans="1:16">
      <c r="A39" s="319">
        <v>44253</v>
      </c>
      <c r="B39" s="28">
        <v>0.08</v>
      </c>
      <c r="C39" s="29">
        <v>0.14000000000000001</v>
      </c>
      <c r="D39" s="29">
        <v>0.3</v>
      </c>
      <c r="E39" s="30">
        <v>0.52519018577760768</v>
      </c>
      <c r="F39" s="29">
        <v>0.75</v>
      </c>
      <c r="G39" s="159">
        <f t="shared" si="2"/>
        <v>-9.9999999999999951E-5</v>
      </c>
      <c r="H39" s="154">
        <f t="shared" si="3"/>
        <v>-2.9999999999999997E-4</v>
      </c>
      <c r="I39" s="154">
        <f t="shared" si="4"/>
        <v>-4.0000000000000034E-4</v>
      </c>
      <c r="J39" s="154">
        <f t="shared" si="5"/>
        <v>-5.0013644055770022E-4</v>
      </c>
      <c r="K39" s="160">
        <f t="shared" si="6"/>
        <v>-6.0000000000000049E-4</v>
      </c>
      <c r="L39" s="161">
        <f t="shared" si="7"/>
        <v>-0.11111111111111105</v>
      </c>
      <c r="M39" s="155">
        <f t="shared" si="8"/>
        <v>-0.17647058823529405</v>
      </c>
      <c r="N39" s="155">
        <f t="shared" si="9"/>
        <v>-0.11764705882352955</v>
      </c>
      <c r="O39" s="155">
        <f t="shared" si="10"/>
        <v>-8.6949428118824779E-2</v>
      </c>
      <c r="P39" s="162">
        <f t="shared" si="11"/>
        <v>-7.4074074074074181E-2</v>
      </c>
    </row>
    <row r="40" spans="1:16">
      <c r="A40" s="319">
        <v>44256</v>
      </c>
      <c r="B40" s="28">
        <v>0.08</v>
      </c>
      <c r="C40" s="29">
        <v>0.13</v>
      </c>
      <c r="D40" s="29">
        <v>0.27</v>
      </c>
      <c r="E40" s="30">
        <v>0.49023509886666083</v>
      </c>
      <c r="F40" s="29">
        <v>0.71</v>
      </c>
      <c r="G40" s="159">
        <f t="shared" si="2"/>
        <v>0</v>
      </c>
      <c r="H40" s="154">
        <f t="shared" si="3"/>
        <v>-1.0000000000000009E-4</v>
      </c>
      <c r="I40" s="154">
        <f t="shared" si="4"/>
        <v>-2.999999999999997E-4</v>
      </c>
      <c r="J40" s="154">
        <f t="shared" si="5"/>
        <v>-3.4955086910946843E-4</v>
      </c>
      <c r="K40" s="160">
        <f t="shared" si="6"/>
        <v>-4.0000000000000034E-4</v>
      </c>
      <c r="L40" s="161">
        <f t="shared" si="7"/>
        <v>0</v>
      </c>
      <c r="M40" s="155">
        <f t="shared" si="8"/>
        <v>-7.1428571428571508E-2</v>
      </c>
      <c r="N40" s="155">
        <f t="shared" si="9"/>
        <v>-9.9999999999999867E-2</v>
      </c>
      <c r="O40" s="155">
        <f t="shared" si="10"/>
        <v>-6.6557007075811248E-2</v>
      </c>
      <c r="P40" s="162">
        <f t="shared" si="11"/>
        <v>-5.3333333333333344E-2</v>
      </c>
    </row>
    <row r="41" spans="1:16">
      <c r="A41" s="319">
        <v>44257</v>
      </c>
      <c r="B41" s="28">
        <v>0.08</v>
      </c>
      <c r="C41" s="29">
        <v>0.13</v>
      </c>
      <c r="D41" s="29">
        <v>0.26</v>
      </c>
      <c r="E41" s="30">
        <v>0.46500165109561042</v>
      </c>
      <c r="F41" s="29">
        <v>0.67</v>
      </c>
      <c r="G41" s="159">
        <f t="shared" si="2"/>
        <v>0</v>
      </c>
      <c r="H41" s="154">
        <f t="shared" si="3"/>
        <v>0</v>
      </c>
      <c r="I41" s="154">
        <f t="shared" si="4"/>
        <v>-1.0000000000000009E-4</v>
      </c>
      <c r="J41" s="154">
        <f t="shared" si="5"/>
        <v>-2.5233447771050408E-4</v>
      </c>
      <c r="K41" s="160">
        <f t="shared" si="6"/>
        <v>-3.9999999999999926E-4</v>
      </c>
      <c r="L41" s="161">
        <f t="shared" si="7"/>
        <v>0</v>
      </c>
      <c r="M41" s="155">
        <f t="shared" si="8"/>
        <v>0</v>
      </c>
      <c r="N41" s="155">
        <f t="shared" si="9"/>
        <v>-3.703703703703709E-2</v>
      </c>
      <c r="O41" s="155">
        <f t="shared" si="10"/>
        <v>-5.1472136184018247E-2</v>
      </c>
      <c r="P41" s="162">
        <f t="shared" si="11"/>
        <v>-5.6338028169014009E-2</v>
      </c>
    </row>
    <row r="42" spans="1:16">
      <c r="A42" s="319">
        <v>44258</v>
      </c>
      <c r="B42" s="28">
        <v>0.08</v>
      </c>
      <c r="C42" s="29">
        <v>0.14000000000000001</v>
      </c>
      <c r="D42" s="29">
        <v>0.28999999999999998</v>
      </c>
      <c r="E42" s="30">
        <v>0.5100631916899151</v>
      </c>
      <c r="F42" s="29">
        <v>0.73</v>
      </c>
      <c r="G42" s="159">
        <f t="shared" si="2"/>
        <v>0</v>
      </c>
      <c r="H42" s="154">
        <f t="shared" si="3"/>
        <v>1.0000000000000009E-4</v>
      </c>
      <c r="I42" s="154">
        <f t="shared" si="4"/>
        <v>2.999999999999997E-4</v>
      </c>
      <c r="J42" s="154">
        <f t="shared" si="5"/>
        <v>4.5061540594304672E-4</v>
      </c>
      <c r="K42" s="160">
        <f t="shared" si="6"/>
        <v>5.9999999999999941E-4</v>
      </c>
      <c r="L42" s="161">
        <f t="shared" si="7"/>
        <v>0</v>
      </c>
      <c r="M42" s="155">
        <f t="shared" si="8"/>
        <v>7.6923076923077094E-2</v>
      </c>
      <c r="N42" s="155">
        <f t="shared" si="9"/>
        <v>0.1153846153846152</v>
      </c>
      <c r="O42" s="155">
        <f t="shared" si="10"/>
        <v>9.6906194823466185E-2</v>
      </c>
      <c r="P42" s="162">
        <f t="shared" si="11"/>
        <v>8.9552238805969964E-2</v>
      </c>
    </row>
    <row r="43" spans="1:16">
      <c r="A43" s="319">
        <v>44259</v>
      </c>
      <c r="B43" s="28">
        <v>0.08</v>
      </c>
      <c r="C43" s="29">
        <v>0.14000000000000001</v>
      </c>
      <c r="D43" s="29">
        <v>0.32</v>
      </c>
      <c r="E43" s="30">
        <v>0.5452826124550213</v>
      </c>
      <c r="F43" s="29">
        <v>0.77</v>
      </c>
      <c r="G43" s="159">
        <f t="shared" si="2"/>
        <v>0</v>
      </c>
      <c r="H43" s="154">
        <f t="shared" si="3"/>
        <v>0</v>
      </c>
      <c r="I43" s="154">
        <f t="shared" si="4"/>
        <v>3.0000000000000024E-4</v>
      </c>
      <c r="J43" s="154">
        <f t="shared" si="5"/>
        <v>3.5219420765106205E-4</v>
      </c>
      <c r="K43" s="160">
        <f t="shared" si="6"/>
        <v>4.0000000000000034E-4</v>
      </c>
      <c r="L43" s="161">
        <f t="shared" si="7"/>
        <v>0</v>
      </c>
      <c r="M43" s="155">
        <f t="shared" si="8"/>
        <v>0</v>
      </c>
      <c r="N43" s="155">
        <f t="shared" si="9"/>
        <v>0.10344827586206917</v>
      </c>
      <c r="O43" s="155">
        <f t="shared" si="10"/>
        <v>6.9049132223046872E-2</v>
      </c>
      <c r="P43" s="162">
        <f t="shared" si="11"/>
        <v>5.4794520547945202E-2</v>
      </c>
    </row>
    <row r="44" spans="1:16">
      <c r="A44" s="319">
        <v>44260</v>
      </c>
      <c r="B44" s="28">
        <v>0.08</v>
      </c>
      <c r="C44" s="29">
        <v>0.14000000000000001</v>
      </c>
      <c r="D44" s="29">
        <v>0.32</v>
      </c>
      <c r="E44" s="30">
        <v>0.55544335391675492</v>
      </c>
      <c r="F44" s="29">
        <v>0.79</v>
      </c>
      <c r="G44" s="159">
        <f t="shared" si="2"/>
        <v>0</v>
      </c>
      <c r="H44" s="154">
        <f t="shared" si="3"/>
        <v>0</v>
      </c>
      <c r="I44" s="154">
        <f t="shared" si="4"/>
        <v>0</v>
      </c>
      <c r="J44" s="154">
        <f t="shared" si="5"/>
        <v>1.0160741461733625E-4</v>
      </c>
      <c r="K44" s="160">
        <f t="shared" si="6"/>
        <v>2.0000000000000017E-4</v>
      </c>
      <c r="L44" s="161">
        <f t="shared" si="7"/>
        <v>0</v>
      </c>
      <c r="M44" s="155">
        <f t="shared" si="8"/>
        <v>0</v>
      </c>
      <c r="N44" s="155">
        <f t="shared" si="9"/>
        <v>0</v>
      </c>
      <c r="O44" s="155">
        <f t="shared" si="10"/>
        <v>1.8633899613976324E-2</v>
      </c>
      <c r="P44" s="162">
        <f t="shared" si="11"/>
        <v>2.5974025974025983E-2</v>
      </c>
    </row>
    <row r="45" spans="1:16">
      <c r="A45" s="319">
        <v>44263</v>
      </c>
      <c r="B45" s="28">
        <v>0.09</v>
      </c>
      <c r="C45" s="29">
        <v>0.17</v>
      </c>
      <c r="D45" s="29">
        <v>0.34</v>
      </c>
      <c r="E45" s="30">
        <v>0.60023969041671721</v>
      </c>
      <c r="F45" s="29">
        <v>0.86</v>
      </c>
      <c r="G45" s="159">
        <f t="shared" si="2"/>
        <v>9.9999999999999951E-5</v>
      </c>
      <c r="H45" s="154">
        <f t="shared" si="3"/>
        <v>2.9999999999999997E-4</v>
      </c>
      <c r="I45" s="154">
        <f t="shared" si="4"/>
        <v>2.0000000000000017E-4</v>
      </c>
      <c r="J45" s="154">
        <f t="shared" si="5"/>
        <v>4.4796336499962287E-4</v>
      </c>
      <c r="K45" s="160">
        <f t="shared" si="6"/>
        <v>6.9999999999999956E-4</v>
      </c>
      <c r="L45" s="161">
        <f t="shared" si="7"/>
        <v>0.125</v>
      </c>
      <c r="M45" s="155">
        <f t="shared" si="8"/>
        <v>0.21428571428571419</v>
      </c>
      <c r="N45" s="155">
        <f t="shared" si="9"/>
        <v>6.25E-2</v>
      </c>
      <c r="O45" s="155">
        <f t="shared" si="10"/>
        <v>8.064969395002608E-2</v>
      </c>
      <c r="P45" s="162">
        <f t="shared" si="11"/>
        <v>8.8607594936708889E-2</v>
      </c>
    </row>
    <row r="46" spans="1:16">
      <c r="A46" s="319">
        <v>44264</v>
      </c>
      <c r="B46" s="28">
        <v>0.1</v>
      </c>
      <c r="C46" s="29">
        <v>0.17</v>
      </c>
      <c r="D46" s="29">
        <v>0.35</v>
      </c>
      <c r="E46" s="30">
        <v>0.5904909278023116</v>
      </c>
      <c r="F46" s="29">
        <v>0.83</v>
      </c>
      <c r="G46" s="159">
        <f t="shared" si="2"/>
        <v>1.0000000000000009E-4</v>
      </c>
      <c r="H46" s="154">
        <f t="shared" si="3"/>
        <v>0</v>
      </c>
      <c r="I46" s="154">
        <f t="shared" si="4"/>
        <v>9.999999999999953E-5</v>
      </c>
      <c r="J46" s="154">
        <f t="shared" si="5"/>
        <v>-9.7487626144056034E-5</v>
      </c>
      <c r="K46" s="160">
        <f t="shared" si="6"/>
        <v>-3.0000000000000024E-4</v>
      </c>
      <c r="L46" s="161">
        <f t="shared" si="7"/>
        <v>0.11111111111111116</v>
      </c>
      <c r="M46" s="155">
        <f t="shared" si="8"/>
        <v>0</v>
      </c>
      <c r="N46" s="155">
        <f t="shared" si="9"/>
        <v>2.9411764705882248E-2</v>
      </c>
      <c r="O46" s="155">
        <f t="shared" si="10"/>
        <v>-1.6241449491015025E-2</v>
      </c>
      <c r="P46" s="162">
        <f t="shared" si="11"/>
        <v>-3.488372093023262E-2</v>
      </c>
    </row>
    <row r="47" spans="1:16">
      <c r="A47" s="319">
        <v>44265</v>
      </c>
      <c r="B47" s="28">
        <v>0.08</v>
      </c>
      <c r="C47" s="29">
        <v>0.16</v>
      </c>
      <c r="D47" s="29">
        <v>0.32</v>
      </c>
      <c r="E47" s="30">
        <v>0.56030293478029924</v>
      </c>
      <c r="F47" s="29">
        <v>0.8</v>
      </c>
      <c r="G47" s="159">
        <f t="shared" si="2"/>
        <v>-2.0000000000000004E-4</v>
      </c>
      <c r="H47" s="154">
        <f t="shared" si="3"/>
        <v>-1.0000000000000009E-4</v>
      </c>
      <c r="I47" s="154">
        <f t="shared" si="4"/>
        <v>-2.999999999999997E-4</v>
      </c>
      <c r="J47" s="154">
        <f t="shared" si="5"/>
        <v>-3.018799302201236E-4</v>
      </c>
      <c r="K47" s="160">
        <f t="shared" si="6"/>
        <v>-2.9999999999999916E-4</v>
      </c>
      <c r="L47" s="161">
        <f t="shared" si="7"/>
        <v>-0.20000000000000007</v>
      </c>
      <c r="M47" s="155">
        <f t="shared" si="8"/>
        <v>-5.8823529411764719E-2</v>
      </c>
      <c r="N47" s="155">
        <f t="shared" si="9"/>
        <v>-8.5714285714285632E-2</v>
      </c>
      <c r="O47" s="155">
        <f t="shared" si="10"/>
        <v>-5.1123550931368222E-2</v>
      </c>
      <c r="P47" s="162">
        <f t="shared" si="11"/>
        <v>-3.6144578313252906E-2</v>
      </c>
    </row>
    <row r="48" spans="1:16">
      <c r="A48" s="319">
        <v>44266</v>
      </c>
      <c r="B48" s="28">
        <v>0.08</v>
      </c>
      <c r="C48" s="29">
        <v>0.14000000000000001</v>
      </c>
      <c r="D48" s="29">
        <v>0.31</v>
      </c>
      <c r="E48" s="30">
        <v>0.5450282782848298</v>
      </c>
      <c r="F48" s="29">
        <v>0.78</v>
      </c>
      <c r="G48" s="159">
        <f t="shared" si="2"/>
        <v>0</v>
      </c>
      <c r="H48" s="154">
        <f t="shared" si="3"/>
        <v>-1.999999999999999E-4</v>
      </c>
      <c r="I48" s="154">
        <f t="shared" si="4"/>
        <v>-1.0000000000000009E-4</v>
      </c>
      <c r="J48" s="154">
        <f t="shared" si="5"/>
        <v>-1.527465649546944E-4</v>
      </c>
      <c r="K48" s="160">
        <f t="shared" si="6"/>
        <v>-2.0000000000000017E-4</v>
      </c>
      <c r="L48" s="161">
        <f t="shared" si="7"/>
        <v>0</v>
      </c>
      <c r="M48" s="155">
        <f t="shared" si="8"/>
        <v>-0.12499999999999989</v>
      </c>
      <c r="N48" s="155">
        <f t="shared" si="9"/>
        <v>-3.125E-2</v>
      </c>
      <c r="O48" s="155">
        <f t="shared" si="10"/>
        <v>-2.7261425110076898E-2</v>
      </c>
      <c r="P48" s="162">
        <f t="shared" si="11"/>
        <v>-2.5000000000000022E-2</v>
      </c>
    </row>
    <row r="49" spans="1:16">
      <c r="A49" s="319">
        <v>44267</v>
      </c>
      <c r="B49" s="28">
        <v>0.09</v>
      </c>
      <c r="C49" s="29">
        <v>0.14000000000000001</v>
      </c>
      <c r="D49" s="29">
        <v>0.34</v>
      </c>
      <c r="E49" s="30">
        <v>0.59518799726707583</v>
      </c>
      <c r="F49" s="29">
        <v>0.85</v>
      </c>
      <c r="G49" s="159">
        <f t="shared" si="2"/>
        <v>9.9999999999999951E-5</v>
      </c>
      <c r="H49" s="154">
        <f t="shared" si="3"/>
        <v>0</v>
      </c>
      <c r="I49" s="154">
        <f t="shared" si="4"/>
        <v>3.0000000000000024E-4</v>
      </c>
      <c r="J49" s="154">
        <f t="shared" si="5"/>
        <v>5.0159718982246027E-4</v>
      </c>
      <c r="K49" s="160">
        <f t="shared" si="6"/>
        <v>6.9999999999999956E-4</v>
      </c>
      <c r="L49" s="161">
        <f t="shared" si="7"/>
        <v>0.125</v>
      </c>
      <c r="M49" s="155">
        <f t="shared" si="8"/>
        <v>0</v>
      </c>
      <c r="N49" s="155">
        <f t="shared" si="9"/>
        <v>9.6774193548387233E-2</v>
      </c>
      <c r="O49" s="155">
        <f t="shared" si="10"/>
        <v>9.2031406407196981E-2</v>
      </c>
      <c r="P49" s="162">
        <f t="shared" si="11"/>
        <v>8.9743589743589647E-2</v>
      </c>
    </row>
    <row r="50" spans="1:16">
      <c r="A50" s="319">
        <v>44270</v>
      </c>
      <c r="B50" s="28">
        <v>0.08</v>
      </c>
      <c r="C50" s="29">
        <v>0.14000000000000001</v>
      </c>
      <c r="D50" s="29">
        <v>0.33</v>
      </c>
      <c r="E50" s="30">
        <v>0.58514200708193642</v>
      </c>
      <c r="F50" s="29">
        <v>0.84</v>
      </c>
      <c r="G50" s="159">
        <f t="shared" si="2"/>
        <v>-9.9999999999999951E-5</v>
      </c>
      <c r="H50" s="154">
        <f t="shared" si="3"/>
        <v>0</v>
      </c>
      <c r="I50" s="154">
        <f t="shared" si="4"/>
        <v>-1.0000000000000009E-4</v>
      </c>
      <c r="J50" s="154">
        <f t="shared" si="5"/>
        <v>-1.0045990185139408E-4</v>
      </c>
      <c r="K50" s="160">
        <f t="shared" si="6"/>
        <v>-1.0000000000000009E-4</v>
      </c>
      <c r="L50" s="161">
        <f t="shared" si="7"/>
        <v>-0.11111111111111105</v>
      </c>
      <c r="M50" s="155">
        <f t="shared" si="8"/>
        <v>0</v>
      </c>
      <c r="N50" s="155">
        <f t="shared" si="9"/>
        <v>-2.9411764705882359E-2</v>
      </c>
      <c r="O50" s="155">
        <f t="shared" si="10"/>
        <v>-1.6878684098583285E-2</v>
      </c>
      <c r="P50" s="162">
        <f t="shared" si="11"/>
        <v>-1.1764705882352899E-2</v>
      </c>
    </row>
    <row r="51" spans="1:16">
      <c r="A51" s="319">
        <v>44271</v>
      </c>
      <c r="B51" s="28">
        <v>7.0000000000000007E-2</v>
      </c>
      <c r="C51" s="29">
        <v>0.15</v>
      </c>
      <c r="D51" s="29">
        <v>0.33</v>
      </c>
      <c r="E51" s="30">
        <v>0.58011828926991482</v>
      </c>
      <c r="F51" s="29">
        <v>0.83</v>
      </c>
      <c r="G51" s="159">
        <f t="shared" si="2"/>
        <v>-9.9999999999999951E-5</v>
      </c>
      <c r="H51" s="154">
        <f t="shared" si="3"/>
        <v>9.9999999999999815E-5</v>
      </c>
      <c r="I51" s="154">
        <f t="shared" si="4"/>
        <v>0</v>
      </c>
      <c r="J51" s="154">
        <f t="shared" si="5"/>
        <v>-5.0237178120215999E-5</v>
      </c>
      <c r="K51" s="160">
        <f t="shared" si="6"/>
        <v>-1.0000000000000009E-4</v>
      </c>
      <c r="L51" s="161">
        <f t="shared" si="7"/>
        <v>-0.12499999999999989</v>
      </c>
      <c r="M51" s="155">
        <f t="shared" si="8"/>
        <v>7.1428571428571397E-2</v>
      </c>
      <c r="N51" s="155">
        <f t="shared" si="9"/>
        <v>0</v>
      </c>
      <c r="O51" s="155">
        <f t="shared" si="10"/>
        <v>-8.585467717613593E-3</v>
      </c>
      <c r="P51" s="162">
        <f t="shared" si="11"/>
        <v>-1.1904761904761862E-2</v>
      </c>
    </row>
    <row r="52" spans="1:16">
      <c r="A52" s="319">
        <v>44272</v>
      </c>
      <c r="B52" s="28">
        <v>7.0000000000000007E-2</v>
      </c>
      <c r="C52" s="29">
        <v>0.13</v>
      </c>
      <c r="D52" s="29">
        <v>0.28999999999999998</v>
      </c>
      <c r="E52" s="30">
        <v>0.54508118024096319</v>
      </c>
      <c r="F52" s="29">
        <v>0.8</v>
      </c>
      <c r="G52" s="159">
        <f t="shared" si="2"/>
        <v>0</v>
      </c>
      <c r="H52" s="154">
        <f t="shared" si="3"/>
        <v>-1.999999999999999E-4</v>
      </c>
      <c r="I52" s="154">
        <f t="shared" si="4"/>
        <v>-4.0000000000000034E-4</v>
      </c>
      <c r="J52" s="154">
        <f t="shared" si="5"/>
        <v>-3.503710902895163E-4</v>
      </c>
      <c r="K52" s="160">
        <f t="shared" si="6"/>
        <v>-2.9999999999999916E-4</v>
      </c>
      <c r="L52" s="161">
        <f t="shared" si="7"/>
        <v>0</v>
      </c>
      <c r="M52" s="155">
        <f t="shared" si="8"/>
        <v>-0.1333333333333333</v>
      </c>
      <c r="N52" s="155">
        <f t="shared" si="9"/>
        <v>-0.12121212121212133</v>
      </c>
      <c r="O52" s="155">
        <f t="shared" si="10"/>
        <v>-6.0396490986426632E-2</v>
      </c>
      <c r="P52" s="162">
        <f t="shared" si="11"/>
        <v>-3.6144578313252906E-2</v>
      </c>
    </row>
    <row r="53" spans="1:16">
      <c r="A53" s="319">
        <v>44273</v>
      </c>
      <c r="B53" s="28">
        <v>0.08</v>
      </c>
      <c r="C53" s="29">
        <v>0.16</v>
      </c>
      <c r="D53" s="29">
        <v>0.33</v>
      </c>
      <c r="E53" s="30">
        <v>0.5954562591698167</v>
      </c>
      <c r="F53" s="29">
        <v>0.86</v>
      </c>
      <c r="G53" s="159">
        <f t="shared" si="2"/>
        <v>9.9999999999999951E-5</v>
      </c>
      <c r="H53" s="154">
        <f t="shared" si="3"/>
        <v>2.9999999999999997E-4</v>
      </c>
      <c r="I53" s="154">
        <f t="shared" si="4"/>
        <v>4.0000000000000034E-4</v>
      </c>
      <c r="J53" s="154">
        <f t="shared" si="5"/>
        <v>5.037507892885351E-4</v>
      </c>
      <c r="K53" s="160">
        <f t="shared" si="6"/>
        <v>5.9999999999999941E-4</v>
      </c>
      <c r="L53" s="161">
        <f t="shared" si="7"/>
        <v>0.14285714285714279</v>
      </c>
      <c r="M53" s="155">
        <f t="shared" si="8"/>
        <v>0.23076923076923084</v>
      </c>
      <c r="N53" s="155">
        <f t="shared" si="9"/>
        <v>0.13793103448275867</v>
      </c>
      <c r="O53" s="155">
        <f t="shared" si="10"/>
        <v>9.2417571464463943E-2</v>
      </c>
      <c r="P53" s="162">
        <f t="shared" si="11"/>
        <v>7.4999999999999956E-2</v>
      </c>
    </row>
    <row r="54" spans="1:16">
      <c r="A54" s="319">
        <v>44274</v>
      </c>
      <c r="B54" s="28">
        <v>7.0000000000000007E-2</v>
      </c>
      <c r="C54" s="29">
        <v>0.16</v>
      </c>
      <c r="D54" s="29">
        <v>0.33</v>
      </c>
      <c r="E54" s="30">
        <v>0.61543154901397701</v>
      </c>
      <c r="F54" s="29">
        <v>0.9</v>
      </c>
      <c r="G54" s="159">
        <f t="shared" si="2"/>
        <v>-9.9999999999999951E-5</v>
      </c>
      <c r="H54" s="154">
        <f t="shared" si="3"/>
        <v>0</v>
      </c>
      <c r="I54" s="154">
        <f t="shared" si="4"/>
        <v>0</v>
      </c>
      <c r="J54" s="154">
        <f t="shared" si="5"/>
        <v>1.9975289844160305E-4</v>
      </c>
      <c r="K54" s="160">
        <f t="shared" si="6"/>
        <v>4.0000000000000034E-4</v>
      </c>
      <c r="L54" s="161">
        <f t="shared" si="7"/>
        <v>-0.12499999999999989</v>
      </c>
      <c r="M54" s="155">
        <f t="shared" si="8"/>
        <v>0</v>
      </c>
      <c r="N54" s="155">
        <f t="shared" si="9"/>
        <v>0</v>
      </c>
      <c r="O54" s="155">
        <f t="shared" si="10"/>
        <v>3.3546191742126918E-2</v>
      </c>
      <c r="P54" s="162">
        <f t="shared" si="11"/>
        <v>4.6511627906976827E-2</v>
      </c>
    </row>
    <row r="55" spans="1:16">
      <c r="A55" s="319">
        <v>44277</v>
      </c>
      <c r="B55" s="28">
        <v>0.06</v>
      </c>
      <c r="C55" s="29">
        <v>0.15</v>
      </c>
      <c r="D55" s="29">
        <v>0.32</v>
      </c>
      <c r="E55" s="30">
        <v>0.59502036672516123</v>
      </c>
      <c r="F55" s="29">
        <v>0.87</v>
      </c>
      <c r="G55" s="159">
        <f t="shared" si="2"/>
        <v>-1.0000000000000009E-4</v>
      </c>
      <c r="H55" s="154">
        <f t="shared" si="3"/>
        <v>-1.0000000000000009E-4</v>
      </c>
      <c r="I55" s="154">
        <f t="shared" si="4"/>
        <v>-1.0000000000000009E-4</v>
      </c>
      <c r="J55" s="154">
        <f t="shared" si="5"/>
        <v>-2.0411182288815777E-4</v>
      </c>
      <c r="K55" s="160">
        <f t="shared" si="6"/>
        <v>-3.0000000000000024E-4</v>
      </c>
      <c r="L55" s="161">
        <f t="shared" si="7"/>
        <v>-0.14285714285714302</v>
      </c>
      <c r="M55" s="155">
        <f t="shared" si="8"/>
        <v>-6.25E-2</v>
      </c>
      <c r="N55" s="155">
        <f t="shared" si="9"/>
        <v>-3.0303030303030276E-2</v>
      </c>
      <c r="O55" s="155">
        <f t="shared" si="10"/>
        <v>-3.3165641770425802E-2</v>
      </c>
      <c r="P55" s="162">
        <f t="shared" si="11"/>
        <v>-3.3333333333333326E-2</v>
      </c>
    </row>
    <row r="56" spans="1:16">
      <c r="A56" s="319">
        <v>44278</v>
      </c>
      <c r="B56" s="28">
        <v>0.08</v>
      </c>
      <c r="C56" s="29">
        <v>0.15</v>
      </c>
      <c r="D56" s="29">
        <v>0.31</v>
      </c>
      <c r="E56" s="30">
        <v>0.57025640141372413</v>
      </c>
      <c r="F56" s="29">
        <v>0.83</v>
      </c>
      <c r="G56" s="159">
        <f t="shared" si="2"/>
        <v>2.0000000000000004E-4</v>
      </c>
      <c r="H56" s="154">
        <f t="shared" si="3"/>
        <v>0</v>
      </c>
      <c r="I56" s="154">
        <f t="shared" si="4"/>
        <v>-1.0000000000000009E-4</v>
      </c>
      <c r="J56" s="154">
        <f t="shared" si="5"/>
        <v>-2.4763965311437098E-4</v>
      </c>
      <c r="K56" s="160">
        <f t="shared" si="6"/>
        <v>-4.0000000000000034E-4</v>
      </c>
      <c r="L56" s="161">
        <f t="shared" si="7"/>
        <v>0.33333333333333348</v>
      </c>
      <c r="M56" s="155">
        <f t="shared" si="8"/>
        <v>0</v>
      </c>
      <c r="N56" s="155">
        <f t="shared" si="9"/>
        <v>-3.125E-2</v>
      </c>
      <c r="O56" s="155">
        <f t="shared" si="10"/>
        <v>-4.1618685168260061E-2</v>
      </c>
      <c r="P56" s="162">
        <f t="shared" si="11"/>
        <v>-4.5977011494252928E-2</v>
      </c>
    </row>
    <row r="57" spans="1:16">
      <c r="A57" s="319">
        <v>44279</v>
      </c>
      <c r="B57" s="28">
        <v>7.0000000000000007E-2</v>
      </c>
      <c r="C57" s="29">
        <v>0.14000000000000001</v>
      </c>
      <c r="D57" s="29">
        <v>0.31</v>
      </c>
      <c r="E57" s="30">
        <v>0.57036423433508743</v>
      </c>
      <c r="F57" s="29">
        <v>0.83</v>
      </c>
      <c r="G57" s="159">
        <f t="shared" si="2"/>
        <v>-9.9999999999999951E-5</v>
      </c>
      <c r="H57" s="154">
        <f t="shared" si="3"/>
        <v>-9.9999999999999815E-5</v>
      </c>
      <c r="I57" s="154">
        <f t="shared" si="4"/>
        <v>0</v>
      </c>
      <c r="J57" s="154">
        <f t="shared" si="5"/>
        <v>1.0783292136329336E-6</v>
      </c>
      <c r="K57" s="160">
        <f t="shared" si="6"/>
        <v>0</v>
      </c>
      <c r="L57" s="161">
        <f t="shared" si="7"/>
        <v>-0.12499999999999989</v>
      </c>
      <c r="M57" s="155">
        <f t="shared" si="8"/>
        <v>-6.6666666666666541E-2</v>
      </c>
      <c r="N57" s="155">
        <f t="shared" si="9"/>
        <v>0</v>
      </c>
      <c r="O57" s="155">
        <f t="shared" si="10"/>
        <v>1.8909550352441684E-4</v>
      </c>
      <c r="P57" s="162">
        <f t="shared" si="11"/>
        <v>0</v>
      </c>
    </row>
    <row r="58" spans="1:16">
      <c r="A58" s="319">
        <v>44280</v>
      </c>
      <c r="B58" s="28">
        <v>7.0000000000000007E-2</v>
      </c>
      <c r="C58" s="29">
        <v>0.14000000000000001</v>
      </c>
      <c r="D58" s="29">
        <v>0.3</v>
      </c>
      <c r="E58" s="30">
        <v>0.56047035518406174</v>
      </c>
      <c r="F58" s="29">
        <v>0.82</v>
      </c>
      <c r="G58" s="159">
        <f t="shared" si="2"/>
        <v>0</v>
      </c>
      <c r="H58" s="154">
        <f t="shared" si="3"/>
        <v>0</v>
      </c>
      <c r="I58" s="154">
        <f t="shared" si="4"/>
        <v>-1.0000000000000009E-4</v>
      </c>
      <c r="J58" s="154">
        <f t="shared" si="5"/>
        <v>-9.8938791510256866E-5</v>
      </c>
      <c r="K58" s="160">
        <f t="shared" si="6"/>
        <v>-1.0000000000000009E-4</v>
      </c>
      <c r="L58" s="161">
        <f t="shared" si="7"/>
        <v>0</v>
      </c>
      <c r="M58" s="155">
        <f t="shared" si="8"/>
        <v>0</v>
      </c>
      <c r="N58" s="155">
        <f t="shared" si="9"/>
        <v>-3.2258064516129115E-2</v>
      </c>
      <c r="O58" s="155">
        <f t="shared" si="10"/>
        <v>-1.7346598112975453E-2</v>
      </c>
      <c r="P58" s="162">
        <f t="shared" si="11"/>
        <v>-1.2048192771084376E-2</v>
      </c>
    </row>
    <row r="59" spans="1:16">
      <c r="A59" s="319">
        <v>44281</v>
      </c>
      <c r="B59" s="28">
        <v>0.06</v>
      </c>
      <c r="C59" s="29">
        <v>0.14000000000000001</v>
      </c>
      <c r="D59" s="29">
        <v>0.31</v>
      </c>
      <c r="E59" s="30">
        <v>0.58002596170512633</v>
      </c>
      <c r="F59" s="29">
        <v>0.85</v>
      </c>
      <c r="G59" s="159">
        <f t="shared" si="2"/>
        <v>-1.0000000000000009E-4</v>
      </c>
      <c r="H59" s="154">
        <f t="shared" si="3"/>
        <v>0</v>
      </c>
      <c r="I59" s="154">
        <f t="shared" si="4"/>
        <v>1.0000000000000009E-4</v>
      </c>
      <c r="J59" s="154">
        <f t="shared" si="5"/>
        <v>1.9555606521064583E-4</v>
      </c>
      <c r="K59" s="160">
        <f t="shared" si="6"/>
        <v>3.0000000000000024E-4</v>
      </c>
      <c r="L59" s="161">
        <f t="shared" si="7"/>
        <v>-0.14285714285714302</v>
      </c>
      <c r="M59" s="155">
        <f t="shared" si="8"/>
        <v>0</v>
      </c>
      <c r="N59" s="155">
        <f t="shared" si="9"/>
        <v>3.3333333333333437E-2</v>
      </c>
      <c r="O59" s="155">
        <f t="shared" si="10"/>
        <v>3.4891419930037859E-2</v>
      </c>
      <c r="P59" s="162">
        <f t="shared" si="11"/>
        <v>3.6585365853658569E-2</v>
      </c>
    </row>
    <row r="60" spans="1:16">
      <c r="A60" s="319">
        <v>44284</v>
      </c>
      <c r="B60" s="28">
        <v>0.06</v>
      </c>
      <c r="C60" s="29">
        <v>0.14000000000000001</v>
      </c>
      <c r="D60" s="29">
        <v>0.32</v>
      </c>
      <c r="E60" s="30">
        <v>0.60549405486833052</v>
      </c>
      <c r="F60" s="29">
        <v>0.89</v>
      </c>
      <c r="G60" s="159">
        <f t="shared" si="2"/>
        <v>0</v>
      </c>
      <c r="H60" s="154">
        <f t="shared" si="3"/>
        <v>0</v>
      </c>
      <c r="I60" s="154">
        <f t="shared" si="4"/>
        <v>1.0000000000000009E-4</v>
      </c>
      <c r="J60" s="154">
        <f t="shared" si="5"/>
        <v>2.5468093163204199E-4</v>
      </c>
      <c r="K60" s="160">
        <f t="shared" si="6"/>
        <v>4.0000000000000034E-4</v>
      </c>
      <c r="L60" s="161">
        <f t="shared" si="7"/>
        <v>0</v>
      </c>
      <c r="M60" s="155">
        <f t="shared" si="8"/>
        <v>0</v>
      </c>
      <c r="N60" s="155">
        <f t="shared" si="9"/>
        <v>3.2258064516129004E-2</v>
      </c>
      <c r="O60" s="155">
        <f t="shared" si="10"/>
        <v>4.3908540039026223E-2</v>
      </c>
      <c r="P60" s="162">
        <f t="shared" si="11"/>
        <v>4.705882352941182E-2</v>
      </c>
    </row>
    <row r="61" spans="1:16">
      <c r="A61" s="319">
        <v>44285</v>
      </c>
      <c r="B61" s="28">
        <v>0.06</v>
      </c>
      <c r="C61" s="29">
        <v>0.16</v>
      </c>
      <c r="D61" s="29">
        <v>0.33</v>
      </c>
      <c r="E61" s="30">
        <v>0.61520567161519546</v>
      </c>
      <c r="F61" s="29">
        <v>0.9</v>
      </c>
      <c r="G61" s="159">
        <f t="shared" si="2"/>
        <v>0</v>
      </c>
      <c r="H61" s="154">
        <f t="shared" si="3"/>
        <v>1.999999999999999E-4</v>
      </c>
      <c r="I61" s="154">
        <f t="shared" si="4"/>
        <v>1.0000000000000009E-4</v>
      </c>
      <c r="J61" s="154">
        <f t="shared" si="5"/>
        <v>9.7116167468649377E-5</v>
      </c>
      <c r="K61" s="160">
        <f t="shared" si="6"/>
        <v>1.0000000000000009E-4</v>
      </c>
      <c r="L61" s="161">
        <f t="shared" si="7"/>
        <v>0</v>
      </c>
      <c r="M61" s="155">
        <f t="shared" si="8"/>
        <v>0.14285714285714279</v>
      </c>
      <c r="N61" s="155">
        <f t="shared" si="9"/>
        <v>3.125E-2</v>
      </c>
      <c r="O61" s="155">
        <f t="shared" si="10"/>
        <v>1.6039161192056284E-2</v>
      </c>
      <c r="P61" s="162">
        <f t="shared" si="11"/>
        <v>1.1235955056179803E-2</v>
      </c>
    </row>
    <row r="62" spans="1:16">
      <c r="A62" s="319">
        <v>44286</v>
      </c>
      <c r="B62" s="28">
        <v>7.0000000000000007E-2</v>
      </c>
      <c r="C62" s="29">
        <v>0.16</v>
      </c>
      <c r="D62" s="29">
        <v>0.35</v>
      </c>
      <c r="E62" s="30">
        <v>0.63536262062985049</v>
      </c>
      <c r="F62" s="29">
        <v>0.92</v>
      </c>
      <c r="G62" s="159">
        <f t="shared" si="2"/>
        <v>1.0000000000000009E-4</v>
      </c>
      <c r="H62" s="154">
        <f t="shared" si="3"/>
        <v>0</v>
      </c>
      <c r="I62" s="154">
        <f t="shared" si="4"/>
        <v>1.9999999999999963E-4</v>
      </c>
      <c r="J62" s="154">
        <f t="shared" si="5"/>
        <v>2.0156949014655035E-4</v>
      </c>
      <c r="K62" s="160">
        <f t="shared" si="6"/>
        <v>2.0000000000000017E-4</v>
      </c>
      <c r="L62" s="161">
        <f t="shared" si="7"/>
        <v>0.16666666666666674</v>
      </c>
      <c r="M62" s="155">
        <f t="shared" si="8"/>
        <v>0</v>
      </c>
      <c r="N62" s="155">
        <f t="shared" si="9"/>
        <v>6.0606060606060552E-2</v>
      </c>
      <c r="O62" s="155">
        <f t="shared" si="10"/>
        <v>3.2764569549129652E-2</v>
      </c>
      <c r="P62" s="162">
        <f t="shared" si="11"/>
        <v>2.2222222222222143E-2</v>
      </c>
    </row>
    <row r="63" spans="1:16">
      <c r="A63" s="319">
        <v>44287</v>
      </c>
      <c r="B63" s="28">
        <v>0.06</v>
      </c>
      <c r="C63" s="29">
        <v>0.17</v>
      </c>
      <c r="D63" s="29">
        <v>0.35</v>
      </c>
      <c r="E63" s="30">
        <v>0.62538728907975916</v>
      </c>
      <c r="F63" s="29">
        <v>0.9</v>
      </c>
      <c r="G63" s="159">
        <f t="shared" si="2"/>
        <v>-1.0000000000000009E-4</v>
      </c>
      <c r="H63" s="154">
        <f t="shared" si="3"/>
        <v>1.0000000000000009E-4</v>
      </c>
      <c r="I63" s="154">
        <f t="shared" si="4"/>
        <v>0</v>
      </c>
      <c r="J63" s="154">
        <f t="shared" si="5"/>
        <v>-9.9753315500913378E-5</v>
      </c>
      <c r="K63" s="160">
        <f t="shared" si="6"/>
        <v>-2.0000000000000017E-4</v>
      </c>
      <c r="L63" s="161">
        <f t="shared" si="7"/>
        <v>-0.14285714285714302</v>
      </c>
      <c r="M63" s="155">
        <f t="shared" si="8"/>
        <v>6.25E-2</v>
      </c>
      <c r="N63" s="155">
        <f t="shared" si="9"/>
        <v>0</v>
      </c>
      <c r="O63" s="155">
        <f t="shared" si="10"/>
        <v>-1.570021783812614E-2</v>
      </c>
      <c r="P63" s="162">
        <f t="shared" si="11"/>
        <v>-2.1739130434782594E-2</v>
      </c>
    </row>
    <row r="64" spans="1:16">
      <c r="A64" s="319">
        <v>44288</v>
      </c>
      <c r="B64" s="28">
        <v>7.0000000000000007E-2</v>
      </c>
      <c r="C64" s="29">
        <v>0.19</v>
      </c>
      <c r="D64" s="29">
        <v>0.39</v>
      </c>
      <c r="E64" s="30">
        <v>0.68004749795212982</v>
      </c>
      <c r="F64" s="29">
        <v>0.97</v>
      </c>
      <c r="G64" s="159">
        <f t="shared" si="2"/>
        <v>1.0000000000000009E-4</v>
      </c>
      <c r="H64" s="154">
        <f t="shared" si="3"/>
        <v>1.999999999999999E-4</v>
      </c>
      <c r="I64" s="154">
        <f t="shared" si="4"/>
        <v>4.0000000000000034E-4</v>
      </c>
      <c r="J64" s="154">
        <f t="shared" si="5"/>
        <v>5.4660208872370664E-4</v>
      </c>
      <c r="K64" s="160">
        <f t="shared" si="6"/>
        <v>6.9999999999999956E-4</v>
      </c>
      <c r="L64" s="161">
        <f t="shared" si="7"/>
        <v>0.16666666666666674</v>
      </c>
      <c r="M64" s="155">
        <f t="shared" si="8"/>
        <v>0.11764705882352944</v>
      </c>
      <c r="N64" s="155">
        <f t="shared" si="9"/>
        <v>0.11428571428571432</v>
      </c>
      <c r="O64" s="155">
        <f t="shared" si="10"/>
        <v>8.7402174343520267E-2</v>
      </c>
      <c r="P64" s="162">
        <f t="shared" si="11"/>
        <v>7.7777777777777724E-2</v>
      </c>
    </row>
    <row r="65" spans="1:16">
      <c r="A65" s="319">
        <v>44291</v>
      </c>
      <c r="B65" s="28">
        <v>0.06</v>
      </c>
      <c r="C65" s="29">
        <v>0.17</v>
      </c>
      <c r="D65" s="29">
        <v>0.37</v>
      </c>
      <c r="E65" s="30">
        <v>0.65537488422176704</v>
      </c>
      <c r="F65" s="29">
        <v>0.94</v>
      </c>
      <c r="G65" s="159">
        <f t="shared" si="2"/>
        <v>-1.0000000000000009E-4</v>
      </c>
      <c r="H65" s="154">
        <f t="shared" si="3"/>
        <v>-1.999999999999999E-4</v>
      </c>
      <c r="I65" s="154">
        <f t="shared" si="4"/>
        <v>-2.0000000000000017E-4</v>
      </c>
      <c r="J65" s="154">
        <f t="shared" si="5"/>
        <v>-2.4672613730362779E-4</v>
      </c>
      <c r="K65" s="160">
        <f t="shared" si="6"/>
        <v>-3.0000000000000024E-4</v>
      </c>
      <c r="L65" s="161">
        <f t="shared" si="7"/>
        <v>-0.14285714285714302</v>
      </c>
      <c r="M65" s="155">
        <f t="shared" si="8"/>
        <v>-0.10526315789473684</v>
      </c>
      <c r="N65" s="155">
        <f t="shared" si="9"/>
        <v>-5.1282051282051322E-2</v>
      </c>
      <c r="O65" s="155">
        <f t="shared" si="10"/>
        <v>-3.6280721280000261E-2</v>
      </c>
      <c r="P65" s="162">
        <f t="shared" si="11"/>
        <v>-3.0927835051546393E-2</v>
      </c>
    </row>
    <row r="66" spans="1:16">
      <c r="A66" s="319">
        <v>44292</v>
      </c>
      <c r="B66" s="28">
        <v>0.06</v>
      </c>
      <c r="C66" s="29">
        <v>0.16</v>
      </c>
      <c r="D66" s="29">
        <v>0.35</v>
      </c>
      <c r="E66" s="30">
        <v>0.61521640494628282</v>
      </c>
      <c r="F66" s="29">
        <v>0.88</v>
      </c>
      <c r="G66" s="159">
        <f t="shared" si="2"/>
        <v>0</v>
      </c>
      <c r="H66" s="154">
        <f t="shared" si="3"/>
        <v>-1.0000000000000009E-4</v>
      </c>
      <c r="I66" s="154">
        <f t="shared" si="4"/>
        <v>-2.0000000000000017E-4</v>
      </c>
      <c r="J66" s="154">
        <f t="shared" si="5"/>
        <v>-4.0158479275484215E-4</v>
      </c>
      <c r="K66" s="160">
        <f t="shared" si="6"/>
        <v>-5.9999999999999941E-4</v>
      </c>
      <c r="L66" s="161">
        <f t="shared" si="7"/>
        <v>0</v>
      </c>
      <c r="M66" s="155">
        <f t="shared" si="8"/>
        <v>-5.8823529411764719E-2</v>
      </c>
      <c r="N66" s="155">
        <f t="shared" si="9"/>
        <v>-5.4054054054054057E-2</v>
      </c>
      <c r="O66" s="155">
        <f t="shared" si="10"/>
        <v>-6.127558477186823E-2</v>
      </c>
      <c r="P66" s="162">
        <f t="shared" si="11"/>
        <v>-6.3829787234042534E-2</v>
      </c>
    </row>
    <row r="67" spans="1:16">
      <c r="A67" s="319">
        <v>44293</v>
      </c>
      <c r="B67" s="28">
        <v>0.06</v>
      </c>
      <c r="C67" s="29">
        <v>0.16</v>
      </c>
      <c r="D67" s="29">
        <v>0.34</v>
      </c>
      <c r="E67" s="30">
        <v>0.60541616031616274</v>
      </c>
      <c r="F67" s="29">
        <v>0.87</v>
      </c>
      <c r="G67" s="159">
        <f t="shared" si="2"/>
        <v>0</v>
      </c>
      <c r="H67" s="154">
        <f t="shared" si="3"/>
        <v>0</v>
      </c>
      <c r="I67" s="154">
        <f t="shared" si="4"/>
        <v>-9.999999999999953E-5</v>
      </c>
      <c r="J67" s="154">
        <f t="shared" si="5"/>
        <v>-9.8002446301200804E-5</v>
      </c>
      <c r="K67" s="160">
        <f t="shared" si="6"/>
        <v>-1.0000000000000009E-4</v>
      </c>
      <c r="L67" s="161">
        <f t="shared" si="7"/>
        <v>0</v>
      </c>
      <c r="M67" s="155">
        <f t="shared" si="8"/>
        <v>0</v>
      </c>
      <c r="N67" s="155">
        <f t="shared" si="9"/>
        <v>-2.857142857142847E-2</v>
      </c>
      <c r="O67" s="155">
        <f t="shared" si="10"/>
        <v>-1.5929751793559155E-2</v>
      </c>
      <c r="P67" s="162">
        <f t="shared" si="11"/>
        <v>-1.1363636363636354E-2</v>
      </c>
    </row>
    <row r="68" spans="1:16">
      <c r="A68" s="319">
        <v>44294</v>
      </c>
      <c r="B68" s="28">
        <v>0.05</v>
      </c>
      <c r="C68" s="29">
        <v>0.14000000000000001</v>
      </c>
      <c r="D68" s="29">
        <v>0.33</v>
      </c>
      <c r="E68" s="30">
        <v>0.59035133260649997</v>
      </c>
      <c r="F68" s="29">
        <v>0.85</v>
      </c>
      <c r="G68" s="159">
        <f t="shared" ref="G68:G131" si="12">(B68-B67)/100</f>
        <v>-9.9999999999999951E-5</v>
      </c>
      <c r="H68" s="154">
        <f t="shared" ref="H68:H131" si="13">(C68-C67)/100</f>
        <v>-1.999999999999999E-4</v>
      </c>
      <c r="I68" s="154">
        <f t="shared" ref="I68:I131" si="14">(D68-D67)/100</f>
        <v>-1.0000000000000009E-4</v>
      </c>
      <c r="J68" s="154">
        <f t="shared" ref="J68:J131" si="15">(E68-E67)/100</f>
        <v>-1.5064827709662776E-4</v>
      </c>
      <c r="K68" s="160">
        <f t="shared" ref="K68:K131" si="16">(F68-F67)/100</f>
        <v>-2.0000000000000017E-4</v>
      </c>
      <c r="L68" s="161">
        <f t="shared" ref="L68:L131" si="17">(B68/B67)-1</f>
        <v>-0.16666666666666663</v>
      </c>
      <c r="M68" s="155">
        <f t="shared" ref="M68:M131" si="18">(C68/C67)-1</f>
        <v>-0.12499999999999989</v>
      </c>
      <c r="N68" s="155">
        <f t="shared" ref="N68:N131" si="19">(D68/D67)-1</f>
        <v>-2.9411764705882359E-2</v>
      </c>
      <c r="O68" s="155">
        <f t="shared" ref="O68:O131" si="20">(E68/E67)-1</f>
        <v>-2.4883425149727745E-2</v>
      </c>
      <c r="P68" s="162">
        <f t="shared" ref="P68:P131" si="21">(F68/F67)-1</f>
        <v>-2.2988505747126409E-2</v>
      </c>
    </row>
    <row r="69" spans="1:16">
      <c r="A69" s="319">
        <v>44295</v>
      </c>
      <c r="B69" s="28">
        <v>0.06</v>
      </c>
      <c r="C69" s="29">
        <v>0.16</v>
      </c>
      <c r="D69" s="29">
        <v>0.35</v>
      </c>
      <c r="E69" s="30">
        <v>0.61035179640523518</v>
      </c>
      <c r="F69" s="29">
        <v>0.87</v>
      </c>
      <c r="G69" s="159">
        <f t="shared" si="12"/>
        <v>9.9999999999999951E-5</v>
      </c>
      <c r="H69" s="154">
        <f t="shared" si="13"/>
        <v>1.999999999999999E-4</v>
      </c>
      <c r="I69" s="154">
        <f t="shared" si="14"/>
        <v>1.9999999999999963E-4</v>
      </c>
      <c r="J69" s="154">
        <f t="shared" si="15"/>
        <v>2.0000463798735212E-4</v>
      </c>
      <c r="K69" s="160">
        <f t="shared" si="16"/>
        <v>2.0000000000000017E-4</v>
      </c>
      <c r="L69" s="161">
        <f t="shared" si="17"/>
        <v>0.19999999999999996</v>
      </c>
      <c r="M69" s="155">
        <f t="shared" si="18"/>
        <v>0.14285714285714279</v>
      </c>
      <c r="N69" s="155">
        <f t="shared" si="19"/>
        <v>6.0606060606060552E-2</v>
      </c>
      <c r="O69" s="155">
        <f t="shared" si="20"/>
        <v>3.3878917000881081E-2</v>
      </c>
      <c r="P69" s="162">
        <f t="shared" si="21"/>
        <v>2.3529411764705799E-2</v>
      </c>
    </row>
    <row r="70" spans="1:16">
      <c r="A70" s="319">
        <v>44298</v>
      </c>
      <c r="B70" s="28">
        <v>0.06</v>
      </c>
      <c r="C70" s="29">
        <v>0.18</v>
      </c>
      <c r="D70" s="29">
        <v>0.38</v>
      </c>
      <c r="E70" s="30">
        <v>0.63511999930040064</v>
      </c>
      <c r="F70" s="29">
        <v>0.89</v>
      </c>
      <c r="G70" s="159">
        <f t="shared" si="12"/>
        <v>0</v>
      </c>
      <c r="H70" s="154">
        <f t="shared" si="13"/>
        <v>1.999999999999999E-4</v>
      </c>
      <c r="I70" s="154">
        <f t="shared" si="14"/>
        <v>3.0000000000000024E-4</v>
      </c>
      <c r="J70" s="154">
        <f t="shared" si="15"/>
        <v>2.476820289516546E-4</v>
      </c>
      <c r="K70" s="160">
        <f t="shared" si="16"/>
        <v>2.0000000000000017E-4</v>
      </c>
      <c r="L70" s="161">
        <f t="shared" si="17"/>
        <v>0</v>
      </c>
      <c r="M70" s="155">
        <f t="shared" si="18"/>
        <v>0.125</v>
      </c>
      <c r="N70" s="155">
        <f t="shared" si="19"/>
        <v>8.5714285714285854E-2</v>
      </c>
      <c r="O70" s="155">
        <f t="shared" si="20"/>
        <v>4.0580208071872237E-2</v>
      </c>
      <c r="P70" s="162">
        <f t="shared" si="21"/>
        <v>2.2988505747126409E-2</v>
      </c>
    </row>
    <row r="71" spans="1:16">
      <c r="A71" s="319">
        <v>44299</v>
      </c>
      <c r="B71" s="28">
        <v>0.06</v>
      </c>
      <c r="C71" s="29">
        <v>0.16</v>
      </c>
      <c r="D71" s="29">
        <v>0.35</v>
      </c>
      <c r="E71" s="30">
        <v>0.60016405943225515</v>
      </c>
      <c r="F71" s="29">
        <v>0.85</v>
      </c>
      <c r="G71" s="159">
        <f t="shared" si="12"/>
        <v>0</v>
      </c>
      <c r="H71" s="154">
        <f t="shared" si="13"/>
        <v>-1.999999999999999E-4</v>
      </c>
      <c r="I71" s="154">
        <f t="shared" si="14"/>
        <v>-3.0000000000000024E-4</v>
      </c>
      <c r="J71" s="154">
        <f t="shared" si="15"/>
        <v>-3.4955939868145492E-4</v>
      </c>
      <c r="K71" s="160">
        <f t="shared" si="16"/>
        <v>-4.0000000000000034E-4</v>
      </c>
      <c r="L71" s="161">
        <f t="shared" si="17"/>
        <v>0</v>
      </c>
      <c r="M71" s="155">
        <f t="shared" si="18"/>
        <v>-0.11111111111111105</v>
      </c>
      <c r="N71" s="155">
        <f t="shared" si="19"/>
        <v>-7.8947368421052655E-2</v>
      </c>
      <c r="O71" s="155">
        <f t="shared" si="20"/>
        <v>-5.5038323319451909E-2</v>
      </c>
      <c r="P71" s="162">
        <f t="shared" si="21"/>
        <v>-4.49438202247191E-2</v>
      </c>
    </row>
    <row r="72" spans="1:16">
      <c r="A72" s="319">
        <v>44300</v>
      </c>
      <c r="B72" s="28">
        <v>0.06</v>
      </c>
      <c r="C72" s="29">
        <v>0.16</v>
      </c>
      <c r="D72" s="29">
        <v>0.35</v>
      </c>
      <c r="E72" s="30">
        <v>0.610104232849914</v>
      </c>
      <c r="F72" s="29">
        <v>0.87</v>
      </c>
      <c r="G72" s="159">
        <f t="shared" si="12"/>
        <v>0</v>
      </c>
      <c r="H72" s="154">
        <f t="shared" si="13"/>
        <v>0</v>
      </c>
      <c r="I72" s="154">
        <f t="shared" si="14"/>
        <v>0</v>
      </c>
      <c r="J72" s="154">
        <f t="shared" si="15"/>
        <v>9.9401734176588481E-5</v>
      </c>
      <c r="K72" s="160">
        <f t="shared" si="16"/>
        <v>2.0000000000000017E-4</v>
      </c>
      <c r="L72" s="161">
        <f t="shared" si="17"/>
        <v>0</v>
      </c>
      <c r="M72" s="155">
        <f t="shared" si="18"/>
        <v>0</v>
      </c>
      <c r="N72" s="155">
        <f t="shared" si="19"/>
        <v>0</v>
      </c>
      <c r="O72" s="155">
        <f t="shared" si="20"/>
        <v>1.6562426992149604E-2</v>
      </c>
      <c r="P72" s="162">
        <f t="shared" si="21"/>
        <v>2.3529411764705799E-2</v>
      </c>
    </row>
    <row r="73" spans="1:16">
      <c r="A73" s="319">
        <v>44301</v>
      </c>
      <c r="B73" s="28">
        <v>0.06</v>
      </c>
      <c r="C73" s="29">
        <v>0.16</v>
      </c>
      <c r="D73" s="29">
        <v>0.32</v>
      </c>
      <c r="E73" s="30">
        <v>0.5651863218876414</v>
      </c>
      <c r="F73" s="29">
        <v>0.81</v>
      </c>
      <c r="G73" s="159">
        <f t="shared" si="12"/>
        <v>0</v>
      </c>
      <c r="H73" s="154">
        <f t="shared" si="13"/>
        <v>0</v>
      </c>
      <c r="I73" s="154">
        <f t="shared" si="14"/>
        <v>-2.999999999999997E-4</v>
      </c>
      <c r="J73" s="154">
        <f t="shared" si="15"/>
        <v>-4.4917910962272601E-4</v>
      </c>
      <c r="K73" s="160">
        <f t="shared" si="16"/>
        <v>-5.9999999999999941E-4</v>
      </c>
      <c r="L73" s="161">
        <f t="shared" si="17"/>
        <v>0</v>
      </c>
      <c r="M73" s="155">
        <f t="shared" si="18"/>
        <v>0</v>
      </c>
      <c r="N73" s="155">
        <f t="shared" si="19"/>
        <v>-8.5714285714285632E-2</v>
      </c>
      <c r="O73" s="155">
        <f t="shared" si="20"/>
        <v>-7.3623339330809778E-2</v>
      </c>
      <c r="P73" s="162">
        <f t="shared" si="21"/>
        <v>-6.8965517241379226E-2</v>
      </c>
    </row>
    <row r="74" spans="1:16">
      <c r="A74" s="319">
        <v>44302</v>
      </c>
      <c r="B74" s="28">
        <v>0.06</v>
      </c>
      <c r="C74" s="29">
        <v>0.16</v>
      </c>
      <c r="D74" s="29">
        <v>0.34</v>
      </c>
      <c r="E74" s="30">
        <v>0.59042095308389686</v>
      </c>
      <c r="F74" s="29">
        <v>0.84</v>
      </c>
      <c r="G74" s="159">
        <f t="shared" si="12"/>
        <v>0</v>
      </c>
      <c r="H74" s="154">
        <f t="shared" si="13"/>
        <v>0</v>
      </c>
      <c r="I74" s="154">
        <f t="shared" si="14"/>
        <v>2.0000000000000017E-4</v>
      </c>
      <c r="J74" s="154">
        <f t="shared" si="15"/>
        <v>2.5234631196255461E-4</v>
      </c>
      <c r="K74" s="160">
        <f t="shared" si="16"/>
        <v>2.9999999999999916E-4</v>
      </c>
      <c r="L74" s="161">
        <f t="shared" si="17"/>
        <v>0</v>
      </c>
      <c r="M74" s="155">
        <f t="shared" si="18"/>
        <v>0</v>
      </c>
      <c r="N74" s="155">
        <f t="shared" si="19"/>
        <v>6.25E-2</v>
      </c>
      <c r="O74" s="155">
        <f t="shared" si="20"/>
        <v>4.464834023579245E-2</v>
      </c>
      <c r="P74" s="162">
        <f t="shared" si="21"/>
        <v>3.7037037037036979E-2</v>
      </c>
    </row>
    <row r="75" spans="1:16">
      <c r="A75" s="319">
        <v>44305</v>
      </c>
      <c r="B75" s="28">
        <v>0.08</v>
      </c>
      <c r="C75" s="29">
        <v>0.16</v>
      </c>
      <c r="D75" s="29">
        <v>0.34</v>
      </c>
      <c r="E75" s="30">
        <v>0.59536171758966816</v>
      </c>
      <c r="F75" s="29">
        <v>0.85</v>
      </c>
      <c r="G75" s="159">
        <f t="shared" si="12"/>
        <v>2.0000000000000004E-4</v>
      </c>
      <c r="H75" s="154">
        <f t="shared" si="13"/>
        <v>0</v>
      </c>
      <c r="I75" s="154">
        <f t="shared" si="14"/>
        <v>0</v>
      </c>
      <c r="J75" s="154">
        <f t="shared" si="15"/>
        <v>4.9407645057713004E-5</v>
      </c>
      <c r="K75" s="160">
        <f t="shared" si="16"/>
        <v>1.0000000000000009E-4</v>
      </c>
      <c r="L75" s="161">
        <f t="shared" si="17"/>
        <v>0.33333333333333348</v>
      </c>
      <c r="M75" s="155">
        <f t="shared" si="18"/>
        <v>0</v>
      </c>
      <c r="N75" s="155">
        <f t="shared" si="19"/>
        <v>0</v>
      </c>
      <c r="O75" s="155">
        <f t="shared" si="20"/>
        <v>8.368206582040516E-3</v>
      </c>
      <c r="P75" s="162">
        <f t="shared" si="21"/>
        <v>1.1904761904761862E-2</v>
      </c>
    </row>
    <row r="76" spans="1:16">
      <c r="A76" s="319">
        <v>44306</v>
      </c>
      <c r="B76" s="28">
        <v>7.0000000000000007E-2</v>
      </c>
      <c r="C76" s="29">
        <v>0.15</v>
      </c>
      <c r="D76" s="29">
        <v>0.31</v>
      </c>
      <c r="E76" s="30">
        <v>0.56031136991136532</v>
      </c>
      <c r="F76" s="29">
        <v>0.81</v>
      </c>
      <c r="G76" s="159">
        <f t="shared" si="12"/>
        <v>-9.9999999999999951E-5</v>
      </c>
      <c r="H76" s="154">
        <f t="shared" si="13"/>
        <v>-1.0000000000000009E-4</v>
      </c>
      <c r="I76" s="154">
        <f t="shared" si="14"/>
        <v>-3.0000000000000024E-4</v>
      </c>
      <c r="J76" s="154">
        <f t="shared" si="15"/>
        <v>-3.5050347678302842E-4</v>
      </c>
      <c r="K76" s="160">
        <f t="shared" si="16"/>
        <v>-3.9999999999999926E-4</v>
      </c>
      <c r="L76" s="161">
        <f t="shared" si="17"/>
        <v>-0.12499999999999989</v>
      </c>
      <c r="M76" s="155">
        <f t="shared" si="18"/>
        <v>-6.25E-2</v>
      </c>
      <c r="N76" s="155">
        <f t="shared" si="19"/>
        <v>-8.8235294117647078E-2</v>
      </c>
      <c r="O76" s="155">
        <f t="shared" si="20"/>
        <v>-5.8872357161634081E-2</v>
      </c>
      <c r="P76" s="162">
        <f t="shared" si="21"/>
        <v>-4.7058823529411709E-2</v>
      </c>
    </row>
    <row r="77" spans="1:16">
      <c r="A77" s="319">
        <v>44307</v>
      </c>
      <c r="B77" s="28">
        <v>7.0000000000000007E-2</v>
      </c>
      <c r="C77" s="29">
        <v>0.15</v>
      </c>
      <c r="D77" s="29">
        <v>0.32</v>
      </c>
      <c r="E77" s="30">
        <v>0.56528814803649041</v>
      </c>
      <c r="F77" s="29">
        <v>0.81</v>
      </c>
      <c r="G77" s="159">
        <f t="shared" si="12"/>
        <v>0</v>
      </c>
      <c r="H77" s="154">
        <f t="shared" si="13"/>
        <v>0</v>
      </c>
      <c r="I77" s="154">
        <f t="shared" si="14"/>
        <v>1.0000000000000009E-4</v>
      </c>
      <c r="J77" s="154">
        <f t="shared" si="15"/>
        <v>4.976778125125092E-5</v>
      </c>
      <c r="K77" s="160">
        <f t="shared" si="16"/>
        <v>0</v>
      </c>
      <c r="L77" s="161">
        <f t="shared" si="17"/>
        <v>0</v>
      </c>
      <c r="M77" s="155">
        <f t="shared" si="18"/>
        <v>0</v>
      </c>
      <c r="N77" s="155">
        <f t="shared" si="19"/>
        <v>3.2258064516129004E-2</v>
      </c>
      <c r="O77" s="155">
        <f t="shared" si="20"/>
        <v>8.882165153836441E-3</v>
      </c>
      <c r="P77" s="162">
        <f t="shared" si="21"/>
        <v>0</v>
      </c>
    </row>
    <row r="78" spans="1:16">
      <c r="A78" s="319">
        <v>44308</v>
      </c>
      <c r="B78" s="28">
        <v>0.06</v>
      </c>
      <c r="C78" s="29">
        <v>0.16</v>
      </c>
      <c r="D78" s="29">
        <v>0.32</v>
      </c>
      <c r="E78" s="30">
        <v>0.56511402310590919</v>
      </c>
      <c r="F78" s="29">
        <v>0.81</v>
      </c>
      <c r="G78" s="159">
        <f t="shared" si="12"/>
        <v>-1.0000000000000009E-4</v>
      </c>
      <c r="H78" s="154">
        <f t="shared" si="13"/>
        <v>1.0000000000000009E-4</v>
      </c>
      <c r="I78" s="154">
        <f t="shared" si="14"/>
        <v>0</v>
      </c>
      <c r="J78" s="154">
        <f t="shared" si="15"/>
        <v>-1.7412493058122091E-6</v>
      </c>
      <c r="K78" s="160">
        <f t="shared" si="16"/>
        <v>0</v>
      </c>
      <c r="L78" s="161">
        <f t="shared" si="17"/>
        <v>-0.14285714285714302</v>
      </c>
      <c r="M78" s="155">
        <f t="shared" si="18"/>
        <v>6.6666666666666652E-2</v>
      </c>
      <c r="N78" s="155">
        <f t="shared" si="19"/>
        <v>0</v>
      </c>
      <c r="O78" s="155">
        <f t="shared" si="20"/>
        <v>-3.0802862431489331E-4</v>
      </c>
      <c r="P78" s="162">
        <f t="shared" si="21"/>
        <v>0</v>
      </c>
    </row>
    <row r="79" spans="1:16">
      <c r="A79" s="319">
        <v>44309</v>
      </c>
      <c r="B79" s="28">
        <v>7.0000000000000007E-2</v>
      </c>
      <c r="C79" s="29">
        <v>0.16</v>
      </c>
      <c r="D79" s="29">
        <v>0.34</v>
      </c>
      <c r="E79" s="30">
        <v>0.58510261324315005</v>
      </c>
      <c r="F79" s="29">
        <v>0.83</v>
      </c>
      <c r="G79" s="159">
        <f t="shared" si="12"/>
        <v>1.0000000000000009E-4</v>
      </c>
      <c r="H79" s="154">
        <f t="shared" si="13"/>
        <v>0</v>
      </c>
      <c r="I79" s="154">
        <f t="shared" si="14"/>
        <v>2.0000000000000017E-4</v>
      </c>
      <c r="J79" s="154">
        <f t="shared" si="15"/>
        <v>1.9988590137240859E-4</v>
      </c>
      <c r="K79" s="160">
        <f t="shared" si="16"/>
        <v>1.9999999999999906E-4</v>
      </c>
      <c r="L79" s="161">
        <f t="shared" si="17"/>
        <v>0.16666666666666674</v>
      </c>
      <c r="M79" s="155">
        <f t="shared" si="18"/>
        <v>0</v>
      </c>
      <c r="N79" s="155">
        <f t="shared" si="19"/>
        <v>6.25E-2</v>
      </c>
      <c r="O79" s="155">
        <f t="shared" si="20"/>
        <v>3.5370897411786117E-2</v>
      </c>
      <c r="P79" s="162">
        <f t="shared" si="21"/>
        <v>2.4691358024691246E-2</v>
      </c>
    </row>
    <row r="80" spans="1:16">
      <c r="A80" s="319">
        <v>44312</v>
      </c>
      <c r="B80" s="28">
        <v>0.06</v>
      </c>
      <c r="C80" s="29">
        <v>0.18</v>
      </c>
      <c r="D80" s="29">
        <v>0.35</v>
      </c>
      <c r="E80" s="30">
        <v>0.60021950114333178</v>
      </c>
      <c r="F80" s="29">
        <v>0.85</v>
      </c>
      <c r="G80" s="159">
        <f t="shared" si="12"/>
        <v>-1.0000000000000009E-4</v>
      </c>
      <c r="H80" s="154">
        <f t="shared" si="13"/>
        <v>1.999999999999999E-4</v>
      </c>
      <c r="I80" s="154">
        <f t="shared" si="14"/>
        <v>9.999999999999953E-5</v>
      </c>
      <c r="J80" s="154">
        <f t="shared" si="15"/>
        <v>1.511688790018173E-4</v>
      </c>
      <c r="K80" s="160">
        <f t="shared" si="16"/>
        <v>2.0000000000000017E-4</v>
      </c>
      <c r="L80" s="161">
        <f t="shared" si="17"/>
        <v>-0.14285714285714302</v>
      </c>
      <c r="M80" s="155">
        <f t="shared" si="18"/>
        <v>0.125</v>
      </c>
      <c r="N80" s="155">
        <f t="shared" si="19"/>
        <v>2.9411764705882248E-2</v>
      </c>
      <c r="O80" s="155">
        <f t="shared" si="20"/>
        <v>2.5836302142611789E-2</v>
      </c>
      <c r="P80" s="162">
        <f t="shared" si="21"/>
        <v>2.4096385542168752E-2</v>
      </c>
    </row>
    <row r="81" spans="1:16">
      <c r="A81" s="319">
        <v>44313</v>
      </c>
      <c r="B81" s="28">
        <v>0.06</v>
      </c>
      <c r="C81" s="29">
        <v>0.17</v>
      </c>
      <c r="D81" s="29">
        <v>0.36</v>
      </c>
      <c r="E81" s="30">
        <v>0.62036775383364196</v>
      </c>
      <c r="F81" s="29">
        <v>0.88</v>
      </c>
      <c r="G81" s="159">
        <f t="shared" si="12"/>
        <v>0</v>
      </c>
      <c r="H81" s="154">
        <f t="shared" si="13"/>
        <v>-9.9999999999999815E-5</v>
      </c>
      <c r="I81" s="154">
        <f t="shared" si="14"/>
        <v>1.0000000000000009E-4</v>
      </c>
      <c r="J81" s="154">
        <f t="shared" si="15"/>
        <v>2.0148252690310175E-4</v>
      </c>
      <c r="K81" s="160">
        <f t="shared" si="16"/>
        <v>3.0000000000000024E-4</v>
      </c>
      <c r="L81" s="161">
        <f t="shared" si="17"/>
        <v>0</v>
      </c>
      <c r="M81" s="155">
        <f t="shared" si="18"/>
        <v>-5.5555555555555469E-2</v>
      </c>
      <c r="N81" s="155">
        <f t="shared" si="19"/>
        <v>2.8571428571428692E-2</v>
      </c>
      <c r="O81" s="155">
        <f t="shared" si="20"/>
        <v>3.3568140741729646E-2</v>
      </c>
      <c r="P81" s="162">
        <f t="shared" si="21"/>
        <v>3.529411764705892E-2</v>
      </c>
    </row>
    <row r="82" spans="1:16">
      <c r="A82" s="319">
        <v>44314</v>
      </c>
      <c r="B82" s="28">
        <v>0.05</v>
      </c>
      <c r="C82" s="29">
        <v>0.17</v>
      </c>
      <c r="D82" s="29">
        <v>0.35</v>
      </c>
      <c r="E82" s="30">
        <v>0.60515194862995725</v>
      </c>
      <c r="F82" s="29">
        <v>0.86</v>
      </c>
      <c r="G82" s="159">
        <f t="shared" si="12"/>
        <v>-9.9999999999999951E-5</v>
      </c>
      <c r="H82" s="154">
        <f t="shared" si="13"/>
        <v>0</v>
      </c>
      <c r="I82" s="154">
        <f t="shared" si="14"/>
        <v>-1.0000000000000009E-4</v>
      </c>
      <c r="J82" s="154">
        <f t="shared" si="15"/>
        <v>-1.5215805203684706E-4</v>
      </c>
      <c r="K82" s="160">
        <f t="shared" si="16"/>
        <v>-2.0000000000000017E-4</v>
      </c>
      <c r="L82" s="161">
        <f t="shared" si="17"/>
        <v>-0.16666666666666663</v>
      </c>
      <c r="M82" s="155">
        <f t="shared" si="18"/>
        <v>0</v>
      </c>
      <c r="N82" s="155">
        <f t="shared" si="19"/>
        <v>-2.777777777777779E-2</v>
      </c>
      <c r="O82" s="155">
        <f t="shared" si="20"/>
        <v>-2.45270730299193E-2</v>
      </c>
      <c r="P82" s="162">
        <f t="shared" si="21"/>
        <v>-2.2727272727272707E-2</v>
      </c>
    </row>
    <row r="83" spans="1:16">
      <c r="A83" s="319">
        <v>44315</v>
      </c>
      <c r="B83" s="28">
        <v>0.05</v>
      </c>
      <c r="C83" s="29">
        <v>0.16</v>
      </c>
      <c r="D83" s="29">
        <v>0.35</v>
      </c>
      <c r="E83" s="30">
        <v>0.60500377345767786</v>
      </c>
      <c r="F83" s="29">
        <v>0.86</v>
      </c>
      <c r="G83" s="159">
        <f t="shared" si="12"/>
        <v>0</v>
      </c>
      <c r="H83" s="154">
        <f t="shared" si="13"/>
        <v>-1.0000000000000009E-4</v>
      </c>
      <c r="I83" s="154">
        <f t="shared" si="14"/>
        <v>0</v>
      </c>
      <c r="J83" s="154">
        <f t="shared" si="15"/>
        <v>-1.4817517227938559E-6</v>
      </c>
      <c r="K83" s="160">
        <f t="shared" si="16"/>
        <v>0</v>
      </c>
      <c r="L83" s="161">
        <f t="shared" si="17"/>
        <v>0</v>
      </c>
      <c r="M83" s="155">
        <f t="shared" si="18"/>
        <v>-5.8823529411764719E-2</v>
      </c>
      <c r="N83" s="155">
        <f t="shared" si="19"/>
        <v>0</v>
      </c>
      <c r="O83" s="155">
        <f t="shared" si="20"/>
        <v>-2.4485614334524008E-4</v>
      </c>
      <c r="P83" s="162">
        <f t="shared" si="21"/>
        <v>0</v>
      </c>
    </row>
    <row r="84" spans="1:16">
      <c r="A84" s="319">
        <v>44316</v>
      </c>
      <c r="B84" s="28">
        <v>0.05</v>
      </c>
      <c r="C84" s="29">
        <v>0.16</v>
      </c>
      <c r="D84" s="29">
        <v>0.35</v>
      </c>
      <c r="E84" s="30">
        <v>0.6054527716902216</v>
      </c>
      <c r="F84" s="29">
        <v>0.86</v>
      </c>
      <c r="G84" s="159">
        <f t="shared" si="12"/>
        <v>0</v>
      </c>
      <c r="H84" s="154">
        <f t="shared" si="13"/>
        <v>0</v>
      </c>
      <c r="I84" s="154">
        <f t="shared" si="14"/>
        <v>0</v>
      </c>
      <c r="J84" s="154">
        <f t="shared" si="15"/>
        <v>4.4899823254374031E-6</v>
      </c>
      <c r="K84" s="160">
        <f t="shared" si="16"/>
        <v>0</v>
      </c>
      <c r="L84" s="161">
        <f t="shared" si="17"/>
        <v>0</v>
      </c>
      <c r="M84" s="155">
        <f t="shared" si="18"/>
        <v>0</v>
      </c>
      <c r="N84" s="155">
        <f t="shared" si="19"/>
        <v>0</v>
      </c>
      <c r="O84" s="155">
        <f t="shared" si="20"/>
        <v>7.421412100914182E-4</v>
      </c>
      <c r="P84" s="162">
        <f t="shared" si="21"/>
        <v>0</v>
      </c>
    </row>
    <row r="85" spans="1:16">
      <c r="A85" s="319">
        <v>44319</v>
      </c>
      <c r="B85" s="28">
        <v>0.06</v>
      </c>
      <c r="C85" s="29">
        <v>0.16</v>
      </c>
      <c r="D85" s="29">
        <v>0.33</v>
      </c>
      <c r="E85" s="30">
        <v>0.58507106591584424</v>
      </c>
      <c r="F85" s="29">
        <v>0.84</v>
      </c>
      <c r="G85" s="159">
        <f t="shared" si="12"/>
        <v>9.9999999999999951E-5</v>
      </c>
      <c r="H85" s="154">
        <f t="shared" si="13"/>
        <v>0</v>
      </c>
      <c r="I85" s="154">
        <f t="shared" si="14"/>
        <v>-1.9999999999999963E-4</v>
      </c>
      <c r="J85" s="154">
        <f t="shared" si="15"/>
        <v>-2.0381705774377367E-4</v>
      </c>
      <c r="K85" s="160">
        <f t="shared" si="16"/>
        <v>-2.0000000000000017E-4</v>
      </c>
      <c r="L85" s="161">
        <f t="shared" si="17"/>
        <v>0.19999999999999996</v>
      </c>
      <c r="M85" s="155">
        <f t="shared" si="18"/>
        <v>0</v>
      </c>
      <c r="N85" s="155">
        <f t="shared" si="19"/>
        <v>-5.7142857142857051E-2</v>
      </c>
      <c r="O85" s="155">
        <f t="shared" si="20"/>
        <v>-3.3663576627915082E-2</v>
      </c>
      <c r="P85" s="162">
        <f t="shared" si="21"/>
        <v>-2.3255813953488413E-2</v>
      </c>
    </row>
    <row r="86" spans="1:16">
      <c r="A86" s="319">
        <v>44320</v>
      </c>
      <c r="B86" s="28">
        <v>0.06</v>
      </c>
      <c r="C86" s="29">
        <v>0.16</v>
      </c>
      <c r="D86" s="29">
        <v>0.33</v>
      </c>
      <c r="E86" s="30">
        <v>0.57518533856261911</v>
      </c>
      <c r="F86" s="29">
        <v>0.82</v>
      </c>
      <c r="G86" s="159">
        <f t="shared" si="12"/>
        <v>0</v>
      </c>
      <c r="H86" s="154">
        <f t="shared" si="13"/>
        <v>0</v>
      </c>
      <c r="I86" s="154">
        <f t="shared" si="14"/>
        <v>0</v>
      </c>
      <c r="J86" s="154">
        <f t="shared" si="15"/>
        <v>-9.8857273532251271E-5</v>
      </c>
      <c r="K86" s="160">
        <f t="shared" si="16"/>
        <v>-2.0000000000000017E-4</v>
      </c>
      <c r="L86" s="161">
        <f t="shared" si="17"/>
        <v>0</v>
      </c>
      <c r="M86" s="155">
        <f t="shared" si="18"/>
        <v>0</v>
      </c>
      <c r="N86" s="155">
        <f t="shared" si="19"/>
        <v>0</v>
      </c>
      <c r="O86" s="155">
        <f t="shared" si="20"/>
        <v>-1.6896626630733214E-2</v>
      </c>
      <c r="P86" s="162">
        <f t="shared" si="21"/>
        <v>-2.3809523809523836E-2</v>
      </c>
    </row>
    <row r="87" spans="1:16">
      <c r="A87" s="319">
        <v>44321</v>
      </c>
      <c r="B87" s="28">
        <v>0.06</v>
      </c>
      <c r="C87" s="29">
        <v>0.16</v>
      </c>
      <c r="D87" s="29">
        <v>0.32</v>
      </c>
      <c r="E87" s="30">
        <v>0.56003905366153905</v>
      </c>
      <c r="F87" s="29">
        <v>0.8</v>
      </c>
      <c r="G87" s="159">
        <f t="shared" si="12"/>
        <v>0</v>
      </c>
      <c r="H87" s="154">
        <f t="shared" si="13"/>
        <v>0</v>
      </c>
      <c r="I87" s="154">
        <f t="shared" si="14"/>
        <v>-1.0000000000000009E-4</v>
      </c>
      <c r="J87" s="154">
        <f t="shared" si="15"/>
        <v>-1.5146284901080054E-4</v>
      </c>
      <c r="K87" s="160">
        <f t="shared" si="16"/>
        <v>-1.9999999999999906E-4</v>
      </c>
      <c r="L87" s="161">
        <f t="shared" si="17"/>
        <v>0</v>
      </c>
      <c r="M87" s="155">
        <f t="shared" si="18"/>
        <v>0</v>
      </c>
      <c r="N87" s="155">
        <f t="shared" si="19"/>
        <v>-3.0303030303030276E-2</v>
      </c>
      <c r="O87" s="155">
        <f t="shared" si="20"/>
        <v>-2.6332877223418816E-2</v>
      </c>
      <c r="P87" s="162">
        <f t="shared" si="21"/>
        <v>-2.4390243902438935E-2</v>
      </c>
    </row>
    <row r="88" spans="1:16">
      <c r="A88" s="319">
        <v>44322</v>
      </c>
      <c r="B88" s="28">
        <v>0.05</v>
      </c>
      <c r="C88" s="29">
        <v>0.16</v>
      </c>
      <c r="D88" s="29">
        <v>0.32</v>
      </c>
      <c r="E88" s="30">
        <v>0.5653656316166773</v>
      </c>
      <c r="F88" s="29">
        <v>0.81</v>
      </c>
      <c r="G88" s="159">
        <f t="shared" si="12"/>
        <v>-9.9999999999999951E-5</v>
      </c>
      <c r="H88" s="154">
        <f t="shared" si="13"/>
        <v>0</v>
      </c>
      <c r="I88" s="154">
        <f t="shared" si="14"/>
        <v>0</v>
      </c>
      <c r="J88" s="154">
        <f t="shared" si="15"/>
        <v>5.326577955138245E-5</v>
      </c>
      <c r="K88" s="160">
        <f t="shared" si="16"/>
        <v>1.0000000000000009E-4</v>
      </c>
      <c r="L88" s="161">
        <f t="shared" si="17"/>
        <v>-0.16666666666666663</v>
      </c>
      <c r="M88" s="155">
        <f t="shared" si="18"/>
        <v>0</v>
      </c>
      <c r="N88" s="155">
        <f t="shared" si="19"/>
        <v>0</v>
      </c>
      <c r="O88" s="155">
        <f t="shared" si="20"/>
        <v>9.5110830580706907E-3</v>
      </c>
      <c r="P88" s="162">
        <f t="shared" si="21"/>
        <v>1.2499999999999956E-2</v>
      </c>
    </row>
    <row r="89" spans="1:16">
      <c r="A89" s="319">
        <v>44323</v>
      </c>
      <c r="B89" s="28">
        <v>0.05</v>
      </c>
      <c r="C89" s="29">
        <v>0.14000000000000001</v>
      </c>
      <c r="D89" s="29">
        <v>0.28999999999999998</v>
      </c>
      <c r="E89" s="30">
        <v>0.53015923898699113</v>
      </c>
      <c r="F89" s="29">
        <v>0.77</v>
      </c>
      <c r="G89" s="159">
        <f t="shared" si="12"/>
        <v>0</v>
      </c>
      <c r="H89" s="154">
        <f t="shared" si="13"/>
        <v>-1.999999999999999E-4</v>
      </c>
      <c r="I89" s="154">
        <f t="shared" si="14"/>
        <v>-3.0000000000000024E-4</v>
      </c>
      <c r="J89" s="154">
        <f t="shared" si="15"/>
        <v>-3.5206392629686165E-4</v>
      </c>
      <c r="K89" s="160">
        <f t="shared" si="16"/>
        <v>-4.0000000000000034E-4</v>
      </c>
      <c r="L89" s="161">
        <f t="shared" si="17"/>
        <v>0</v>
      </c>
      <c r="M89" s="155">
        <f t="shared" si="18"/>
        <v>-0.12499999999999989</v>
      </c>
      <c r="N89" s="155">
        <f t="shared" si="19"/>
        <v>-9.3750000000000111E-2</v>
      </c>
      <c r="O89" s="155">
        <f t="shared" si="20"/>
        <v>-6.2271900980278239E-2</v>
      </c>
      <c r="P89" s="162">
        <f t="shared" si="21"/>
        <v>-4.9382716049382713E-2</v>
      </c>
    </row>
    <row r="90" spans="1:16">
      <c r="A90" s="319">
        <v>44326</v>
      </c>
      <c r="B90" s="28">
        <v>0.05</v>
      </c>
      <c r="C90" s="29">
        <v>0.16</v>
      </c>
      <c r="D90" s="29">
        <v>0.32</v>
      </c>
      <c r="E90" s="30">
        <v>0.56044540263363352</v>
      </c>
      <c r="F90" s="29">
        <v>0.8</v>
      </c>
      <c r="G90" s="159">
        <f t="shared" si="12"/>
        <v>0</v>
      </c>
      <c r="H90" s="154">
        <f t="shared" si="13"/>
        <v>1.999999999999999E-4</v>
      </c>
      <c r="I90" s="154">
        <f t="shared" si="14"/>
        <v>3.0000000000000024E-4</v>
      </c>
      <c r="J90" s="154">
        <f t="shared" si="15"/>
        <v>3.0286163646642381E-4</v>
      </c>
      <c r="K90" s="160">
        <f t="shared" si="16"/>
        <v>3.0000000000000024E-4</v>
      </c>
      <c r="L90" s="161">
        <f t="shared" si="17"/>
        <v>0</v>
      </c>
      <c r="M90" s="155">
        <f t="shared" si="18"/>
        <v>0.14285714285714279</v>
      </c>
      <c r="N90" s="155">
        <f t="shared" si="19"/>
        <v>0.10344827586206917</v>
      </c>
      <c r="O90" s="155">
        <f t="shared" si="20"/>
        <v>5.7126541271848907E-2</v>
      </c>
      <c r="P90" s="162">
        <f t="shared" si="21"/>
        <v>3.8961038961039085E-2</v>
      </c>
    </row>
    <row r="91" spans="1:16">
      <c r="A91" s="319">
        <v>44327</v>
      </c>
      <c r="B91" s="28">
        <v>0.05</v>
      </c>
      <c r="C91" s="29">
        <v>0.16</v>
      </c>
      <c r="D91" s="29">
        <v>0.31</v>
      </c>
      <c r="E91" s="30">
        <v>0.55521103138297923</v>
      </c>
      <c r="F91" s="29">
        <v>0.8</v>
      </c>
      <c r="G91" s="159">
        <f t="shared" si="12"/>
        <v>0</v>
      </c>
      <c r="H91" s="154">
        <f t="shared" si="13"/>
        <v>0</v>
      </c>
      <c r="I91" s="154">
        <f t="shared" si="14"/>
        <v>-1.0000000000000009E-4</v>
      </c>
      <c r="J91" s="154">
        <f t="shared" si="15"/>
        <v>-5.2343712506542905E-5</v>
      </c>
      <c r="K91" s="160">
        <f t="shared" si="16"/>
        <v>0</v>
      </c>
      <c r="L91" s="161">
        <f t="shared" si="17"/>
        <v>0</v>
      </c>
      <c r="M91" s="155">
        <f t="shared" si="18"/>
        <v>0</v>
      </c>
      <c r="N91" s="155">
        <f t="shared" si="19"/>
        <v>-3.125E-2</v>
      </c>
      <c r="O91" s="155">
        <f t="shared" si="20"/>
        <v>-9.3396631073375813E-3</v>
      </c>
      <c r="P91" s="162">
        <f t="shared" si="21"/>
        <v>0</v>
      </c>
    </row>
    <row r="92" spans="1:16">
      <c r="A92" s="319">
        <v>44328</v>
      </c>
      <c r="B92" s="28">
        <v>0.05</v>
      </c>
      <c r="C92" s="29">
        <v>0.16</v>
      </c>
      <c r="D92" s="29">
        <v>0.35</v>
      </c>
      <c r="E92" s="30">
        <v>0.61032867136952818</v>
      </c>
      <c r="F92" s="29">
        <v>0.87</v>
      </c>
      <c r="G92" s="159">
        <f t="shared" si="12"/>
        <v>0</v>
      </c>
      <c r="H92" s="154">
        <f t="shared" si="13"/>
        <v>0</v>
      </c>
      <c r="I92" s="154">
        <f t="shared" si="14"/>
        <v>3.999999999999998E-4</v>
      </c>
      <c r="J92" s="154">
        <f t="shared" si="15"/>
        <v>5.5117639986548947E-4</v>
      </c>
      <c r="K92" s="160">
        <f t="shared" si="16"/>
        <v>6.9999999999999956E-4</v>
      </c>
      <c r="L92" s="161">
        <f t="shared" si="17"/>
        <v>0</v>
      </c>
      <c r="M92" s="155">
        <f t="shared" si="18"/>
        <v>0</v>
      </c>
      <c r="N92" s="155">
        <f t="shared" si="19"/>
        <v>0.12903225806451601</v>
      </c>
      <c r="O92" s="155">
        <f t="shared" si="20"/>
        <v>9.9273315678285456E-2</v>
      </c>
      <c r="P92" s="162">
        <f t="shared" si="21"/>
        <v>8.7499999999999911E-2</v>
      </c>
    </row>
    <row r="93" spans="1:16">
      <c r="A93" s="319">
        <v>44329</v>
      </c>
      <c r="B93" s="28">
        <v>0.05</v>
      </c>
      <c r="C93" s="29">
        <v>0.16</v>
      </c>
      <c r="D93" s="29">
        <v>0.33</v>
      </c>
      <c r="E93" s="30">
        <v>0.58511596995075177</v>
      </c>
      <c r="F93" s="29">
        <v>0.84</v>
      </c>
      <c r="G93" s="159">
        <f t="shared" si="12"/>
        <v>0</v>
      </c>
      <c r="H93" s="154">
        <f t="shared" si="13"/>
        <v>0</v>
      </c>
      <c r="I93" s="154">
        <f t="shared" si="14"/>
        <v>-1.9999999999999963E-4</v>
      </c>
      <c r="J93" s="154">
        <f t="shared" si="15"/>
        <v>-2.5212701418776408E-4</v>
      </c>
      <c r="K93" s="160">
        <f t="shared" si="16"/>
        <v>-3.0000000000000024E-4</v>
      </c>
      <c r="L93" s="161">
        <f t="shared" si="17"/>
        <v>0</v>
      </c>
      <c r="M93" s="155">
        <f t="shared" si="18"/>
        <v>0</v>
      </c>
      <c r="N93" s="155">
        <f t="shared" si="19"/>
        <v>-5.7142857142857051E-2</v>
      </c>
      <c r="O93" s="155">
        <f t="shared" si="20"/>
        <v>-4.1310039330449855E-2</v>
      </c>
      <c r="P93" s="162">
        <f t="shared" si="21"/>
        <v>-3.4482758620689724E-2</v>
      </c>
    </row>
    <row r="94" spans="1:16">
      <c r="A94" s="319">
        <v>44330</v>
      </c>
      <c r="B94" s="28">
        <v>0.06</v>
      </c>
      <c r="C94" s="29">
        <v>0.16</v>
      </c>
      <c r="D94" s="29">
        <v>0.33</v>
      </c>
      <c r="E94" s="30">
        <v>0.57541408011165252</v>
      </c>
      <c r="F94" s="29">
        <v>0.82</v>
      </c>
      <c r="G94" s="159">
        <f t="shared" si="12"/>
        <v>9.9999999999999951E-5</v>
      </c>
      <c r="H94" s="154">
        <f t="shared" si="13"/>
        <v>0</v>
      </c>
      <c r="I94" s="154">
        <f t="shared" si="14"/>
        <v>0</v>
      </c>
      <c r="J94" s="154">
        <f t="shared" si="15"/>
        <v>-9.7018898390992538E-5</v>
      </c>
      <c r="K94" s="160">
        <f t="shared" si="16"/>
        <v>-2.0000000000000017E-4</v>
      </c>
      <c r="L94" s="161">
        <f t="shared" si="17"/>
        <v>0.19999999999999996</v>
      </c>
      <c r="M94" s="155">
        <f t="shared" si="18"/>
        <v>0</v>
      </c>
      <c r="N94" s="155">
        <f t="shared" si="19"/>
        <v>0</v>
      </c>
      <c r="O94" s="155">
        <f t="shared" si="20"/>
        <v>-1.6581140042914666E-2</v>
      </c>
      <c r="P94" s="162">
        <f t="shared" si="21"/>
        <v>-2.3809523809523836E-2</v>
      </c>
    </row>
    <row r="95" spans="1:16">
      <c r="A95" s="319">
        <v>44333</v>
      </c>
      <c r="B95" s="28">
        <v>0.06</v>
      </c>
      <c r="C95" s="29">
        <v>0.16</v>
      </c>
      <c r="D95" s="29">
        <v>0.34</v>
      </c>
      <c r="E95" s="30">
        <v>0.59014563738253512</v>
      </c>
      <c r="F95" s="29">
        <v>0.84</v>
      </c>
      <c r="G95" s="159">
        <f t="shared" si="12"/>
        <v>0</v>
      </c>
      <c r="H95" s="154">
        <f t="shared" si="13"/>
        <v>0</v>
      </c>
      <c r="I95" s="154">
        <f t="shared" si="14"/>
        <v>1.0000000000000009E-4</v>
      </c>
      <c r="J95" s="154">
        <f t="shared" si="15"/>
        <v>1.47315572708826E-4</v>
      </c>
      <c r="K95" s="160">
        <f t="shared" si="16"/>
        <v>2.0000000000000017E-4</v>
      </c>
      <c r="L95" s="161">
        <f t="shared" si="17"/>
        <v>0</v>
      </c>
      <c r="M95" s="155">
        <f t="shared" si="18"/>
        <v>0</v>
      </c>
      <c r="N95" s="155">
        <f t="shared" si="19"/>
        <v>3.0303030303030276E-2</v>
      </c>
      <c r="O95" s="155">
        <f t="shared" si="20"/>
        <v>2.5601662837350325E-2</v>
      </c>
      <c r="P95" s="162">
        <f t="shared" si="21"/>
        <v>2.4390243902439046E-2</v>
      </c>
    </row>
    <row r="96" spans="1:16">
      <c r="A96" s="319">
        <v>44334</v>
      </c>
      <c r="B96" s="28">
        <v>0.06</v>
      </c>
      <c r="C96" s="29">
        <v>0.16</v>
      </c>
      <c r="D96" s="29">
        <v>0.34</v>
      </c>
      <c r="E96" s="30">
        <v>0.58541680551213005</v>
      </c>
      <c r="F96" s="29">
        <v>0.83</v>
      </c>
      <c r="G96" s="159">
        <f t="shared" si="12"/>
        <v>0</v>
      </c>
      <c r="H96" s="154">
        <f t="shared" si="13"/>
        <v>0</v>
      </c>
      <c r="I96" s="154">
        <f t="shared" si="14"/>
        <v>0</v>
      </c>
      <c r="J96" s="154">
        <f t="shared" si="15"/>
        <v>-4.7288318704050704E-5</v>
      </c>
      <c r="K96" s="160">
        <f t="shared" si="16"/>
        <v>-1.0000000000000009E-4</v>
      </c>
      <c r="L96" s="161">
        <f t="shared" si="17"/>
        <v>0</v>
      </c>
      <c r="M96" s="155">
        <f t="shared" si="18"/>
        <v>0</v>
      </c>
      <c r="N96" s="155">
        <f t="shared" si="19"/>
        <v>0</v>
      </c>
      <c r="O96" s="155">
        <f t="shared" si="20"/>
        <v>-8.0129913208861758E-3</v>
      </c>
      <c r="P96" s="162">
        <f t="shared" si="21"/>
        <v>-1.1904761904761862E-2</v>
      </c>
    </row>
    <row r="97" spans="1:16">
      <c r="A97" s="319">
        <v>44335</v>
      </c>
      <c r="B97" s="28">
        <v>0.05</v>
      </c>
      <c r="C97" s="29">
        <v>0.16</v>
      </c>
      <c r="D97" s="29">
        <v>0.35</v>
      </c>
      <c r="E97" s="30">
        <v>0.61041781560919794</v>
      </c>
      <c r="F97" s="29">
        <v>0.87</v>
      </c>
      <c r="G97" s="159">
        <f t="shared" si="12"/>
        <v>-9.9999999999999951E-5</v>
      </c>
      <c r="H97" s="154">
        <f t="shared" si="13"/>
        <v>0</v>
      </c>
      <c r="I97" s="154">
        <f t="shared" si="14"/>
        <v>9.999999999999953E-5</v>
      </c>
      <c r="J97" s="154">
        <f t="shared" si="15"/>
        <v>2.5001010097067897E-4</v>
      </c>
      <c r="K97" s="160">
        <f t="shared" si="16"/>
        <v>4.0000000000000034E-4</v>
      </c>
      <c r="L97" s="161">
        <f t="shared" si="17"/>
        <v>-0.16666666666666663</v>
      </c>
      <c r="M97" s="155">
        <f t="shared" si="18"/>
        <v>0</v>
      </c>
      <c r="N97" s="155">
        <f t="shared" si="19"/>
        <v>2.9411764705882248E-2</v>
      </c>
      <c r="O97" s="155">
        <f t="shared" si="20"/>
        <v>4.2706341638410361E-2</v>
      </c>
      <c r="P97" s="162">
        <f t="shared" si="21"/>
        <v>4.8192771084337505E-2</v>
      </c>
    </row>
    <row r="98" spans="1:16">
      <c r="A98" s="319">
        <v>44336</v>
      </c>
      <c r="B98" s="28">
        <v>0.05</v>
      </c>
      <c r="C98" s="29">
        <v>0.15</v>
      </c>
      <c r="D98" s="29">
        <v>0.34</v>
      </c>
      <c r="E98" s="30">
        <v>0.5850801546828579</v>
      </c>
      <c r="F98" s="29">
        <v>0.83</v>
      </c>
      <c r="G98" s="159">
        <f t="shared" si="12"/>
        <v>0</v>
      </c>
      <c r="H98" s="154">
        <f t="shared" si="13"/>
        <v>-1.0000000000000009E-4</v>
      </c>
      <c r="I98" s="154">
        <f t="shared" si="14"/>
        <v>-9.999999999999953E-5</v>
      </c>
      <c r="J98" s="154">
        <f t="shared" si="15"/>
        <v>-2.5337660926340045E-4</v>
      </c>
      <c r="K98" s="160">
        <f t="shared" si="16"/>
        <v>-4.0000000000000034E-4</v>
      </c>
      <c r="L98" s="161">
        <f t="shared" si="17"/>
        <v>0</v>
      </c>
      <c r="M98" s="155">
        <f t="shared" si="18"/>
        <v>-6.25E-2</v>
      </c>
      <c r="N98" s="155">
        <f t="shared" si="19"/>
        <v>-2.857142857142847E-2</v>
      </c>
      <c r="O98" s="155">
        <f t="shared" si="20"/>
        <v>-4.1508717927986827E-2</v>
      </c>
      <c r="P98" s="162">
        <f t="shared" si="21"/>
        <v>-4.5977011494252928E-2</v>
      </c>
    </row>
    <row r="99" spans="1:16">
      <c r="A99" s="319">
        <v>44337</v>
      </c>
      <c r="B99" s="28">
        <v>0.04</v>
      </c>
      <c r="C99" s="29">
        <v>0.17</v>
      </c>
      <c r="D99" s="29">
        <v>0.34</v>
      </c>
      <c r="E99" s="30">
        <v>0.59049802037034671</v>
      </c>
      <c r="F99" s="29">
        <v>0.84</v>
      </c>
      <c r="G99" s="159">
        <f t="shared" si="12"/>
        <v>-1.0000000000000002E-4</v>
      </c>
      <c r="H99" s="154">
        <f t="shared" si="13"/>
        <v>2.0000000000000017E-4</v>
      </c>
      <c r="I99" s="154">
        <f t="shared" si="14"/>
        <v>0</v>
      </c>
      <c r="J99" s="154">
        <f t="shared" si="15"/>
        <v>5.4178656874888096E-5</v>
      </c>
      <c r="K99" s="160">
        <f t="shared" si="16"/>
        <v>1.0000000000000009E-4</v>
      </c>
      <c r="L99" s="161">
        <f t="shared" si="17"/>
        <v>-0.20000000000000007</v>
      </c>
      <c r="M99" s="155">
        <f t="shared" si="18"/>
        <v>0.13333333333333353</v>
      </c>
      <c r="N99" s="155">
        <f t="shared" si="19"/>
        <v>0</v>
      </c>
      <c r="O99" s="155">
        <f t="shared" si="20"/>
        <v>9.260040088738819E-3</v>
      </c>
      <c r="P99" s="162">
        <f t="shared" si="21"/>
        <v>1.2048192771084265E-2</v>
      </c>
    </row>
    <row r="100" spans="1:16">
      <c r="A100" s="319">
        <v>44340</v>
      </c>
      <c r="B100" s="28">
        <v>0.04</v>
      </c>
      <c r="C100" s="29">
        <v>0.15</v>
      </c>
      <c r="D100" s="29">
        <v>0.32</v>
      </c>
      <c r="E100" s="30">
        <v>0.5704064576929847</v>
      </c>
      <c r="F100" s="29">
        <v>0.82</v>
      </c>
      <c r="G100" s="159">
        <f t="shared" si="12"/>
        <v>0</v>
      </c>
      <c r="H100" s="154">
        <f t="shared" si="13"/>
        <v>-2.0000000000000017E-4</v>
      </c>
      <c r="I100" s="154">
        <f t="shared" si="14"/>
        <v>-2.0000000000000017E-4</v>
      </c>
      <c r="J100" s="154">
        <f t="shared" si="15"/>
        <v>-2.0091562677362006E-4</v>
      </c>
      <c r="K100" s="160">
        <f t="shared" si="16"/>
        <v>-2.0000000000000017E-4</v>
      </c>
      <c r="L100" s="161">
        <f t="shared" si="17"/>
        <v>0</v>
      </c>
      <c r="M100" s="155">
        <f t="shared" si="18"/>
        <v>-0.11764705882352955</v>
      </c>
      <c r="N100" s="155">
        <f t="shared" si="19"/>
        <v>-5.8823529411764719E-2</v>
      </c>
      <c r="O100" s="155">
        <f t="shared" si="20"/>
        <v>-3.4024775671154694E-2</v>
      </c>
      <c r="P100" s="162">
        <f t="shared" si="21"/>
        <v>-2.3809523809523836E-2</v>
      </c>
    </row>
    <row r="101" spans="1:16">
      <c r="A101" s="319">
        <v>44341</v>
      </c>
      <c r="B101" s="28">
        <v>0.04</v>
      </c>
      <c r="C101" s="29">
        <v>0.15</v>
      </c>
      <c r="D101" s="29">
        <v>0.3</v>
      </c>
      <c r="E101" s="30">
        <v>0.54545057228087912</v>
      </c>
      <c r="F101" s="29">
        <v>0.79</v>
      </c>
      <c r="G101" s="159">
        <f t="shared" si="12"/>
        <v>0</v>
      </c>
      <c r="H101" s="154">
        <f t="shared" si="13"/>
        <v>0</v>
      </c>
      <c r="I101" s="154">
        <f t="shared" si="14"/>
        <v>-2.0000000000000017E-4</v>
      </c>
      <c r="J101" s="154">
        <f t="shared" si="15"/>
        <v>-2.4955885412105582E-4</v>
      </c>
      <c r="K101" s="160">
        <f t="shared" si="16"/>
        <v>-2.9999999999999916E-4</v>
      </c>
      <c r="L101" s="161">
        <f t="shared" si="17"/>
        <v>0</v>
      </c>
      <c r="M101" s="155">
        <f t="shared" si="18"/>
        <v>0</v>
      </c>
      <c r="N101" s="155">
        <f t="shared" si="19"/>
        <v>-6.25E-2</v>
      </c>
      <c r="O101" s="155">
        <f t="shared" si="20"/>
        <v>-4.3751056944621447E-2</v>
      </c>
      <c r="P101" s="162">
        <f t="shared" si="21"/>
        <v>-3.6585365853658458E-2</v>
      </c>
    </row>
    <row r="102" spans="1:16">
      <c r="A102" s="319">
        <v>44342</v>
      </c>
      <c r="B102" s="28">
        <v>0.04</v>
      </c>
      <c r="C102" s="29">
        <v>0.14000000000000001</v>
      </c>
      <c r="D102" s="29">
        <v>0.31</v>
      </c>
      <c r="E102" s="30">
        <v>0.55547475747421848</v>
      </c>
      <c r="F102" s="29">
        <v>0.8</v>
      </c>
      <c r="G102" s="159">
        <f t="shared" si="12"/>
        <v>0</v>
      </c>
      <c r="H102" s="154">
        <f t="shared" si="13"/>
        <v>-9.9999999999999815E-5</v>
      </c>
      <c r="I102" s="154">
        <f t="shared" si="14"/>
        <v>1.0000000000000009E-4</v>
      </c>
      <c r="J102" s="154">
        <f t="shared" si="15"/>
        <v>1.0024185193339363E-4</v>
      </c>
      <c r="K102" s="160">
        <f t="shared" si="16"/>
        <v>1.0000000000000009E-4</v>
      </c>
      <c r="L102" s="161">
        <f t="shared" si="17"/>
        <v>0</v>
      </c>
      <c r="M102" s="155">
        <f t="shared" si="18"/>
        <v>-6.6666666666666541E-2</v>
      </c>
      <c r="N102" s="155">
        <f t="shared" si="19"/>
        <v>3.3333333333333437E-2</v>
      </c>
      <c r="O102" s="155">
        <f t="shared" si="20"/>
        <v>1.8377806721187939E-2</v>
      </c>
      <c r="P102" s="162">
        <f t="shared" si="21"/>
        <v>1.2658227848101333E-2</v>
      </c>
    </row>
    <row r="103" spans="1:16">
      <c r="A103" s="319">
        <v>44343</v>
      </c>
      <c r="B103" s="28">
        <v>0.04</v>
      </c>
      <c r="C103" s="29">
        <v>0.14000000000000001</v>
      </c>
      <c r="D103" s="29">
        <v>0.31</v>
      </c>
      <c r="E103" s="30">
        <v>0.56039796151442411</v>
      </c>
      <c r="F103" s="29">
        <v>0.81</v>
      </c>
      <c r="G103" s="159">
        <f t="shared" si="12"/>
        <v>0</v>
      </c>
      <c r="H103" s="154">
        <f t="shared" si="13"/>
        <v>0</v>
      </c>
      <c r="I103" s="154">
        <f t="shared" si="14"/>
        <v>0</v>
      </c>
      <c r="J103" s="154">
        <f t="shared" si="15"/>
        <v>4.9232040402056313E-5</v>
      </c>
      <c r="K103" s="160">
        <f t="shared" si="16"/>
        <v>1.0000000000000009E-4</v>
      </c>
      <c r="L103" s="161">
        <f t="shared" si="17"/>
        <v>0</v>
      </c>
      <c r="M103" s="155">
        <f t="shared" si="18"/>
        <v>0</v>
      </c>
      <c r="N103" s="155">
        <f t="shared" si="19"/>
        <v>0</v>
      </c>
      <c r="O103" s="155">
        <f t="shared" si="20"/>
        <v>8.8630562846667704E-3</v>
      </c>
      <c r="P103" s="162">
        <f t="shared" si="21"/>
        <v>1.2499999999999956E-2</v>
      </c>
    </row>
    <row r="104" spans="1:16">
      <c r="A104" s="319">
        <v>44344</v>
      </c>
      <c r="B104" s="28">
        <v>0.05</v>
      </c>
      <c r="C104" s="29">
        <v>0.14000000000000001</v>
      </c>
      <c r="D104" s="29">
        <v>0.3</v>
      </c>
      <c r="E104" s="30">
        <v>0.54548834937667401</v>
      </c>
      <c r="F104" s="29">
        <v>0.79</v>
      </c>
      <c r="G104" s="159">
        <f t="shared" si="12"/>
        <v>1.0000000000000002E-4</v>
      </c>
      <c r="H104" s="154">
        <f t="shared" si="13"/>
        <v>0</v>
      </c>
      <c r="I104" s="154">
        <f t="shared" si="14"/>
        <v>-1.0000000000000009E-4</v>
      </c>
      <c r="J104" s="154">
        <f t="shared" si="15"/>
        <v>-1.4909612137750105E-4</v>
      </c>
      <c r="K104" s="160">
        <f t="shared" si="16"/>
        <v>-2.0000000000000017E-4</v>
      </c>
      <c r="L104" s="161">
        <f t="shared" si="17"/>
        <v>0.25</v>
      </c>
      <c r="M104" s="155">
        <f t="shared" si="18"/>
        <v>0</v>
      </c>
      <c r="N104" s="155">
        <f t="shared" si="19"/>
        <v>-3.2258064516129115E-2</v>
      </c>
      <c r="O104" s="155">
        <f t="shared" si="20"/>
        <v>-2.6605400379148825E-2</v>
      </c>
      <c r="P104" s="162">
        <f t="shared" si="21"/>
        <v>-2.4691358024691357E-2</v>
      </c>
    </row>
    <row r="105" spans="1:16">
      <c r="A105" s="319">
        <v>44348</v>
      </c>
      <c r="B105" s="28">
        <v>0.04</v>
      </c>
      <c r="C105" s="29">
        <v>0.16</v>
      </c>
      <c r="D105" s="29">
        <v>0.31</v>
      </c>
      <c r="E105" s="30">
        <v>0.56008557073393894</v>
      </c>
      <c r="F105" s="29">
        <v>0.81</v>
      </c>
      <c r="G105" s="159">
        <f t="shared" si="12"/>
        <v>-1.0000000000000002E-4</v>
      </c>
      <c r="H105" s="154">
        <f t="shared" si="13"/>
        <v>1.999999999999999E-4</v>
      </c>
      <c r="I105" s="154">
        <f t="shared" si="14"/>
        <v>1.0000000000000009E-4</v>
      </c>
      <c r="J105" s="154">
        <f t="shared" si="15"/>
        <v>1.4597221357264933E-4</v>
      </c>
      <c r="K105" s="160">
        <f t="shared" si="16"/>
        <v>2.0000000000000017E-4</v>
      </c>
      <c r="L105" s="161">
        <f t="shared" si="17"/>
        <v>-0.20000000000000007</v>
      </c>
      <c r="M105" s="155">
        <f t="shared" si="18"/>
        <v>0.14285714285714279</v>
      </c>
      <c r="N105" s="155">
        <f t="shared" si="19"/>
        <v>3.3333333333333437E-2</v>
      </c>
      <c r="O105" s="155">
        <f t="shared" si="20"/>
        <v>2.6759914073224644E-2</v>
      </c>
      <c r="P105" s="162">
        <f t="shared" si="21"/>
        <v>2.5316455696202445E-2</v>
      </c>
    </row>
    <row r="106" spans="1:16">
      <c r="A106" s="319">
        <v>44349</v>
      </c>
      <c r="B106" s="28">
        <v>0.05</v>
      </c>
      <c r="C106" s="29">
        <v>0.13</v>
      </c>
      <c r="D106" s="29">
        <v>0.3</v>
      </c>
      <c r="E106" s="30">
        <v>0.55009269198161492</v>
      </c>
      <c r="F106" s="29">
        <v>0.8</v>
      </c>
      <c r="G106" s="159">
        <f t="shared" si="12"/>
        <v>1.0000000000000002E-4</v>
      </c>
      <c r="H106" s="154">
        <f t="shared" si="13"/>
        <v>-2.9999999999999997E-4</v>
      </c>
      <c r="I106" s="154">
        <f t="shared" si="14"/>
        <v>-1.0000000000000009E-4</v>
      </c>
      <c r="J106" s="154">
        <f t="shared" si="15"/>
        <v>-9.9928787523240192E-5</v>
      </c>
      <c r="K106" s="160">
        <f t="shared" si="16"/>
        <v>-1.0000000000000009E-4</v>
      </c>
      <c r="L106" s="161">
        <f t="shared" si="17"/>
        <v>0.25</v>
      </c>
      <c r="M106" s="155">
        <f t="shared" si="18"/>
        <v>-0.1875</v>
      </c>
      <c r="N106" s="155">
        <f t="shared" si="19"/>
        <v>-3.2258064516129115E-2</v>
      </c>
      <c r="O106" s="155">
        <f t="shared" si="20"/>
        <v>-1.7841700044565201E-2</v>
      </c>
      <c r="P106" s="162">
        <f t="shared" si="21"/>
        <v>-1.2345679012345734E-2</v>
      </c>
    </row>
    <row r="107" spans="1:16">
      <c r="A107" s="319">
        <v>44350</v>
      </c>
      <c r="B107" s="28">
        <v>0.04</v>
      </c>
      <c r="C107" s="29">
        <v>0.16</v>
      </c>
      <c r="D107" s="29">
        <v>0.34</v>
      </c>
      <c r="E107" s="30">
        <v>0.59013377159382885</v>
      </c>
      <c r="F107" s="29">
        <v>0.84</v>
      </c>
      <c r="G107" s="159">
        <f t="shared" si="12"/>
        <v>-1.0000000000000002E-4</v>
      </c>
      <c r="H107" s="154">
        <f t="shared" si="13"/>
        <v>2.9999999999999997E-4</v>
      </c>
      <c r="I107" s="154">
        <f t="shared" si="14"/>
        <v>4.0000000000000034E-4</v>
      </c>
      <c r="J107" s="154">
        <f t="shared" si="15"/>
        <v>4.0041079612213927E-4</v>
      </c>
      <c r="K107" s="160">
        <f t="shared" si="16"/>
        <v>3.9999999999999926E-4</v>
      </c>
      <c r="L107" s="161">
        <f t="shared" si="17"/>
        <v>-0.20000000000000007</v>
      </c>
      <c r="M107" s="155">
        <f t="shared" si="18"/>
        <v>0.23076923076923084</v>
      </c>
      <c r="N107" s="155">
        <f t="shared" si="19"/>
        <v>0.13333333333333353</v>
      </c>
      <c r="O107" s="155">
        <f t="shared" si="20"/>
        <v>7.2789695620155914E-2</v>
      </c>
      <c r="P107" s="162">
        <f t="shared" si="21"/>
        <v>4.9999999999999822E-2</v>
      </c>
    </row>
    <row r="108" spans="1:16">
      <c r="A108" s="319">
        <v>44351</v>
      </c>
      <c r="B108" s="28">
        <v>0.05</v>
      </c>
      <c r="C108" s="29">
        <v>0.14000000000000001</v>
      </c>
      <c r="D108" s="29">
        <v>0.32</v>
      </c>
      <c r="E108" s="30">
        <v>0.55023094650253634</v>
      </c>
      <c r="F108" s="29">
        <v>0.78</v>
      </c>
      <c r="G108" s="159">
        <f t="shared" si="12"/>
        <v>1.0000000000000002E-4</v>
      </c>
      <c r="H108" s="154">
        <f t="shared" si="13"/>
        <v>-1.999999999999999E-4</v>
      </c>
      <c r="I108" s="154">
        <f t="shared" si="14"/>
        <v>-2.0000000000000017E-4</v>
      </c>
      <c r="J108" s="154">
        <f t="shared" si="15"/>
        <v>-3.9902825091292504E-4</v>
      </c>
      <c r="K108" s="160">
        <f t="shared" si="16"/>
        <v>-5.9999999999999941E-4</v>
      </c>
      <c r="L108" s="161">
        <f t="shared" si="17"/>
        <v>0.25</v>
      </c>
      <c r="M108" s="155">
        <f t="shared" si="18"/>
        <v>-0.12499999999999989</v>
      </c>
      <c r="N108" s="155">
        <f t="shared" si="19"/>
        <v>-5.8823529411764719E-2</v>
      </c>
      <c r="O108" s="155">
        <f t="shared" si="20"/>
        <v>-6.7616576125652417E-2</v>
      </c>
      <c r="P108" s="162">
        <f t="shared" si="21"/>
        <v>-7.1428571428571397E-2</v>
      </c>
    </row>
    <row r="109" spans="1:16">
      <c r="A109" s="319">
        <v>44354</v>
      </c>
      <c r="B109" s="28">
        <v>0.05</v>
      </c>
      <c r="C109" s="29">
        <v>0.16</v>
      </c>
      <c r="D109" s="29">
        <v>0.33</v>
      </c>
      <c r="E109" s="30">
        <v>0.56014630898332352</v>
      </c>
      <c r="F109" s="29">
        <v>0.79</v>
      </c>
      <c r="G109" s="159">
        <f t="shared" si="12"/>
        <v>0</v>
      </c>
      <c r="H109" s="154">
        <f t="shared" si="13"/>
        <v>1.999999999999999E-4</v>
      </c>
      <c r="I109" s="154">
        <f t="shared" si="14"/>
        <v>1.0000000000000009E-4</v>
      </c>
      <c r="J109" s="154">
        <f t="shared" si="15"/>
        <v>9.9153624807871705E-5</v>
      </c>
      <c r="K109" s="160">
        <f t="shared" si="16"/>
        <v>1.0000000000000009E-4</v>
      </c>
      <c r="L109" s="161">
        <f t="shared" si="17"/>
        <v>0</v>
      </c>
      <c r="M109" s="155">
        <f t="shared" si="18"/>
        <v>0.14285714285714279</v>
      </c>
      <c r="N109" s="155">
        <f t="shared" si="19"/>
        <v>3.125E-2</v>
      </c>
      <c r="O109" s="155">
        <f t="shared" si="20"/>
        <v>1.8020364982763493E-2</v>
      </c>
      <c r="P109" s="162">
        <f t="shared" si="21"/>
        <v>1.2820512820512775E-2</v>
      </c>
    </row>
    <row r="110" spans="1:16">
      <c r="A110" s="319">
        <v>44355</v>
      </c>
      <c r="B110" s="28">
        <v>0.05</v>
      </c>
      <c r="C110" s="29">
        <v>0.14000000000000001</v>
      </c>
      <c r="D110" s="29">
        <v>0.32</v>
      </c>
      <c r="E110" s="30">
        <v>0.54504741120490108</v>
      </c>
      <c r="F110" s="29">
        <v>0.77</v>
      </c>
      <c r="G110" s="159">
        <f t="shared" si="12"/>
        <v>0</v>
      </c>
      <c r="H110" s="154">
        <f t="shared" si="13"/>
        <v>-1.999999999999999E-4</v>
      </c>
      <c r="I110" s="154">
        <f t="shared" si="14"/>
        <v>-1.0000000000000009E-4</v>
      </c>
      <c r="J110" s="154">
        <f t="shared" si="15"/>
        <v>-1.5098897778422437E-4</v>
      </c>
      <c r="K110" s="160">
        <f t="shared" si="16"/>
        <v>-2.0000000000000017E-4</v>
      </c>
      <c r="L110" s="161">
        <f t="shared" si="17"/>
        <v>0</v>
      </c>
      <c r="M110" s="155">
        <f t="shared" si="18"/>
        <v>-0.12499999999999989</v>
      </c>
      <c r="N110" s="155">
        <f t="shared" si="19"/>
        <v>-3.0303030303030276E-2</v>
      </c>
      <c r="O110" s="155">
        <f t="shared" si="20"/>
        <v>-2.6955274963477382E-2</v>
      </c>
      <c r="P110" s="162">
        <f t="shared" si="21"/>
        <v>-2.5316455696202556E-2</v>
      </c>
    </row>
    <row r="111" spans="1:16">
      <c r="A111" s="319">
        <v>44356</v>
      </c>
      <c r="B111" s="28">
        <v>0.05</v>
      </c>
      <c r="C111" s="29">
        <v>0.16</v>
      </c>
      <c r="D111" s="29">
        <v>0.31</v>
      </c>
      <c r="E111" s="30">
        <v>0.53037238746326365</v>
      </c>
      <c r="F111" s="29">
        <v>0.75</v>
      </c>
      <c r="G111" s="159">
        <f t="shared" si="12"/>
        <v>0</v>
      </c>
      <c r="H111" s="154">
        <f t="shared" si="13"/>
        <v>1.999999999999999E-4</v>
      </c>
      <c r="I111" s="154">
        <f t="shared" si="14"/>
        <v>-1.0000000000000009E-4</v>
      </c>
      <c r="J111" s="154">
        <f t="shared" si="15"/>
        <v>-1.4675023741637428E-4</v>
      </c>
      <c r="K111" s="160">
        <f t="shared" si="16"/>
        <v>-2.0000000000000017E-4</v>
      </c>
      <c r="L111" s="161">
        <f t="shared" si="17"/>
        <v>0</v>
      </c>
      <c r="M111" s="155">
        <f t="shared" si="18"/>
        <v>0.14285714285714279</v>
      </c>
      <c r="N111" s="155">
        <f t="shared" si="19"/>
        <v>-3.125E-2</v>
      </c>
      <c r="O111" s="155">
        <f t="shared" si="20"/>
        <v>-2.6924306840016565E-2</v>
      </c>
      <c r="P111" s="162">
        <f t="shared" si="21"/>
        <v>-2.5974025974025983E-2</v>
      </c>
    </row>
    <row r="112" spans="1:16">
      <c r="A112" s="319">
        <v>44357</v>
      </c>
      <c r="B112" s="28">
        <v>0.05</v>
      </c>
      <c r="C112" s="29">
        <v>0.14000000000000001</v>
      </c>
      <c r="D112" s="29">
        <v>0.3</v>
      </c>
      <c r="E112" s="30">
        <v>0.51513585455977495</v>
      </c>
      <c r="F112" s="29">
        <v>0.73</v>
      </c>
      <c r="G112" s="159">
        <f t="shared" si="12"/>
        <v>0</v>
      </c>
      <c r="H112" s="154">
        <f t="shared" si="13"/>
        <v>-1.999999999999999E-4</v>
      </c>
      <c r="I112" s="154">
        <f t="shared" si="14"/>
        <v>-1.0000000000000009E-4</v>
      </c>
      <c r="J112" s="154">
        <f t="shared" si="15"/>
        <v>-1.5236532903488697E-4</v>
      </c>
      <c r="K112" s="160">
        <f t="shared" si="16"/>
        <v>-2.0000000000000017E-4</v>
      </c>
      <c r="L112" s="161">
        <f t="shared" si="17"/>
        <v>0</v>
      </c>
      <c r="M112" s="155">
        <f t="shared" si="18"/>
        <v>-0.12499999999999989</v>
      </c>
      <c r="N112" s="155">
        <f t="shared" si="19"/>
        <v>-3.2258064516129115E-2</v>
      </c>
      <c r="O112" s="155">
        <f t="shared" si="20"/>
        <v>-2.8727990490538202E-2</v>
      </c>
      <c r="P112" s="162">
        <f t="shared" si="21"/>
        <v>-2.6666666666666727E-2</v>
      </c>
    </row>
    <row r="113" spans="1:16">
      <c r="A113" s="319">
        <v>44358</v>
      </c>
      <c r="B113" s="28">
        <v>0.05</v>
      </c>
      <c r="C113" s="29">
        <v>0.16</v>
      </c>
      <c r="D113" s="29">
        <v>0.31</v>
      </c>
      <c r="E113" s="30">
        <v>0.53525638614141735</v>
      </c>
      <c r="F113" s="29">
        <v>0.76</v>
      </c>
      <c r="G113" s="159">
        <f t="shared" si="12"/>
        <v>0</v>
      </c>
      <c r="H113" s="154">
        <f t="shared" si="13"/>
        <v>1.999999999999999E-4</v>
      </c>
      <c r="I113" s="154">
        <f t="shared" si="14"/>
        <v>1.0000000000000009E-4</v>
      </c>
      <c r="J113" s="154">
        <f t="shared" si="15"/>
        <v>2.0120531581642399E-4</v>
      </c>
      <c r="K113" s="160">
        <f t="shared" si="16"/>
        <v>3.0000000000000024E-4</v>
      </c>
      <c r="L113" s="161">
        <f t="shared" si="17"/>
        <v>0</v>
      </c>
      <c r="M113" s="155">
        <f t="shared" si="18"/>
        <v>0.14285714285714279</v>
      </c>
      <c r="N113" s="155">
        <f t="shared" si="19"/>
        <v>3.3333333333333437E-2</v>
      </c>
      <c r="O113" s="155">
        <f t="shared" si="20"/>
        <v>3.9058689865097751E-2</v>
      </c>
      <c r="P113" s="162">
        <f t="shared" si="21"/>
        <v>4.1095890410958846E-2</v>
      </c>
    </row>
    <row r="114" spans="1:16">
      <c r="A114" s="319">
        <v>44361</v>
      </c>
      <c r="B114" s="28">
        <v>0.05</v>
      </c>
      <c r="C114" s="29">
        <v>0.16</v>
      </c>
      <c r="D114" s="29">
        <v>0.33</v>
      </c>
      <c r="E114" s="30">
        <v>0.56516329363112372</v>
      </c>
      <c r="F114" s="29">
        <v>0.8</v>
      </c>
      <c r="G114" s="159">
        <f t="shared" si="12"/>
        <v>0</v>
      </c>
      <c r="H114" s="154">
        <f t="shared" si="13"/>
        <v>0</v>
      </c>
      <c r="I114" s="154">
        <f t="shared" si="14"/>
        <v>2.0000000000000017E-4</v>
      </c>
      <c r="J114" s="154">
        <f t="shared" si="15"/>
        <v>2.9906907489706371E-4</v>
      </c>
      <c r="K114" s="160">
        <f t="shared" si="16"/>
        <v>4.0000000000000034E-4</v>
      </c>
      <c r="L114" s="161">
        <f t="shared" si="17"/>
        <v>0</v>
      </c>
      <c r="M114" s="155">
        <f t="shared" si="18"/>
        <v>0</v>
      </c>
      <c r="N114" s="155">
        <f t="shared" si="19"/>
        <v>6.4516129032258229E-2</v>
      </c>
      <c r="O114" s="155">
        <f t="shared" si="20"/>
        <v>5.5873985372319801E-2</v>
      </c>
      <c r="P114" s="162">
        <f t="shared" si="21"/>
        <v>5.2631578947368363E-2</v>
      </c>
    </row>
    <row r="115" spans="1:16">
      <c r="A115" s="319">
        <v>44362</v>
      </c>
      <c r="B115" s="28">
        <v>0.08</v>
      </c>
      <c r="C115" s="29">
        <v>0.16</v>
      </c>
      <c r="D115" s="29">
        <v>0.34</v>
      </c>
      <c r="E115" s="30">
        <v>0.56520983171091843</v>
      </c>
      <c r="F115" s="29">
        <v>0.79</v>
      </c>
      <c r="G115" s="159">
        <f t="shared" si="12"/>
        <v>2.9999999999999997E-4</v>
      </c>
      <c r="H115" s="154">
        <f t="shared" si="13"/>
        <v>0</v>
      </c>
      <c r="I115" s="154">
        <f t="shared" si="14"/>
        <v>1.0000000000000009E-4</v>
      </c>
      <c r="J115" s="154">
        <f t="shared" si="15"/>
        <v>4.6538079794711252E-7</v>
      </c>
      <c r="K115" s="160">
        <f t="shared" si="16"/>
        <v>-1.0000000000000009E-4</v>
      </c>
      <c r="L115" s="161">
        <f t="shared" si="17"/>
        <v>0.59999999999999987</v>
      </c>
      <c r="M115" s="155">
        <f t="shared" si="18"/>
        <v>0</v>
      </c>
      <c r="N115" s="155">
        <f t="shared" si="19"/>
        <v>3.0303030303030276E-2</v>
      </c>
      <c r="O115" s="155">
        <f t="shared" si="20"/>
        <v>8.2344484008789465E-5</v>
      </c>
      <c r="P115" s="162">
        <f t="shared" si="21"/>
        <v>-1.2499999999999956E-2</v>
      </c>
    </row>
    <row r="116" spans="1:16">
      <c r="A116" s="319">
        <v>44363</v>
      </c>
      <c r="B116" s="28">
        <v>0.08</v>
      </c>
      <c r="C116" s="29">
        <v>0.21</v>
      </c>
      <c r="D116" s="29">
        <v>0.41</v>
      </c>
      <c r="E116" s="30">
        <v>0.6502434312101345</v>
      </c>
      <c r="F116" s="29">
        <v>0.89</v>
      </c>
      <c r="G116" s="159">
        <f t="shared" si="12"/>
        <v>0</v>
      </c>
      <c r="H116" s="154">
        <f t="shared" si="13"/>
        <v>4.999999999999999E-4</v>
      </c>
      <c r="I116" s="154">
        <f t="shared" si="14"/>
        <v>6.9999999999999956E-4</v>
      </c>
      <c r="J116" s="154">
        <f t="shared" si="15"/>
        <v>8.5033599499216074E-4</v>
      </c>
      <c r="K116" s="160">
        <f t="shared" si="16"/>
        <v>9.999999999999998E-4</v>
      </c>
      <c r="L116" s="161">
        <f t="shared" si="17"/>
        <v>0</v>
      </c>
      <c r="M116" s="155">
        <f t="shared" si="18"/>
        <v>0.3125</v>
      </c>
      <c r="N116" s="155">
        <f t="shared" si="19"/>
        <v>0.20588235294117641</v>
      </c>
      <c r="O116" s="155">
        <f t="shared" si="20"/>
        <v>0.15044607281832856</v>
      </c>
      <c r="P116" s="162">
        <f t="shared" si="21"/>
        <v>0.12658227848101267</v>
      </c>
    </row>
    <row r="117" spans="1:16">
      <c r="A117" s="319">
        <v>44364</v>
      </c>
      <c r="B117" s="28">
        <v>0.08</v>
      </c>
      <c r="C117" s="29">
        <v>0.23</v>
      </c>
      <c r="D117" s="29">
        <v>0.43</v>
      </c>
      <c r="E117" s="30">
        <v>0.66543265391118445</v>
      </c>
      <c r="F117" s="29">
        <v>0.9</v>
      </c>
      <c r="G117" s="159">
        <f t="shared" si="12"/>
        <v>0</v>
      </c>
      <c r="H117" s="154">
        <f t="shared" si="13"/>
        <v>2.0000000000000017E-4</v>
      </c>
      <c r="I117" s="154">
        <f t="shared" si="14"/>
        <v>2.0000000000000017E-4</v>
      </c>
      <c r="J117" s="154">
        <f t="shared" si="15"/>
        <v>1.5189222701049942E-4</v>
      </c>
      <c r="K117" s="160">
        <f t="shared" si="16"/>
        <v>1.0000000000000009E-4</v>
      </c>
      <c r="L117" s="161">
        <f t="shared" si="17"/>
        <v>0</v>
      </c>
      <c r="M117" s="155">
        <f t="shared" si="18"/>
        <v>9.5238095238095344E-2</v>
      </c>
      <c r="N117" s="155">
        <f t="shared" si="19"/>
        <v>4.8780487804878092E-2</v>
      </c>
      <c r="O117" s="155">
        <f t="shared" si="20"/>
        <v>2.3359286648666489E-2</v>
      </c>
      <c r="P117" s="162">
        <f t="shared" si="21"/>
        <v>1.1235955056179803E-2</v>
      </c>
    </row>
    <row r="118" spans="1:16">
      <c r="A118" s="319">
        <v>44365</v>
      </c>
      <c r="B118" s="28">
        <v>0.09</v>
      </c>
      <c r="C118" s="29">
        <v>0.26</v>
      </c>
      <c r="D118" s="29">
        <v>0.47</v>
      </c>
      <c r="E118" s="30">
        <v>0.68048854175645834</v>
      </c>
      <c r="F118" s="29">
        <v>0.89</v>
      </c>
      <c r="G118" s="159">
        <f t="shared" si="12"/>
        <v>9.9999999999999951E-5</v>
      </c>
      <c r="H118" s="154">
        <f t="shared" si="13"/>
        <v>2.9999999999999997E-4</v>
      </c>
      <c r="I118" s="154">
        <f t="shared" si="14"/>
        <v>3.999999999999998E-4</v>
      </c>
      <c r="J118" s="154">
        <f t="shared" si="15"/>
        <v>1.5055887845273895E-4</v>
      </c>
      <c r="K118" s="160">
        <f t="shared" si="16"/>
        <v>-1.0000000000000009E-4</v>
      </c>
      <c r="L118" s="161">
        <f t="shared" si="17"/>
        <v>0.125</v>
      </c>
      <c r="M118" s="155">
        <f t="shared" si="18"/>
        <v>0.13043478260869557</v>
      </c>
      <c r="N118" s="155">
        <f t="shared" si="19"/>
        <v>9.3023255813953432E-2</v>
      </c>
      <c r="O118" s="155">
        <f t="shared" si="20"/>
        <v>2.2625712394455766E-2</v>
      </c>
      <c r="P118" s="162">
        <f t="shared" si="21"/>
        <v>-1.1111111111111072E-2</v>
      </c>
    </row>
    <row r="119" spans="1:16">
      <c r="A119" s="319">
        <v>44368</v>
      </c>
      <c r="B119" s="28">
        <v>0.09</v>
      </c>
      <c r="C119" s="29">
        <v>0.27</v>
      </c>
      <c r="D119" s="29">
        <v>0.48</v>
      </c>
      <c r="E119" s="30">
        <v>0.69040365610102206</v>
      </c>
      <c r="F119" s="29">
        <v>0.9</v>
      </c>
      <c r="G119" s="159">
        <f t="shared" si="12"/>
        <v>0</v>
      </c>
      <c r="H119" s="154">
        <f t="shared" si="13"/>
        <v>1.0000000000000009E-4</v>
      </c>
      <c r="I119" s="154">
        <f t="shared" si="14"/>
        <v>1.0000000000000009E-4</v>
      </c>
      <c r="J119" s="154">
        <f t="shared" si="15"/>
        <v>9.9151143445637137E-5</v>
      </c>
      <c r="K119" s="160">
        <f t="shared" si="16"/>
        <v>1.0000000000000009E-4</v>
      </c>
      <c r="L119" s="161">
        <f t="shared" si="17"/>
        <v>0</v>
      </c>
      <c r="M119" s="155">
        <f t="shared" si="18"/>
        <v>3.8461538461538547E-2</v>
      </c>
      <c r="N119" s="155">
        <f t="shared" si="19"/>
        <v>2.1276595744680771E-2</v>
      </c>
      <c r="O119" s="155">
        <f t="shared" si="20"/>
        <v>1.4570582362740669E-2</v>
      </c>
      <c r="P119" s="162">
        <f t="shared" si="21"/>
        <v>1.1235955056179803E-2</v>
      </c>
    </row>
    <row r="120" spans="1:16">
      <c r="A120" s="319">
        <v>44369</v>
      </c>
      <c r="B120" s="28">
        <v>0.09</v>
      </c>
      <c r="C120" s="29">
        <v>0.25</v>
      </c>
      <c r="D120" s="29">
        <v>0.44</v>
      </c>
      <c r="E120" s="30">
        <v>0.65505809029604378</v>
      </c>
      <c r="F120" s="29">
        <v>0.87</v>
      </c>
      <c r="G120" s="159">
        <f t="shared" si="12"/>
        <v>0</v>
      </c>
      <c r="H120" s="154">
        <f t="shared" si="13"/>
        <v>-2.0000000000000017E-4</v>
      </c>
      <c r="I120" s="154">
        <f t="shared" si="14"/>
        <v>-3.999999999999998E-4</v>
      </c>
      <c r="J120" s="154">
        <f t="shared" si="15"/>
        <v>-3.5345565804978277E-4</v>
      </c>
      <c r="K120" s="160">
        <f t="shared" si="16"/>
        <v>-3.0000000000000024E-4</v>
      </c>
      <c r="L120" s="161">
        <f t="shared" si="17"/>
        <v>0</v>
      </c>
      <c r="M120" s="155">
        <f t="shared" si="18"/>
        <v>-7.4074074074074181E-2</v>
      </c>
      <c r="N120" s="155">
        <f t="shared" si="19"/>
        <v>-8.3333333333333259E-2</v>
      </c>
      <c r="O120" s="155">
        <f t="shared" si="20"/>
        <v>-5.1195507863600276E-2</v>
      </c>
      <c r="P120" s="162">
        <f t="shared" si="21"/>
        <v>-3.3333333333333326E-2</v>
      </c>
    </row>
    <row r="121" spans="1:16">
      <c r="A121" s="319">
        <v>44370</v>
      </c>
      <c r="B121" s="28">
        <v>0.08</v>
      </c>
      <c r="C121" s="29">
        <v>0.26</v>
      </c>
      <c r="D121" s="29">
        <v>0.47</v>
      </c>
      <c r="E121" s="30">
        <v>0.68537280616410357</v>
      </c>
      <c r="F121" s="29">
        <v>0.9</v>
      </c>
      <c r="G121" s="159">
        <f t="shared" si="12"/>
        <v>-9.9999999999999951E-5</v>
      </c>
      <c r="H121" s="154">
        <f t="shared" si="13"/>
        <v>1.0000000000000009E-4</v>
      </c>
      <c r="I121" s="154">
        <f t="shared" si="14"/>
        <v>2.999999999999997E-4</v>
      </c>
      <c r="J121" s="154">
        <f t="shared" si="15"/>
        <v>3.0314715868059783E-4</v>
      </c>
      <c r="K121" s="160">
        <f t="shared" si="16"/>
        <v>3.0000000000000024E-4</v>
      </c>
      <c r="L121" s="161">
        <f t="shared" si="17"/>
        <v>-0.11111111111111105</v>
      </c>
      <c r="M121" s="155">
        <f t="shared" si="18"/>
        <v>4.0000000000000036E-2</v>
      </c>
      <c r="N121" s="155">
        <f t="shared" si="19"/>
        <v>6.8181818181818121E-2</v>
      </c>
      <c r="O121" s="155">
        <f t="shared" si="20"/>
        <v>4.6277904688360572E-2</v>
      </c>
      <c r="P121" s="162">
        <f t="shared" si="21"/>
        <v>3.4482758620689724E-2</v>
      </c>
    </row>
    <row r="122" spans="1:16">
      <c r="A122" s="319">
        <v>44371</v>
      </c>
      <c r="B122" s="28">
        <v>0.08</v>
      </c>
      <c r="C122" s="29">
        <v>0.26</v>
      </c>
      <c r="D122" s="29">
        <v>0.48</v>
      </c>
      <c r="E122" s="30">
        <v>0.69011929840450748</v>
      </c>
      <c r="F122" s="29">
        <v>0.9</v>
      </c>
      <c r="G122" s="159">
        <f t="shared" si="12"/>
        <v>0</v>
      </c>
      <c r="H122" s="154">
        <f t="shared" si="13"/>
        <v>0</v>
      </c>
      <c r="I122" s="154">
        <f t="shared" si="14"/>
        <v>1.0000000000000009E-4</v>
      </c>
      <c r="J122" s="154">
        <f t="shared" si="15"/>
        <v>4.74649224040391E-5</v>
      </c>
      <c r="K122" s="160">
        <f t="shared" si="16"/>
        <v>0</v>
      </c>
      <c r="L122" s="161">
        <f t="shared" si="17"/>
        <v>0</v>
      </c>
      <c r="M122" s="155">
        <f t="shared" si="18"/>
        <v>0</v>
      </c>
      <c r="N122" s="155">
        <f t="shared" si="19"/>
        <v>2.1276595744680771E-2</v>
      </c>
      <c r="O122" s="155">
        <f t="shared" si="20"/>
        <v>6.9254166458239119E-3</v>
      </c>
      <c r="P122" s="162">
        <f t="shared" si="21"/>
        <v>0</v>
      </c>
    </row>
    <row r="123" spans="1:16">
      <c r="A123" s="319">
        <v>44372</v>
      </c>
      <c r="B123" s="28">
        <v>0.09</v>
      </c>
      <c r="C123" s="29">
        <v>0.28000000000000003</v>
      </c>
      <c r="D123" s="29">
        <v>0.48</v>
      </c>
      <c r="E123" s="30">
        <v>0.70000555457222169</v>
      </c>
      <c r="F123" s="29">
        <v>0.92</v>
      </c>
      <c r="G123" s="159">
        <f t="shared" si="12"/>
        <v>9.9999999999999951E-5</v>
      </c>
      <c r="H123" s="154">
        <f t="shared" si="13"/>
        <v>2.0000000000000017E-4</v>
      </c>
      <c r="I123" s="154">
        <f t="shared" si="14"/>
        <v>0</v>
      </c>
      <c r="J123" s="154">
        <f t="shared" si="15"/>
        <v>9.8862561677142137E-5</v>
      </c>
      <c r="K123" s="160">
        <f t="shared" si="16"/>
        <v>2.0000000000000017E-4</v>
      </c>
      <c r="L123" s="161">
        <f t="shared" si="17"/>
        <v>0.125</v>
      </c>
      <c r="M123" s="155">
        <f t="shared" si="18"/>
        <v>7.6923076923077094E-2</v>
      </c>
      <c r="N123" s="155">
        <f t="shared" si="19"/>
        <v>0</v>
      </c>
      <c r="O123" s="155">
        <f t="shared" si="20"/>
        <v>1.432543067636316E-2</v>
      </c>
      <c r="P123" s="162">
        <f t="shared" si="21"/>
        <v>2.2222222222222143E-2</v>
      </c>
    </row>
    <row r="124" spans="1:16">
      <c r="A124" s="319">
        <v>44375</v>
      </c>
      <c r="B124" s="28">
        <v>0.08</v>
      </c>
      <c r="C124" s="29">
        <v>0.25</v>
      </c>
      <c r="D124" s="29">
        <v>0.47</v>
      </c>
      <c r="E124" s="30">
        <v>0.68536689512638505</v>
      </c>
      <c r="F124" s="29">
        <v>0.9</v>
      </c>
      <c r="G124" s="159">
        <f t="shared" si="12"/>
        <v>-9.9999999999999951E-5</v>
      </c>
      <c r="H124" s="154">
        <f t="shared" si="13"/>
        <v>-3.0000000000000024E-4</v>
      </c>
      <c r="I124" s="154">
        <f t="shared" si="14"/>
        <v>-1.0000000000000009E-4</v>
      </c>
      <c r="J124" s="154">
        <f t="shared" si="15"/>
        <v>-1.4638659445836643E-4</v>
      </c>
      <c r="K124" s="160">
        <f t="shared" si="16"/>
        <v>-2.0000000000000017E-4</v>
      </c>
      <c r="L124" s="161">
        <f t="shared" si="17"/>
        <v>-0.11111111111111105</v>
      </c>
      <c r="M124" s="155">
        <f t="shared" si="18"/>
        <v>-0.10714285714285721</v>
      </c>
      <c r="N124" s="155">
        <f t="shared" si="19"/>
        <v>-2.083333333333337E-2</v>
      </c>
      <c r="O124" s="155">
        <f t="shared" si="20"/>
        <v>-2.0912204696407644E-2</v>
      </c>
      <c r="P124" s="162">
        <f t="shared" si="21"/>
        <v>-2.1739130434782594E-2</v>
      </c>
    </row>
    <row r="125" spans="1:16">
      <c r="A125" s="319">
        <v>44376</v>
      </c>
      <c r="B125" s="28">
        <v>0.08</v>
      </c>
      <c r="C125" s="29">
        <v>0.27</v>
      </c>
      <c r="D125" s="29">
        <v>0.47</v>
      </c>
      <c r="E125" s="30">
        <v>0.68044832094865704</v>
      </c>
      <c r="F125" s="29">
        <v>0.89</v>
      </c>
      <c r="G125" s="159">
        <f t="shared" si="12"/>
        <v>0</v>
      </c>
      <c r="H125" s="154">
        <f t="shared" si="13"/>
        <v>2.0000000000000017E-4</v>
      </c>
      <c r="I125" s="154">
        <f t="shared" si="14"/>
        <v>0</v>
      </c>
      <c r="J125" s="154">
        <f t="shared" si="15"/>
        <v>-4.918574177728008E-5</v>
      </c>
      <c r="K125" s="160">
        <f t="shared" si="16"/>
        <v>-1.0000000000000009E-4</v>
      </c>
      <c r="L125" s="161">
        <f t="shared" si="17"/>
        <v>0</v>
      </c>
      <c r="M125" s="155">
        <f t="shared" si="18"/>
        <v>8.0000000000000071E-2</v>
      </c>
      <c r="N125" s="155">
        <f t="shared" si="19"/>
        <v>0</v>
      </c>
      <c r="O125" s="155">
        <f t="shared" si="20"/>
        <v>-7.1765564002344018E-3</v>
      </c>
      <c r="P125" s="162">
        <f t="shared" si="21"/>
        <v>-1.1111111111111072E-2</v>
      </c>
    </row>
    <row r="126" spans="1:16">
      <c r="A126" s="319">
        <v>44377</v>
      </c>
      <c r="B126" s="28">
        <v>7.0000000000000007E-2</v>
      </c>
      <c r="C126" s="29">
        <v>0.25</v>
      </c>
      <c r="D126" s="29">
        <v>0.46</v>
      </c>
      <c r="E126" s="30">
        <v>0.66543464613677494</v>
      </c>
      <c r="F126" s="29">
        <v>0.87</v>
      </c>
      <c r="G126" s="159">
        <f t="shared" si="12"/>
        <v>-9.9999999999999951E-5</v>
      </c>
      <c r="H126" s="154">
        <f t="shared" si="13"/>
        <v>-2.0000000000000017E-4</v>
      </c>
      <c r="I126" s="154">
        <f t="shared" si="14"/>
        <v>-9.999999999999953E-5</v>
      </c>
      <c r="J126" s="154">
        <f t="shared" si="15"/>
        <v>-1.5013674811882095E-4</v>
      </c>
      <c r="K126" s="160">
        <f t="shared" si="16"/>
        <v>-2.0000000000000017E-4</v>
      </c>
      <c r="L126" s="161">
        <f t="shared" si="17"/>
        <v>-0.12499999999999989</v>
      </c>
      <c r="M126" s="155">
        <f t="shared" si="18"/>
        <v>-7.4074074074074181E-2</v>
      </c>
      <c r="N126" s="155">
        <f t="shared" si="19"/>
        <v>-2.1276595744680771E-2</v>
      </c>
      <c r="O126" s="155">
        <f t="shared" si="20"/>
        <v>-2.2064386595811669E-2</v>
      </c>
      <c r="P126" s="162">
        <f t="shared" si="21"/>
        <v>-2.2471910112359605E-2</v>
      </c>
    </row>
    <row r="127" spans="1:16">
      <c r="A127" s="319">
        <v>44378</v>
      </c>
      <c r="B127" s="28">
        <v>0.09</v>
      </c>
      <c r="C127" s="29">
        <v>0.25</v>
      </c>
      <c r="D127" s="29">
        <v>0.47</v>
      </c>
      <c r="E127" s="30">
        <v>0.68036461647615676</v>
      </c>
      <c r="F127" s="29">
        <v>0.89</v>
      </c>
      <c r="G127" s="159">
        <f t="shared" si="12"/>
        <v>1.999999999999999E-4</v>
      </c>
      <c r="H127" s="154">
        <f t="shared" si="13"/>
        <v>0</v>
      </c>
      <c r="I127" s="154">
        <f t="shared" si="14"/>
        <v>9.999999999999953E-5</v>
      </c>
      <c r="J127" s="154">
        <f t="shared" si="15"/>
        <v>1.4929970339381816E-4</v>
      </c>
      <c r="K127" s="160">
        <f t="shared" si="16"/>
        <v>2.0000000000000017E-4</v>
      </c>
      <c r="L127" s="161">
        <f t="shared" si="17"/>
        <v>0.28571428571428559</v>
      </c>
      <c r="M127" s="155">
        <f t="shared" si="18"/>
        <v>0</v>
      </c>
      <c r="N127" s="155">
        <f t="shared" si="19"/>
        <v>2.1739130434782483E-2</v>
      </c>
      <c r="O127" s="155">
        <f t="shared" si="20"/>
        <v>2.2436418701759386E-2</v>
      </c>
      <c r="P127" s="162">
        <f t="shared" si="21"/>
        <v>2.2988505747126409E-2</v>
      </c>
    </row>
    <row r="128" spans="1:16">
      <c r="A128" s="319">
        <v>44379</v>
      </c>
      <c r="B128" s="28">
        <v>0.08</v>
      </c>
      <c r="C128" s="29">
        <v>0.24</v>
      </c>
      <c r="D128" s="29">
        <v>0.45</v>
      </c>
      <c r="E128" s="30">
        <v>0.65502842412981122</v>
      </c>
      <c r="F128" s="29">
        <v>0.86</v>
      </c>
      <c r="G128" s="159">
        <f t="shared" si="12"/>
        <v>-9.9999999999999951E-5</v>
      </c>
      <c r="H128" s="154">
        <f t="shared" si="13"/>
        <v>-1.0000000000000009E-4</v>
      </c>
      <c r="I128" s="154">
        <f t="shared" si="14"/>
        <v>-1.9999999999999963E-4</v>
      </c>
      <c r="J128" s="154">
        <f t="shared" si="15"/>
        <v>-2.5336192346345541E-4</v>
      </c>
      <c r="K128" s="160">
        <f t="shared" si="16"/>
        <v>-3.0000000000000024E-4</v>
      </c>
      <c r="L128" s="161">
        <f t="shared" si="17"/>
        <v>-0.11111111111111105</v>
      </c>
      <c r="M128" s="155">
        <f t="shared" si="18"/>
        <v>-4.0000000000000036E-2</v>
      </c>
      <c r="N128" s="155">
        <f t="shared" si="19"/>
        <v>-4.2553191489361653E-2</v>
      </c>
      <c r="O128" s="155">
        <f t="shared" si="20"/>
        <v>-3.7239138739416533E-2</v>
      </c>
      <c r="P128" s="162">
        <f t="shared" si="21"/>
        <v>-3.3707865168539408E-2</v>
      </c>
    </row>
    <row r="129" spans="1:16">
      <c r="A129" s="319">
        <v>44383</v>
      </c>
      <c r="B129" s="28">
        <v>7.0000000000000007E-2</v>
      </c>
      <c r="C129" s="29">
        <v>0.22</v>
      </c>
      <c r="D129" s="29">
        <v>0.42</v>
      </c>
      <c r="E129" s="30">
        <v>0.61513401055315975</v>
      </c>
      <c r="F129" s="29">
        <v>0.81</v>
      </c>
      <c r="G129" s="159">
        <f t="shared" si="12"/>
        <v>-9.9999999999999951E-5</v>
      </c>
      <c r="H129" s="154">
        <f t="shared" si="13"/>
        <v>-1.999999999999999E-4</v>
      </c>
      <c r="I129" s="154">
        <f t="shared" si="14"/>
        <v>-3.0000000000000024E-4</v>
      </c>
      <c r="J129" s="154">
        <f t="shared" si="15"/>
        <v>-3.9894413576651466E-4</v>
      </c>
      <c r="K129" s="160">
        <f t="shared" si="16"/>
        <v>-4.9999999999999936E-4</v>
      </c>
      <c r="L129" s="161">
        <f t="shared" si="17"/>
        <v>-0.12499999999999989</v>
      </c>
      <c r="M129" s="155">
        <f t="shared" si="18"/>
        <v>-8.3333333333333259E-2</v>
      </c>
      <c r="N129" s="155">
        <f t="shared" si="19"/>
        <v>-6.6666666666666763E-2</v>
      </c>
      <c r="O129" s="155">
        <f t="shared" si="20"/>
        <v>-6.0904858639760806E-2</v>
      </c>
      <c r="P129" s="162">
        <f t="shared" si="21"/>
        <v>-5.8139534883720811E-2</v>
      </c>
    </row>
    <row r="130" spans="1:16">
      <c r="A130" s="319">
        <v>44384</v>
      </c>
      <c r="B130" s="28">
        <v>0.08</v>
      </c>
      <c r="C130" s="29">
        <v>0.22</v>
      </c>
      <c r="D130" s="29">
        <v>0.41</v>
      </c>
      <c r="E130" s="30">
        <v>0.60049623160896226</v>
      </c>
      <c r="F130" s="29">
        <v>0.79</v>
      </c>
      <c r="G130" s="159">
        <f t="shared" si="12"/>
        <v>9.9999999999999951E-5</v>
      </c>
      <c r="H130" s="154">
        <f t="shared" si="13"/>
        <v>0</v>
      </c>
      <c r="I130" s="154">
        <f t="shared" si="14"/>
        <v>-1.0000000000000009E-4</v>
      </c>
      <c r="J130" s="154">
        <f t="shared" si="15"/>
        <v>-1.4637778944197487E-4</v>
      </c>
      <c r="K130" s="160">
        <f t="shared" si="16"/>
        <v>-2.0000000000000017E-4</v>
      </c>
      <c r="L130" s="161">
        <f t="shared" si="17"/>
        <v>0.14285714285714279</v>
      </c>
      <c r="M130" s="155">
        <f t="shared" si="18"/>
        <v>0</v>
      </c>
      <c r="N130" s="155">
        <f t="shared" si="19"/>
        <v>-2.3809523809523836E-2</v>
      </c>
      <c r="O130" s="155">
        <f t="shared" si="20"/>
        <v>-2.3796081330366481E-2</v>
      </c>
      <c r="P130" s="162">
        <f t="shared" si="21"/>
        <v>-2.4691358024691357E-2</v>
      </c>
    </row>
    <row r="131" spans="1:16">
      <c r="A131" s="319">
        <v>44385</v>
      </c>
      <c r="B131" s="28">
        <v>7.0000000000000007E-2</v>
      </c>
      <c r="C131" s="29">
        <v>0.19</v>
      </c>
      <c r="D131" s="29">
        <v>0.37</v>
      </c>
      <c r="E131" s="30">
        <v>0.55547472871858972</v>
      </c>
      <c r="F131" s="29">
        <v>0.74</v>
      </c>
      <c r="G131" s="159">
        <f t="shared" si="12"/>
        <v>-9.9999999999999951E-5</v>
      </c>
      <c r="H131" s="154">
        <f t="shared" si="13"/>
        <v>-2.9999999999999997E-4</v>
      </c>
      <c r="I131" s="154">
        <f t="shared" si="14"/>
        <v>-3.999999999999998E-4</v>
      </c>
      <c r="J131" s="154">
        <f t="shared" si="15"/>
        <v>-4.5021502890372545E-4</v>
      </c>
      <c r="K131" s="160">
        <f t="shared" si="16"/>
        <v>-5.0000000000000044E-4</v>
      </c>
      <c r="L131" s="161">
        <f t="shared" si="17"/>
        <v>-0.12499999999999989</v>
      </c>
      <c r="M131" s="155">
        <f t="shared" si="18"/>
        <v>-0.13636363636363635</v>
      </c>
      <c r="N131" s="155">
        <f t="shared" si="19"/>
        <v>-9.7560975609756073E-2</v>
      </c>
      <c r="O131" s="155">
        <f t="shared" si="20"/>
        <v>-7.4973830842772315E-2</v>
      </c>
      <c r="P131" s="162">
        <f t="shared" si="21"/>
        <v>-6.3291139240506333E-2</v>
      </c>
    </row>
    <row r="132" spans="1:16">
      <c r="A132" s="319">
        <v>44386</v>
      </c>
      <c r="B132" s="28">
        <v>0.08</v>
      </c>
      <c r="C132" s="29">
        <v>0.23</v>
      </c>
      <c r="D132" s="29">
        <v>0.41</v>
      </c>
      <c r="E132" s="30">
        <v>0.60026133053925601</v>
      </c>
      <c r="F132" s="29">
        <v>0.79</v>
      </c>
      <c r="G132" s="159">
        <f t="shared" ref="G132:G195" si="22">(B132-B131)/100</f>
        <v>9.9999999999999951E-5</v>
      </c>
      <c r="H132" s="154">
        <f t="shared" ref="H132:H195" si="23">(C132-C131)/100</f>
        <v>4.0000000000000007E-4</v>
      </c>
      <c r="I132" s="154">
        <f t="shared" ref="I132:I195" si="24">(D132-D131)/100</f>
        <v>3.999999999999998E-4</v>
      </c>
      <c r="J132" s="154">
        <f t="shared" ref="J132:J195" si="25">(E132-E131)/100</f>
        <v>4.4786601820666295E-4</v>
      </c>
      <c r="K132" s="160">
        <f t="shared" ref="K132:K195" si="26">(F132-F131)/100</f>
        <v>5.0000000000000044E-4</v>
      </c>
      <c r="L132" s="161">
        <f t="shared" ref="L132:L195" si="27">(B132/B131)-1</f>
        <v>0.14285714285714279</v>
      </c>
      <c r="M132" s="155">
        <f t="shared" ref="M132:M195" si="28">(C132/C131)-1</f>
        <v>0.21052631578947367</v>
      </c>
      <c r="N132" s="155">
        <f t="shared" ref="N132:N195" si="29">(D132/D131)-1</f>
        <v>0.10810810810810811</v>
      </c>
      <c r="O132" s="155">
        <f t="shared" ref="O132:O195" si="30">(E132/E131)-1</f>
        <v>8.062761365216975E-2</v>
      </c>
      <c r="P132" s="162">
        <f t="shared" ref="P132:P195" si="31">(F132/F131)-1</f>
        <v>6.7567567567567544E-2</v>
      </c>
    </row>
    <row r="133" spans="1:16">
      <c r="A133" s="319">
        <v>44389</v>
      </c>
      <c r="B133" s="28">
        <v>0.08</v>
      </c>
      <c r="C133" s="29">
        <v>0.23</v>
      </c>
      <c r="D133" s="29">
        <v>0.43</v>
      </c>
      <c r="E133" s="30">
        <v>0.62015444496678052</v>
      </c>
      <c r="F133" s="29">
        <v>0.81</v>
      </c>
      <c r="G133" s="159">
        <f t="shared" si="22"/>
        <v>0</v>
      </c>
      <c r="H133" s="154">
        <f t="shared" si="23"/>
        <v>0</v>
      </c>
      <c r="I133" s="154">
        <f t="shared" si="24"/>
        <v>2.0000000000000017E-4</v>
      </c>
      <c r="J133" s="154">
        <f t="shared" si="25"/>
        <v>1.9893114427524505E-4</v>
      </c>
      <c r="K133" s="160">
        <f t="shared" si="26"/>
        <v>2.0000000000000017E-4</v>
      </c>
      <c r="L133" s="161">
        <f t="shared" si="27"/>
        <v>0</v>
      </c>
      <c r="M133" s="155">
        <f t="shared" si="28"/>
        <v>0</v>
      </c>
      <c r="N133" s="155">
        <f t="shared" si="29"/>
        <v>4.8780487804878092E-2</v>
      </c>
      <c r="O133" s="155">
        <f t="shared" si="30"/>
        <v>3.3140756226380796E-2</v>
      </c>
      <c r="P133" s="162">
        <f t="shared" si="31"/>
        <v>2.5316455696202445E-2</v>
      </c>
    </row>
    <row r="134" spans="1:16">
      <c r="A134" s="319">
        <v>44390</v>
      </c>
      <c r="B134" s="28">
        <v>0.08</v>
      </c>
      <c r="C134" s="29">
        <v>0.26</v>
      </c>
      <c r="D134" s="29">
        <v>0.47</v>
      </c>
      <c r="E134" s="30">
        <v>0.66012054363129158</v>
      </c>
      <c r="F134" s="29">
        <v>0.85</v>
      </c>
      <c r="G134" s="159">
        <f t="shared" si="22"/>
        <v>0</v>
      </c>
      <c r="H134" s="154">
        <f t="shared" si="23"/>
        <v>2.9999999999999997E-4</v>
      </c>
      <c r="I134" s="154">
        <f t="shared" si="24"/>
        <v>3.999999999999998E-4</v>
      </c>
      <c r="J134" s="154">
        <f t="shared" si="25"/>
        <v>3.9966098664511064E-4</v>
      </c>
      <c r="K134" s="160">
        <f t="shared" si="26"/>
        <v>3.9999999999999926E-4</v>
      </c>
      <c r="L134" s="161">
        <f t="shared" si="27"/>
        <v>0</v>
      </c>
      <c r="M134" s="155">
        <f t="shared" si="28"/>
        <v>0.13043478260869557</v>
      </c>
      <c r="N134" s="155">
        <f t="shared" si="29"/>
        <v>9.3023255813953432E-2</v>
      </c>
      <c r="O134" s="155">
        <f t="shared" si="30"/>
        <v>6.4445395802414929E-2</v>
      </c>
      <c r="P134" s="162">
        <f t="shared" si="31"/>
        <v>4.9382716049382713E-2</v>
      </c>
    </row>
    <row r="135" spans="1:16">
      <c r="A135" s="319">
        <v>44391</v>
      </c>
      <c r="B135" s="28">
        <v>0.08</v>
      </c>
      <c r="C135" s="29">
        <v>0.23</v>
      </c>
      <c r="D135" s="29">
        <v>0.44</v>
      </c>
      <c r="E135" s="30">
        <v>0.62001561824918894</v>
      </c>
      <c r="F135" s="29">
        <v>0.8</v>
      </c>
      <c r="G135" s="159">
        <f t="shared" si="22"/>
        <v>0</v>
      </c>
      <c r="H135" s="154">
        <f t="shared" si="23"/>
        <v>-2.9999999999999997E-4</v>
      </c>
      <c r="I135" s="154">
        <f t="shared" si="24"/>
        <v>-2.999999999999997E-4</v>
      </c>
      <c r="J135" s="154">
        <f t="shared" si="25"/>
        <v>-4.0104925382102643E-4</v>
      </c>
      <c r="K135" s="160">
        <f t="shared" si="26"/>
        <v>-4.9999999999999936E-4</v>
      </c>
      <c r="L135" s="161">
        <f t="shared" si="27"/>
        <v>0</v>
      </c>
      <c r="M135" s="155">
        <f t="shared" si="28"/>
        <v>-0.11538461538461542</v>
      </c>
      <c r="N135" s="155">
        <f t="shared" si="29"/>
        <v>-6.3829787234042534E-2</v>
      </c>
      <c r="O135" s="155">
        <f t="shared" si="30"/>
        <v>-6.0753942244377579E-2</v>
      </c>
      <c r="P135" s="162">
        <f t="shared" si="31"/>
        <v>-5.8823529411764608E-2</v>
      </c>
    </row>
    <row r="136" spans="1:16">
      <c r="A136" s="319">
        <v>44392</v>
      </c>
      <c r="B136" s="28">
        <v>7.0000000000000007E-2</v>
      </c>
      <c r="C136" s="29">
        <v>0.23</v>
      </c>
      <c r="D136" s="29">
        <v>0.43</v>
      </c>
      <c r="E136" s="30">
        <v>0.60538600250499397</v>
      </c>
      <c r="F136" s="29">
        <v>0.78</v>
      </c>
      <c r="G136" s="159">
        <f t="shared" si="22"/>
        <v>-9.9999999999999951E-5</v>
      </c>
      <c r="H136" s="154">
        <f t="shared" si="23"/>
        <v>0</v>
      </c>
      <c r="I136" s="154">
        <f t="shared" si="24"/>
        <v>-1.0000000000000009E-4</v>
      </c>
      <c r="J136" s="154">
        <f t="shared" si="25"/>
        <v>-1.4629615744194969E-4</v>
      </c>
      <c r="K136" s="160">
        <f t="shared" si="26"/>
        <v>-2.0000000000000017E-4</v>
      </c>
      <c r="L136" s="161">
        <f t="shared" si="27"/>
        <v>-0.12499999999999989</v>
      </c>
      <c r="M136" s="155">
        <f t="shared" si="28"/>
        <v>0</v>
      </c>
      <c r="N136" s="155">
        <f t="shared" si="29"/>
        <v>-2.2727272727272707E-2</v>
      </c>
      <c r="O136" s="155">
        <f t="shared" si="30"/>
        <v>-2.359556003686869E-2</v>
      </c>
      <c r="P136" s="162">
        <f t="shared" si="31"/>
        <v>-2.5000000000000022E-2</v>
      </c>
    </row>
    <row r="137" spans="1:16">
      <c r="A137" s="319">
        <v>44393</v>
      </c>
      <c r="B137" s="28">
        <v>0.08</v>
      </c>
      <c r="C137" s="29">
        <v>0.25</v>
      </c>
      <c r="D137" s="29">
        <v>0.43</v>
      </c>
      <c r="E137" s="30">
        <v>0.61037470264544724</v>
      </c>
      <c r="F137" s="29">
        <v>0.79</v>
      </c>
      <c r="G137" s="159">
        <f t="shared" si="22"/>
        <v>9.9999999999999951E-5</v>
      </c>
      <c r="H137" s="154">
        <f t="shared" si="23"/>
        <v>1.999999999999999E-4</v>
      </c>
      <c r="I137" s="154">
        <f t="shared" si="24"/>
        <v>0</v>
      </c>
      <c r="J137" s="154">
        <f t="shared" si="25"/>
        <v>4.9887001404532725E-5</v>
      </c>
      <c r="K137" s="160">
        <f t="shared" si="26"/>
        <v>1.0000000000000009E-4</v>
      </c>
      <c r="L137" s="161">
        <f t="shared" si="27"/>
        <v>0.14285714285714279</v>
      </c>
      <c r="M137" s="155">
        <f t="shared" si="28"/>
        <v>8.6956521739130377E-2</v>
      </c>
      <c r="N137" s="155">
        <f t="shared" si="29"/>
        <v>0</v>
      </c>
      <c r="O137" s="155">
        <f t="shared" si="30"/>
        <v>8.2405277291031087E-3</v>
      </c>
      <c r="P137" s="162">
        <f t="shared" si="31"/>
        <v>1.2820512820512775E-2</v>
      </c>
    </row>
    <row r="138" spans="1:16">
      <c r="A138" s="319">
        <v>44396</v>
      </c>
      <c r="B138" s="28">
        <v>7.0000000000000007E-2</v>
      </c>
      <c r="C138" s="29">
        <v>0.21</v>
      </c>
      <c r="D138" s="29">
        <v>0.38</v>
      </c>
      <c r="E138" s="30">
        <v>0.54020582514903848</v>
      </c>
      <c r="F138" s="29">
        <v>0.7</v>
      </c>
      <c r="G138" s="159">
        <f t="shared" si="22"/>
        <v>-9.9999999999999951E-5</v>
      </c>
      <c r="H138" s="154">
        <f t="shared" si="23"/>
        <v>-4.0000000000000007E-4</v>
      </c>
      <c r="I138" s="154">
        <f t="shared" si="24"/>
        <v>-4.999999999999999E-4</v>
      </c>
      <c r="J138" s="154">
        <f t="shared" si="25"/>
        <v>-7.016887749640877E-4</v>
      </c>
      <c r="K138" s="160">
        <f t="shared" si="26"/>
        <v>-9.0000000000000084E-4</v>
      </c>
      <c r="L138" s="161">
        <f t="shared" si="27"/>
        <v>-0.12499999999999989</v>
      </c>
      <c r="M138" s="155">
        <f t="shared" si="28"/>
        <v>-0.16000000000000003</v>
      </c>
      <c r="N138" s="155">
        <f t="shared" si="29"/>
        <v>-0.11627906976744184</v>
      </c>
      <c r="O138" s="155">
        <f t="shared" si="30"/>
        <v>-0.11496033042045695</v>
      </c>
      <c r="P138" s="162">
        <f t="shared" si="31"/>
        <v>-0.11392405063291144</v>
      </c>
    </row>
    <row r="139" spans="1:16">
      <c r="A139" s="319">
        <v>44397</v>
      </c>
      <c r="B139" s="28">
        <v>0.08</v>
      </c>
      <c r="C139" s="29">
        <v>0.2</v>
      </c>
      <c r="D139" s="29">
        <v>0.37</v>
      </c>
      <c r="E139" s="30">
        <v>0.53035941572245904</v>
      </c>
      <c r="F139" s="29">
        <v>0.69</v>
      </c>
      <c r="G139" s="159">
        <f t="shared" si="22"/>
        <v>9.9999999999999951E-5</v>
      </c>
      <c r="H139" s="154">
        <f t="shared" si="23"/>
        <v>-9.9999999999999815E-5</v>
      </c>
      <c r="I139" s="154">
        <f t="shared" si="24"/>
        <v>-1.0000000000000009E-4</v>
      </c>
      <c r="J139" s="154">
        <f t="shared" si="25"/>
        <v>-9.8464094265794387E-5</v>
      </c>
      <c r="K139" s="160">
        <f t="shared" si="26"/>
        <v>-1.0000000000000009E-4</v>
      </c>
      <c r="L139" s="161">
        <f t="shared" si="27"/>
        <v>0.14285714285714279</v>
      </c>
      <c r="M139" s="155">
        <f t="shared" si="28"/>
        <v>-4.7619047619047561E-2</v>
      </c>
      <c r="N139" s="155">
        <f t="shared" si="29"/>
        <v>-2.6315789473684181E-2</v>
      </c>
      <c r="O139" s="155">
        <f t="shared" si="30"/>
        <v>-1.8227144114676852E-2</v>
      </c>
      <c r="P139" s="162">
        <f t="shared" si="31"/>
        <v>-1.4285714285714346E-2</v>
      </c>
    </row>
    <row r="140" spans="1:16">
      <c r="A140" s="319">
        <v>44398</v>
      </c>
      <c r="B140" s="28">
        <v>7.0000000000000007E-2</v>
      </c>
      <c r="C140" s="29">
        <v>0.22</v>
      </c>
      <c r="D140" s="29">
        <v>0.39</v>
      </c>
      <c r="E140" s="30">
        <v>0.56518492140373178</v>
      </c>
      <c r="F140" s="29">
        <v>0.74</v>
      </c>
      <c r="G140" s="159">
        <f t="shared" si="22"/>
        <v>-9.9999999999999951E-5</v>
      </c>
      <c r="H140" s="154">
        <f t="shared" si="23"/>
        <v>1.999999999999999E-4</v>
      </c>
      <c r="I140" s="154">
        <f t="shared" si="24"/>
        <v>2.0000000000000017E-4</v>
      </c>
      <c r="J140" s="154">
        <f t="shared" si="25"/>
        <v>3.4825505681272738E-4</v>
      </c>
      <c r="K140" s="160">
        <f t="shared" si="26"/>
        <v>5.0000000000000044E-4</v>
      </c>
      <c r="L140" s="161">
        <f t="shared" si="27"/>
        <v>-0.12499999999999989</v>
      </c>
      <c r="M140" s="155">
        <f t="shared" si="28"/>
        <v>9.9999999999999867E-2</v>
      </c>
      <c r="N140" s="155">
        <f t="shared" si="29"/>
        <v>5.4054054054054168E-2</v>
      </c>
      <c r="O140" s="155">
        <f t="shared" si="30"/>
        <v>6.5663971731006576E-2</v>
      </c>
      <c r="P140" s="162">
        <f t="shared" si="31"/>
        <v>7.2463768115942129E-2</v>
      </c>
    </row>
    <row r="141" spans="1:16">
      <c r="A141" s="319">
        <v>44399</v>
      </c>
      <c r="B141" s="28">
        <v>7.0000000000000007E-2</v>
      </c>
      <c r="C141" s="29">
        <v>0.2</v>
      </c>
      <c r="D141" s="29">
        <v>0.37</v>
      </c>
      <c r="E141" s="30">
        <v>0.54029372160657163</v>
      </c>
      <c r="F141" s="29">
        <v>0.71</v>
      </c>
      <c r="G141" s="159">
        <f t="shared" si="22"/>
        <v>0</v>
      </c>
      <c r="H141" s="154">
        <f t="shared" si="23"/>
        <v>-1.999999999999999E-4</v>
      </c>
      <c r="I141" s="154">
        <f t="shared" si="24"/>
        <v>-2.0000000000000017E-4</v>
      </c>
      <c r="J141" s="154">
        <f t="shared" si="25"/>
        <v>-2.4891199797160145E-4</v>
      </c>
      <c r="K141" s="160">
        <f t="shared" si="26"/>
        <v>-3.0000000000000024E-4</v>
      </c>
      <c r="L141" s="161">
        <f t="shared" si="27"/>
        <v>0</v>
      </c>
      <c r="M141" s="155">
        <f t="shared" si="28"/>
        <v>-9.0909090909090828E-2</v>
      </c>
      <c r="N141" s="155">
        <f t="shared" si="29"/>
        <v>-5.1282051282051322E-2</v>
      </c>
      <c r="O141" s="155">
        <f t="shared" si="30"/>
        <v>-4.4040806565289636E-2</v>
      </c>
      <c r="P141" s="162">
        <f t="shared" si="31"/>
        <v>-4.0540540540540571E-2</v>
      </c>
    </row>
    <row r="142" spans="1:16">
      <c r="A142" s="319">
        <v>44400</v>
      </c>
      <c r="B142" s="28">
        <v>7.0000000000000007E-2</v>
      </c>
      <c r="C142" s="29">
        <v>0.22</v>
      </c>
      <c r="D142" s="29">
        <v>0.38</v>
      </c>
      <c r="E142" s="30">
        <v>0.55032274264356451</v>
      </c>
      <c r="F142" s="29">
        <v>0.72</v>
      </c>
      <c r="G142" s="159">
        <f t="shared" si="22"/>
        <v>0</v>
      </c>
      <c r="H142" s="154">
        <f t="shared" si="23"/>
        <v>1.999999999999999E-4</v>
      </c>
      <c r="I142" s="154">
        <f t="shared" si="24"/>
        <v>1.0000000000000009E-4</v>
      </c>
      <c r="J142" s="154">
        <f t="shared" si="25"/>
        <v>1.002902103699288E-4</v>
      </c>
      <c r="K142" s="160">
        <f t="shared" si="26"/>
        <v>1.0000000000000009E-4</v>
      </c>
      <c r="L142" s="161">
        <f t="shared" si="27"/>
        <v>0</v>
      </c>
      <c r="M142" s="155">
        <f t="shared" si="28"/>
        <v>9.9999999999999867E-2</v>
      </c>
      <c r="N142" s="155">
        <f t="shared" si="29"/>
        <v>2.7027027027026973E-2</v>
      </c>
      <c r="O142" s="155">
        <f t="shared" si="30"/>
        <v>1.8562164681779736E-2</v>
      </c>
      <c r="P142" s="162">
        <f t="shared" si="31"/>
        <v>1.4084507042253502E-2</v>
      </c>
    </row>
    <row r="143" spans="1:16">
      <c r="A143" s="319">
        <v>44403</v>
      </c>
      <c r="B143" s="28">
        <v>0.08</v>
      </c>
      <c r="C143" s="29">
        <v>0.22</v>
      </c>
      <c r="D143" s="29">
        <v>0.38</v>
      </c>
      <c r="E143" s="30">
        <v>0.55509996454664512</v>
      </c>
      <c r="F143" s="29">
        <v>0.73</v>
      </c>
      <c r="G143" s="159">
        <f t="shared" si="22"/>
        <v>9.9999999999999951E-5</v>
      </c>
      <c r="H143" s="154">
        <f t="shared" si="23"/>
        <v>0</v>
      </c>
      <c r="I143" s="154">
        <f t="shared" si="24"/>
        <v>0</v>
      </c>
      <c r="J143" s="154">
        <f t="shared" si="25"/>
        <v>4.7772219030806082E-5</v>
      </c>
      <c r="K143" s="160">
        <f t="shared" si="26"/>
        <v>1.0000000000000009E-4</v>
      </c>
      <c r="L143" s="161">
        <f t="shared" si="27"/>
        <v>0.14285714285714279</v>
      </c>
      <c r="M143" s="155">
        <f t="shared" si="28"/>
        <v>0</v>
      </c>
      <c r="N143" s="155">
        <f t="shared" si="29"/>
        <v>0</v>
      </c>
      <c r="O143" s="155">
        <f t="shared" si="30"/>
        <v>8.6807640915083084E-3</v>
      </c>
      <c r="P143" s="162">
        <f t="shared" si="31"/>
        <v>1.388888888888884E-2</v>
      </c>
    </row>
    <row r="144" spans="1:16">
      <c r="A144" s="319">
        <v>44404</v>
      </c>
      <c r="B144" s="28">
        <v>7.0000000000000007E-2</v>
      </c>
      <c r="C144" s="29">
        <v>0.2</v>
      </c>
      <c r="D144" s="29">
        <v>0.37</v>
      </c>
      <c r="E144" s="30">
        <v>0.54018615389381841</v>
      </c>
      <c r="F144" s="29">
        <v>0.71</v>
      </c>
      <c r="G144" s="159">
        <f t="shared" si="22"/>
        <v>-9.9999999999999951E-5</v>
      </c>
      <c r="H144" s="154">
        <f t="shared" si="23"/>
        <v>-1.999999999999999E-4</v>
      </c>
      <c r="I144" s="154">
        <f t="shared" si="24"/>
        <v>-1.0000000000000009E-4</v>
      </c>
      <c r="J144" s="154">
        <f t="shared" si="25"/>
        <v>-1.4913810652826708E-4</v>
      </c>
      <c r="K144" s="160">
        <f t="shared" si="26"/>
        <v>-2.0000000000000017E-4</v>
      </c>
      <c r="L144" s="161">
        <f t="shared" si="27"/>
        <v>-0.12499999999999989</v>
      </c>
      <c r="M144" s="155">
        <f t="shared" si="28"/>
        <v>-9.0909090909090828E-2</v>
      </c>
      <c r="N144" s="155">
        <f t="shared" si="29"/>
        <v>-2.6315789473684181E-2</v>
      </c>
      <c r="O144" s="155">
        <f t="shared" si="30"/>
        <v>-2.6866891740854215E-2</v>
      </c>
      <c r="P144" s="162">
        <f t="shared" si="31"/>
        <v>-2.7397260273972601E-2</v>
      </c>
    </row>
    <row r="145" spans="1:16">
      <c r="A145" s="319">
        <v>44405</v>
      </c>
      <c r="B145" s="28">
        <v>7.0000000000000007E-2</v>
      </c>
      <c r="C145" s="29">
        <v>0.2</v>
      </c>
      <c r="D145" s="29">
        <v>0.38</v>
      </c>
      <c r="E145" s="30">
        <v>0.55046709980256892</v>
      </c>
      <c r="F145" s="29">
        <v>0.72</v>
      </c>
      <c r="G145" s="159">
        <f t="shared" si="22"/>
        <v>0</v>
      </c>
      <c r="H145" s="154">
        <f t="shared" si="23"/>
        <v>0</v>
      </c>
      <c r="I145" s="154">
        <f t="shared" si="24"/>
        <v>1.0000000000000009E-4</v>
      </c>
      <c r="J145" s="154">
        <f t="shared" si="25"/>
        <v>1.0280945908750506E-4</v>
      </c>
      <c r="K145" s="160">
        <f t="shared" si="26"/>
        <v>1.0000000000000009E-4</v>
      </c>
      <c r="L145" s="161">
        <f t="shared" si="27"/>
        <v>0</v>
      </c>
      <c r="M145" s="155">
        <f t="shared" si="28"/>
        <v>0</v>
      </c>
      <c r="N145" s="155">
        <f t="shared" si="29"/>
        <v>2.7027027027026973E-2</v>
      </c>
      <c r="O145" s="155">
        <f t="shared" si="30"/>
        <v>1.9032227750827024E-2</v>
      </c>
      <c r="P145" s="162">
        <f t="shared" si="31"/>
        <v>1.4084507042253502E-2</v>
      </c>
    </row>
    <row r="146" spans="1:16">
      <c r="A146" s="319">
        <v>44406</v>
      </c>
      <c r="B146" s="28">
        <v>0.08</v>
      </c>
      <c r="C146" s="29">
        <v>0.2</v>
      </c>
      <c r="D146" s="29">
        <v>0.37</v>
      </c>
      <c r="E146" s="30">
        <v>0.55032811751130073</v>
      </c>
      <c r="F146" s="29">
        <v>0.73</v>
      </c>
      <c r="G146" s="159">
        <f t="shared" si="22"/>
        <v>9.9999999999999951E-5</v>
      </c>
      <c r="H146" s="154">
        <f t="shared" si="23"/>
        <v>0</v>
      </c>
      <c r="I146" s="154">
        <f t="shared" si="24"/>
        <v>-1.0000000000000009E-4</v>
      </c>
      <c r="J146" s="154">
        <f t="shared" si="25"/>
        <v>-1.3898229126818595E-6</v>
      </c>
      <c r="K146" s="160">
        <f t="shared" si="26"/>
        <v>1.0000000000000009E-4</v>
      </c>
      <c r="L146" s="161">
        <f t="shared" si="27"/>
        <v>0.14285714285714279</v>
      </c>
      <c r="M146" s="155">
        <f t="shared" si="28"/>
        <v>0</v>
      </c>
      <c r="N146" s="155">
        <f t="shared" si="29"/>
        <v>-2.6315789473684181E-2</v>
      </c>
      <c r="O146" s="155">
        <f t="shared" si="30"/>
        <v>-2.5248065019334298E-4</v>
      </c>
      <c r="P146" s="162">
        <f t="shared" si="31"/>
        <v>1.388888888888884E-2</v>
      </c>
    </row>
    <row r="147" spans="1:16">
      <c r="A147" s="319">
        <v>44407</v>
      </c>
      <c r="B147" s="28">
        <v>7.0000000000000007E-2</v>
      </c>
      <c r="C147" s="29">
        <v>0.19</v>
      </c>
      <c r="D147" s="29">
        <v>0.35</v>
      </c>
      <c r="E147" s="30">
        <v>0.5203053129272871</v>
      </c>
      <c r="F147" s="29">
        <v>0.69</v>
      </c>
      <c r="G147" s="159">
        <f t="shared" si="22"/>
        <v>-9.9999999999999951E-5</v>
      </c>
      <c r="H147" s="154">
        <f t="shared" si="23"/>
        <v>-1.0000000000000009E-4</v>
      </c>
      <c r="I147" s="154">
        <f t="shared" si="24"/>
        <v>-2.0000000000000017E-4</v>
      </c>
      <c r="J147" s="154">
        <f t="shared" si="25"/>
        <v>-3.0022804584013631E-4</v>
      </c>
      <c r="K147" s="160">
        <f t="shared" si="26"/>
        <v>-4.0000000000000034E-4</v>
      </c>
      <c r="L147" s="161">
        <f t="shared" si="27"/>
        <v>-0.12499999999999989</v>
      </c>
      <c r="M147" s="155">
        <f t="shared" si="28"/>
        <v>-5.0000000000000044E-2</v>
      </c>
      <c r="N147" s="155">
        <f t="shared" si="29"/>
        <v>-5.4054054054054057E-2</v>
      </c>
      <c r="O147" s="155">
        <f t="shared" si="30"/>
        <v>-5.4554371526177925E-2</v>
      </c>
      <c r="P147" s="162">
        <f t="shared" si="31"/>
        <v>-5.4794520547945202E-2</v>
      </c>
    </row>
    <row r="148" spans="1:16">
      <c r="A148" s="319">
        <v>44410</v>
      </c>
      <c r="B148" s="28">
        <v>7.0000000000000007E-2</v>
      </c>
      <c r="C148" s="29">
        <v>0.17</v>
      </c>
      <c r="D148" s="29">
        <v>0.33</v>
      </c>
      <c r="E148" s="30">
        <v>0.49515233494845018</v>
      </c>
      <c r="F148" s="29">
        <v>0.66</v>
      </c>
      <c r="G148" s="159">
        <f t="shared" si="22"/>
        <v>0</v>
      </c>
      <c r="H148" s="154">
        <f t="shared" si="23"/>
        <v>-1.999999999999999E-4</v>
      </c>
      <c r="I148" s="154">
        <f t="shared" si="24"/>
        <v>-1.9999999999999963E-4</v>
      </c>
      <c r="J148" s="154">
        <f t="shared" si="25"/>
        <v>-2.5152977978836919E-4</v>
      </c>
      <c r="K148" s="160">
        <f t="shared" si="26"/>
        <v>-2.9999999999999916E-4</v>
      </c>
      <c r="L148" s="161">
        <f t="shared" si="27"/>
        <v>0</v>
      </c>
      <c r="M148" s="155">
        <f t="shared" si="28"/>
        <v>-0.10526315789473684</v>
      </c>
      <c r="N148" s="155">
        <f t="shared" si="29"/>
        <v>-5.7142857142857051E-2</v>
      </c>
      <c r="O148" s="155">
        <f t="shared" si="30"/>
        <v>-4.8342727536883845E-2</v>
      </c>
      <c r="P148" s="162">
        <f t="shared" si="31"/>
        <v>-4.3478260869565077E-2</v>
      </c>
    </row>
    <row r="149" spans="1:16">
      <c r="A149" s="319">
        <v>44411</v>
      </c>
      <c r="B149" s="28">
        <v>7.0000000000000007E-2</v>
      </c>
      <c r="C149" s="29">
        <v>0.17</v>
      </c>
      <c r="D149" s="29">
        <v>0.33</v>
      </c>
      <c r="E149" s="30">
        <v>0.49021259951699403</v>
      </c>
      <c r="F149" s="29">
        <v>0.65</v>
      </c>
      <c r="G149" s="159">
        <f t="shared" si="22"/>
        <v>0</v>
      </c>
      <c r="H149" s="154">
        <f t="shared" si="23"/>
        <v>0</v>
      </c>
      <c r="I149" s="154">
        <f t="shared" si="24"/>
        <v>0</v>
      </c>
      <c r="J149" s="154">
        <f t="shared" si="25"/>
        <v>-4.939735431456149E-5</v>
      </c>
      <c r="K149" s="160">
        <f t="shared" si="26"/>
        <v>-1.0000000000000009E-4</v>
      </c>
      <c r="L149" s="161">
        <f t="shared" si="27"/>
        <v>0</v>
      </c>
      <c r="M149" s="155">
        <f t="shared" si="28"/>
        <v>0</v>
      </c>
      <c r="N149" s="155">
        <f t="shared" si="29"/>
        <v>0</v>
      </c>
      <c r="O149" s="155">
        <f t="shared" si="30"/>
        <v>-9.9761933506189449E-3</v>
      </c>
      <c r="P149" s="162">
        <f t="shared" si="31"/>
        <v>-1.5151515151515138E-2</v>
      </c>
    </row>
    <row r="150" spans="1:16">
      <c r="A150" s="319">
        <v>44412</v>
      </c>
      <c r="B150" s="28">
        <v>7.0000000000000007E-2</v>
      </c>
      <c r="C150" s="29">
        <v>0.17</v>
      </c>
      <c r="D150" s="29">
        <v>0.34</v>
      </c>
      <c r="E150" s="30">
        <v>0.50514528950942628</v>
      </c>
      <c r="F150" s="29">
        <v>0.67</v>
      </c>
      <c r="G150" s="159">
        <f t="shared" si="22"/>
        <v>0</v>
      </c>
      <c r="H150" s="154">
        <f t="shared" si="23"/>
        <v>0</v>
      </c>
      <c r="I150" s="154">
        <f t="shared" si="24"/>
        <v>1.0000000000000009E-4</v>
      </c>
      <c r="J150" s="154">
        <f t="shared" si="25"/>
        <v>1.4932689992432245E-4</v>
      </c>
      <c r="K150" s="160">
        <f t="shared" si="26"/>
        <v>2.0000000000000017E-4</v>
      </c>
      <c r="L150" s="161">
        <f t="shared" si="27"/>
        <v>0</v>
      </c>
      <c r="M150" s="155">
        <f t="shared" si="28"/>
        <v>0</v>
      </c>
      <c r="N150" s="155">
        <f t="shared" si="29"/>
        <v>3.0303030303030276E-2</v>
      </c>
      <c r="O150" s="155">
        <f t="shared" si="30"/>
        <v>3.0461660934756551E-2</v>
      </c>
      <c r="P150" s="162">
        <f t="shared" si="31"/>
        <v>3.0769230769230882E-2</v>
      </c>
    </row>
    <row r="151" spans="1:16">
      <c r="A151" s="319">
        <v>44413</v>
      </c>
      <c r="B151" s="28">
        <v>0.08</v>
      </c>
      <c r="C151" s="29">
        <v>0.21</v>
      </c>
      <c r="D151" s="29">
        <v>0.38</v>
      </c>
      <c r="E151" s="30">
        <v>0.55004624244579114</v>
      </c>
      <c r="F151" s="29">
        <v>0.72</v>
      </c>
      <c r="G151" s="159">
        <f t="shared" si="22"/>
        <v>9.9999999999999951E-5</v>
      </c>
      <c r="H151" s="154">
        <f t="shared" si="23"/>
        <v>3.999999999999998E-4</v>
      </c>
      <c r="I151" s="154">
        <f t="shared" si="24"/>
        <v>3.999999999999998E-4</v>
      </c>
      <c r="J151" s="154">
        <f t="shared" si="25"/>
        <v>4.4900952936364867E-4</v>
      </c>
      <c r="K151" s="160">
        <f t="shared" si="26"/>
        <v>4.9999999999999936E-4</v>
      </c>
      <c r="L151" s="161">
        <f t="shared" si="27"/>
        <v>0.14285714285714279</v>
      </c>
      <c r="M151" s="155">
        <f t="shared" si="28"/>
        <v>0.23529411764705865</v>
      </c>
      <c r="N151" s="155">
        <f t="shared" si="29"/>
        <v>0.11764705882352944</v>
      </c>
      <c r="O151" s="155">
        <f t="shared" si="30"/>
        <v>8.8887205065240948E-2</v>
      </c>
      <c r="P151" s="162">
        <f t="shared" si="31"/>
        <v>7.4626865671641784E-2</v>
      </c>
    </row>
    <row r="152" spans="1:16">
      <c r="A152" s="319">
        <v>44414</v>
      </c>
      <c r="B152" s="28">
        <v>0.09</v>
      </c>
      <c r="C152" s="29">
        <v>0.21</v>
      </c>
      <c r="D152" s="29">
        <v>0.42</v>
      </c>
      <c r="E152" s="30">
        <v>0.59543166469949904</v>
      </c>
      <c r="F152" s="29">
        <v>0.77</v>
      </c>
      <c r="G152" s="159">
        <f t="shared" si="22"/>
        <v>9.9999999999999951E-5</v>
      </c>
      <c r="H152" s="154">
        <f t="shared" si="23"/>
        <v>0</v>
      </c>
      <c r="I152" s="154">
        <f t="shared" si="24"/>
        <v>3.999999999999998E-4</v>
      </c>
      <c r="J152" s="154">
        <f t="shared" si="25"/>
        <v>4.5385422253707894E-4</v>
      </c>
      <c r="K152" s="160">
        <f t="shared" si="26"/>
        <v>5.0000000000000044E-4</v>
      </c>
      <c r="L152" s="161">
        <f t="shared" si="27"/>
        <v>0.125</v>
      </c>
      <c r="M152" s="155">
        <f t="shared" si="28"/>
        <v>0</v>
      </c>
      <c r="N152" s="155">
        <f t="shared" si="29"/>
        <v>0.10526315789473673</v>
      </c>
      <c r="O152" s="155">
        <f t="shared" si="30"/>
        <v>8.2512012175377736E-2</v>
      </c>
      <c r="P152" s="162">
        <f t="shared" si="31"/>
        <v>6.944444444444442E-2</v>
      </c>
    </row>
    <row r="153" spans="1:16">
      <c r="A153" s="319">
        <v>44417</v>
      </c>
      <c r="B153" s="28">
        <v>0.08</v>
      </c>
      <c r="C153" s="29">
        <v>0.23</v>
      </c>
      <c r="D153" s="29">
        <v>0.43</v>
      </c>
      <c r="E153" s="30">
        <v>0.61044013107079542</v>
      </c>
      <c r="F153" s="29">
        <v>0.79</v>
      </c>
      <c r="G153" s="159">
        <f t="shared" si="22"/>
        <v>-9.9999999999999951E-5</v>
      </c>
      <c r="H153" s="154">
        <f t="shared" si="23"/>
        <v>2.0000000000000017E-4</v>
      </c>
      <c r="I153" s="154">
        <f t="shared" si="24"/>
        <v>1.0000000000000009E-4</v>
      </c>
      <c r="J153" s="154">
        <f t="shared" si="25"/>
        <v>1.500846637129638E-4</v>
      </c>
      <c r="K153" s="160">
        <f t="shared" si="26"/>
        <v>2.0000000000000017E-4</v>
      </c>
      <c r="L153" s="161">
        <f t="shared" si="27"/>
        <v>-0.11111111111111105</v>
      </c>
      <c r="M153" s="155">
        <f t="shared" si="28"/>
        <v>9.5238095238095344E-2</v>
      </c>
      <c r="N153" s="155">
        <f t="shared" si="29"/>
        <v>2.3809523809523725E-2</v>
      </c>
      <c r="O153" s="155">
        <f t="shared" si="30"/>
        <v>2.5206026587233588E-2</v>
      </c>
      <c r="P153" s="162">
        <f t="shared" si="31"/>
        <v>2.5974025974025983E-2</v>
      </c>
    </row>
    <row r="154" spans="1:16">
      <c r="A154" s="319">
        <v>44418</v>
      </c>
      <c r="B154" s="28">
        <v>0.08</v>
      </c>
      <c r="C154" s="29">
        <v>0.24</v>
      </c>
      <c r="D154" s="29">
        <v>0.47</v>
      </c>
      <c r="E154" s="30">
        <v>0.64500715201760439</v>
      </c>
      <c r="F154" s="29">
        <v>0.82</v>
      </c>
      <c r="G154" s="159">
        <f t="shared" si="22"/>
        <v>0</v>
      </c>
      <c r="H154" s="154">
        <f t="shared" si="23"/>
        <v>9.9999999999999815E-5</v>
      </c>
      <c r="I154" s="154">
        <f t="shared" si="24"/>
        <v>3.999999999999998E-4</v>
      </c>
      <c r="J154" s="154">
        <f t="shared" si="25"/>
        <v>3.456702094680897E-4</v>
      </c>
      <c r="K154" s="160">
        <f t="shared" si="26"/>
        <v>2.9999999999999916E-4</v>
      </c>
      <c r="L154" s="161">
        <f t="shared" si="27"/>
        <v>0</v>
      </c>
      <c r="M154" s="155">
        <f t="shared" si="28"/>
        <v>4.3478260869565188E-2</v>
      </c>
      <c r="N154" s="155">
        <f t="shared" si="29"/>
        <v>9.3023255813953432E-2</v>
      </c>
      <c r="O154" s="155">
        <f t="shared" si="30"/>
        <v>5.6626390021530248E-2</v>
      </c>
      <c r="P154" s="162">
        <f t="shared" si="31"/>
        <v>3.7974683544303778E-2</v>
      </c>
    </row>
    <row r="155" spans="1:16">
      <c r="A155" s="319">
        <v>44419</v>
      </c>
      <c r="B155" s="28">
        <v>0.08</v>
      </c>
      <c r="C155" s="29">
        <v>0.23</v>
      </c>
      <c r="D155" s="29">
        <v>0.45</v>
      </c>
      <c r="E155" s="30">
        <v>0.63018193268680989</v>
      </c>
      <c r="F155" s="29">
        <v>0.81</v>
      </c>
      <c r="G155" s="159">
        <f t="shared" si="22"/>
        <v>0</v>
      </c>
      <c r="H155" s="154">
        <f t="shared" si="23"/>
        <v>-9.9999999999999815E-5</v>
      </c>
      <c r="I155" s="154">
        <f t="shared" si="24"/>
        <v>-1.9999999999999963E-4</v>
      </c>
      <c r="J155" s="154">
        <f t="shared" si="25"/>
        <v>-1.4825219330794504E-4</v>
      </c>
      <c r="K155" s="160">
        <f t="shared" si="26"/>
        <v>-9.9999999999998975E-5</v>
      </c>
      <c r="L155" s="161">
        <f t="shared" si="27"/>
        <v>0</v>
      </c>
      <c r="M155" s="155">
        <f t="shared" si="28"/>
        <v>-4.166666666666663E-2</v>
      </c>
      <c r="N155" s="155">
        <f t="shared" si="29"/>
        <v>-4.2553191489361653E-2</v>
      </c>
      <c r="O155" s="155">
        <f t="shared" si="30"/>
        <v>-2.2984581309557162E-2</v>
      </c>
      <c r="P155" s="162">
        <f t="shared" si="31"/>
        <v>-1.2195121951219412E-2</v>
      </c>
    </row>
    <row r="156" spans="1:16">
      <c r="A156" s="319">
        <v>44420</v>
      </c>
      <c r="B156" s="28">
        <v>0.09</v>
      </c>
      <c r="C156" s="29">
        <v>0.23</v>
      </c>
      <c r="D156" s="29">
        <v>0.46</v>
      </c>
      <c r="E156" s="30">
        <v>0.64538188277789676</v>
      </c>
      <c r="F156" s="29">
        <v>0.83</v>
      </c>
      <c r="G156" s="159">
        <f t="shared" si="22"/>
        <v>9.9999999999999951E-5</v>
      </c>
      <c r="H156" s="154">
        <f t="shared" si="23"/>
        <v>0</v>
      </c>
      <c r="I156" s="154">
        <f t="shared" si="24"/>
        <v>1.0000000000000009E-4</v>
      </c>
      <c r="J156" s="154">
        <f t="shared" si="25"/>
        <v>1.5199950091086877E-4</v>
      </c>
      <c r="K156" s="160">
        <f t="shared" si="26"/>
        <v>1.9999999999999906E-4</v>
      </c>
      <c r="L156" s="161">
        <f t="shared" si="27"/>
        <v>0.125</v>
      </c>
      <c r="M156" s="155">
        <f t="shared" si="28"/>
        <v>0</v>
      </c>
      <c r="N156" s="155">
        <f t="shared" si="29"/>
        <v>2.2222222222222143E-2</v>
      </c>
      <c r="O156" s="155">
        <f t="shared" si="30"/>
        <v>2.4119939501091592E-2</v>
      </c>
      <c r="P156" s="162">
        <f t="shared" si="31"/>
        <v>2.4691358024691246E-2</v>
      </c>
    </row>
    <row r="157" spans="1:16">
      <c r="A157" s="319">
        <v>44421</v>
      </c>
      <c r="B157" s="28">
        <v>0.08</v>
      </c>
      <c r="C157" s="29">
        <v>0.23</v>
      </c>
      <c r="D157" s="29">
        <v>0.44</v>
      </c>
      <c r="E157" s="30">
        <v>0.61530321678286348</v>
      </c>
      <c r="F157" s="29">
        <v>0.79</v>
      </c>
      <c r="G157" s="159">
        <f t="shared" si="22"/>
        <v>-9.9999999999999951E-5</v>
      </c>
      <c r="H157" s="154">
        <f t="shared" si="23"/>
        <v>0</v>
      </c>
      <c r="I157" s="154">
        <f t="shared" si="24"/>
        <v>-2.0000000000000017E-4</v>
      </c>
      <c r="J157" s="154">
        <f t="shared" si="25"/>
        <v>-3.0078665995033282E-4</v>
      </c>
      <c r="K157" s="160">
        <f t="shared" si="26"/>
        <v>-3.9999999999999926E-4</v>
      </c>
      <c r="L157" s="161">
        <f t="shared" si="27"/>
        <v>-0.11111111111111105</v>
      </c>
      <c r="M157" s="155">
        <f t="shared" si="28"/>
        <v>0</v>
      </c>
      <c r="N157" s="155">
        <f t="shared" si="29"/>
        <v>-4.3478260869565299E-2</v>
      </c>
      <c r="O157" s="155">
        <f t="shared" si="30"/>
        <v>-4.6605996848821718E-2</v>
      </c>
      <c r="P157" s="162">
        <f t="shared" si="31"/>
        <v>-4.8192771084337283E-2</v>
      </c>
    </row>
    <row r="158" spans="1:16">
      <c r="A158" s="319">
        <v>44424</v>
      </c>
      <c r="B158" s="28">
        <v>0.08</v>
      </c>
      <c r="C158" s="29">
        <v>0.21</v>
      </c>
      <c r="D158" s="29">
        <v>0.42</v>
      </c>
      <c r="E158" s="30">
        <v>0.58505397480964383</v>
      </c>
      <c r="F158" s="29">
        <v>0.75</v>
      </c>
      <c r="G158" s="159">
        <f t="shared" si="22"/>
        <v>0</v>
      </c>
      <c r="H158" s="154">
        <f t="shared" si="23"/>
        <v>-2.0000000000000017E-4</v>
      </c>
      <c r="I158" s="154">
        <f t="shared" si="24"/>
        <v>-2.0000000000000017E-4</v>
      </c>
      <c r="J158" s="154">
        <f t="shared" si="25"/>
        <v>-3.0249241973219655E-4</v>
      </c>
      <c r="K158" s="160">
        <f t="shared" si="26"/>
        <v>-4.0000000000000034E-4</v>
      </c>
      <c r="L158" s="161">
        <f t="shared" si="27"/>
        <v>0</v>
      </c>
      <c r="M158" s="155">
        <f t="shared" si="28"/>
        <v>-8.6956521739130488E-2</v>
      </c>
      <c r="N158" s="155">
        <f t="shared" si="29"/>
        <v>-4.5454545454545525E-2</v>
      </c>
      <c r="O158" s="155">
        <f t="shared" si="30"/>
        <v>-4.9161520934961067E-2</v>
      </c>
      <c r="P158" s="162">
        <f t="shared" si="31"/>
        <v>-5.0632911392405111E-2</v>
      </c>
    </row>
    <row r="159" spans="1:16">
      <c r="A159" s="319">
        <v>44425</v>
      </c>
      <c r="B159" s="28">
        <v>7.0000000000000007E-2</v>
      </c>
      <c r="C159" s="29">
        <v>0.23</v>
      </c>
      <c r="D159" s="29">
        <v>0.43</v>
      </c>
      <c r="E159" s="30">
        <v>0.60048085396487183</v>
      </c>
      <c r="F159" s="29">
        <v>0.77</v>
      </c>
      <c r="G159" s="159">
        <f t="shared" si="22"/>
        <v>-9.9999999999999951E-5</v>
      </c>
      <c r="H159" s="154">
        <f t="shared" si="23"/>
        <v>2.0000000000000017E-4</v>
      </c>
      <c r="I159" s="154">
        <f t="shared" si="24"/>
        <v>1.0000000000000009E-4</v>
      </c>
      <c r="J159" s="154">
        <f t="shared" si="25"/>
        <v>1.5426879155228001E-4</v>
      </c>
      <c r="K159" s="160">
        <f t="shared" si="26"/>
        <v>2.0000000000000017E-4</v>
      </c>
      <c r="L159" s="161">
        <f t="shared" si="27"/>
        <v>-0.12499999999999989</v>
      </c>
      <c r="M159" s="155">
        <f t="shared" si="28"/>
        <v>9.5238095238095344E-2</v>
      </c>
      <c r="N159" s="155">
        <f t="shared" si="29"/>
        <v>2.3809523809523725E-2</v>
      </c>
      <c r="O159" s="155">
        <f t="shared" si="30"/>
        <v>2.6368300737119821E-2</v>
      </c>
      <c r="P159" s="162">
        <f t="shared" si="31"/>
        <v>2.6666666666666616E-2</v>
      </c>
    </row>
    <row r="160" spans="1:16">
      <c r="A160" s="319">
        <v>44426</v>
      </c>
      <c r="B160" s="28">
        <v>7.0000000000000007E-2</v>
      </c>
      <c r="C160" s="29">
        <v>0.23</v>
      </c>
      <c r="D160" s="29">
        <v>0.43</v>
      </c>
      <c r="E160" s="30">
        <v>0.61036241909455202</v>
      </c>
      <c r="F160" s="29">
        <v>0.79</v>
      </c>
      <c r="G160" s="159">
        <f t="shared" si="22"/>
        <v>0</v>
      </c>
      <c r="H160" s="154">
        <f t="shared" si="23"/>
        <v>0</v>
      </c>
      <c r="I160" s="154">
        <f t="shared" si="24"/>
        <v>0</v>
      </c>
      <c r="J160" s="154">
        <f t="shared" si="25"/>
        <v>9.8815651296801926E-5</v>
      </c>
      <c r="K160" s="160">
        <f t="shared" si="26"/>
        <v>2.0000000000000017E-4</v>
      </c>
      <c r="L160" s="161">
        <f t="shared" si="27"/>
        <v>0</v>
      </c>
      <c r="M160" s="155">
        <f t="shared" si="28"/>
        <v>0</v>
      </c>
      <c r="N160" s="155">
        <f t="shared" si="29"/>
        <v>0</v>
      </c>
      <c r="O160" s="155">
        <f t="shared" si="30"/>
        <v>1.6456086925060065E-2</v>
      </c>
      <c r="P160" s="162">
        <f t="shared" si="31"/>
        <v>2.5974025974025983E-2</v>
      </c>
    </row>
    <row r="161" spans="1:16">
      <c r="A161" s="319">
        <v>44427</v>
      </c>
      <c r="B161" s="28">
        <v>0.06</v>
      </c>
      <c r="C161" s="29">
        <v>0.22</v>
      </c>
      <c r="D161" s="29">
        <v>0.44</v>
      </c>
      <c r="E161" s="30">
        <v>0.61034995131253511</v>
      </c>
      <c r="F161" s="29">
        <v>0.78</v>
      </c>
      <c r="G161" s="159">
        <f t="shared" si="22"/>
        <v>-1.0000000000000009E-4</v>
      </c>
      <c r="H161" s="154">
        <f t="shared" si="23"/>
        <v>-1.0000000000000009E-4</v>
      </c>
      <c r="I161" s="154">
        <f t="shared" si="24"/>
        <v>1.0000000000000009E-4</v>
      </c>
      <c r="J161" s="154">
        <f t="shared" si="25"/>
        <v>-1.2467782016911678E-7</v>
      </c>
      <c r="K161" s="160">
        <f t="shared" si="26"/>
        <v>-1.0000000000000009E-4</v>
      </c>
      <c r="L161" s="161">
        <f t="shared" si="27"/>
        <v>-0.14285714285714302</v>
      </c>
      <c r="M161" s="155">
        <f t="shared" si="28"/>
        <v>-4.3478260869565299E-2</v>
      </c>
      <c r="N161" s="155">
        <f t="shared" si="29"/>
        <v>2.3255813953488413E-2</v>
      </c>
      <c r="O161" s="155">
        <f t="shared" si="30"/>
        <v>-2.0426850715016265E-5</v>
      </c>
      <c r="P161" s="162">
        <f t="shared" si="31"/>
        <v>-1.2658227848101222E-2</v>
      </c>
    </row>
    <row r="162" spans="1:16">
      <c r="A162" s="319">
        <v>44428</v>
      </c>
      <c r="B162" s="28">
        <v>0.06</v>
      </c>
      <c r="C162" s="29">
        <v>0.23</v>
      </c>
      <c r="D162" s="29">
        <v>0.44</v>
      </c>
      <c r="E162" s="30">
        <v>0.62006966044621104</v>
      </c>
      <c r="F162" s="29">
        <v>0.8</v>
      </c>
      <c r="G162" s="159">
        <f t="shared" si="22"/>
        <v>0</v>
      </c>
      <c r="H162" s="154">
        <f t="shared" si="23"/>
        <v>1.0000000000000009E-4</v>
      </c>
      <c r="I162" s="154">
        <f t="shared" si="24"/>
        <v>0</v>
      </c>
      <c r="J162" s="154">
        <f t="shared" si="25"/>
        <v>9.7197091336759239E-5</v>
      </c>
      <c r="K162" s="160">
        <f t="shared" si="26"/>
        <v>2.0000000000000017E-4</v>
      </c>
      <c r="L162" s="161">
        <f t="shared" si="27"/>
        <v>0</v>
      </c>
      <c r="M162" s="155">
        <f t="shared" si="28"/>
        <v>4.5454545454545414E-2</v>
      </c>
      <c r="N162" s="155">
        <f t="shared" si="29"/>
        <v>0</v>
      </c>
      <c r="O162" s="155">
        <f t="shared" si="30"/>
        <v>1.5924813482452338E-2</v>
      </c>
      <c r="P162" s="162">
        <f t="shared" si="31"/>
        <v>2.5641025641025772E-2</v>
      </c>
    </row>
    <row r="163" spans="1:16">
      <c r="A163" s="319">
        <v>44431</v>
      </c>
      <c r="B163" s="28">
        <v>7.0000000000000007E-2</v>
      </c>
      <c r="C163" s="29">
        <v>0.23</v>
      </c>
      <c r="D163" s="29">
        <v>0.43</v>
      </c>
      <c r="E163" s="30">
        <v>0.60500463551081463</v>
      </c>
      <c r="F163" s="29">
        <v>0.78</v>
      </c>
      <c r="G163" s="159">
        <f t="shared" si="22"/>
        <v>1.0000000000000009E-4</v>
      </c>
      <c r="H163" s="154">
        <f t="shared" si="23"/>
        <v>0</v>
      </c>
      <c r="I163" s="154">
        <f t="shared" si="24"/>
        <v>-1.0000000000000009E-4</v>
      </c>
      <c r="J163" s="154">
        <f t="shared" si="25"/>
        <v>-1.506502493539641E-4</v>
      </c>
      <c r="K163" s="160">
        <f t="shared" si="26"/>
        <v>-2.0000000000000017E-4</v>
      </c>
      <c r="L163" s="161">
        <f t="shared" si="27"/>
        <v>0.16666666666666674</v>
      </c>
      <c r="M163" s="155">
        <f t="shared" si="28"/>
        <v>0</v>
      </c>
      <c r="N163" s="155">
        <f t="shared" si="29"/>
        <v>-2.2727272727272707E-2</v>
      </c>
      <c r="O163" s="155">
        <f t="shared" si="30"/>
        <v>-2.4295697558489482E-2</v>
      </c>
      <c r="P163" s="162">
        <f t="shared" si="31"/>
        <v>-2.5000000000000022E-2</v>
      </c>
    </row>
    <row r="164" spans="1:16">
      <c r="A164" s="319">
        <v>44432</v>
      </c>
      <c r="B164" s="28">
        <v>0.06</v>
      </c>
      <c r="C164" s="29">
        <v>0.24</v>
      </c>
      <c r="D164" s="29">
        <v>0.44</v>
      </c>
      <c r="E164" s="30">
        <v>0.62022786573352018</v>
      </c>
      <c r="F164" s="29">
        <v>0.8</v>
      </c>
      <c r="G164" s="159">
        <f t="shared" si="22"/>
        <v>-1.0000000000000009E-4</v>
      </c>
      <c r="H164" s="154">
        <f t="shared" si="23"/>
        <v>9.9999999999999815E-5</v>
      </c>
      <c r="I164" s="154">
        <f t="shared" si="24"/>
        <v>1.0000000000000009E-4</v>
      </c>
      <c r="J164" s="154">
        <f t="shared" si="25"/>
        <v>1.5223230222705553E-4</v>
      </c>
      <c r="K164" s="160">
        <f t="shared" si="26"/>
        <v>2.0000000000000017E-4</v>
      </c>
      <c r="L164" s="161">
        <f t="shared" si="27"/>
        <v>-0.14285714285714302</v>
      </c>
      <c r="M164" s="155">
        <f t="shared" si="28"/>
        <v>4.3478260869565188E-2</v>
      </c>
      <c r="N164" s="155">
        <f t="shared" si="29"/>
        <v>2.3255813953488413E-2</v>
      </c>
      <c r="O164" s="155">
        <f t="shared" si="30"/>
        <v>2.5162171211882356E-2</v>
      </c>
      <c r="P164" s="162">
        <f t="shared" si="31"/>
        <v>2.5641025641025772E-2</v>
      </c>
    </row>
    <row r="165" spans="1:16">
      <c r="A165" s="319">
        <v>44433</v>
      </c>
      <c r="B165" s="28">
        <v>7.0000000000000007E-2</v>
      </c>
      <c r="C165" s="29">
        <v>0.23</v>
      </c>
      <c r="D165" s="29">
        <v>0.47</v>
      </c>
      <c r="E165" s="30">
        <v>0.65501544345503404</v>
      </c>
      <c r="F165" s="29">
        <v>0.84</v>
      </c>
      <c r="G165" s="159">
        <f t="shared" si="22"/>
        <v>1.0000000000000009E-4</v>
      </c>
      <c r="H165" s="154">
        <f t="shared" si="23"/>
        <v>-9.9999999999999815E-5</v>
      </c>
      <c r="I165" s="154">
        <f t="shared" si="24"/>
        <v>2.999999999999997E-4</v>
      </c>
      <c r="J165" s="154">
        <f t="shared" si="25"/>
        <v>3.4787577721513864E-4</v>
      </c>
      <c r="K165" s="160">
        <f t="shared" si="26"/>
        <v>3.9999999999999926E-4</v>
      </c>
      <c r="L165" s="161">
        <f t="shared" si="27"/>
        <v>0.16666666666666674</v>
      </c>
      <c r="M165" s="155">
        <f t="shared" si="28"/>
        <v>-4.166666666666663E-2</v>
      </c>
      <c r="N165" s="155">
        <f t="shared" si="29"/>
        <v>6.8181818181818121E-2</v>
      </c>
      <c r="O165" s="155">
        <f t="shared" si="30"/>
        <v>5.6088382421147553E-2</v>
      </c>
      <c r="P165" s="162">
        <f t="shared" si="31"/>
        <v>4.9999999999999822E-2</v>
      </c>
    </row>
    <row r="166" spans="1:16">
      <c r="A166" s="319">
        <v>44434</v>
      </c>
      <c r="B166" s="28">
        <v>7.0000000000000007E-2</v>
      </c>
      <c r="C166" s="29">
        <v>0.25</v>
      </c>
      <c r="D166" s="29">
        <v>0.46</v>
      </c>
      <c r="E166" s="30">
        <v>0.65039485012015041</v>
      </c>
      <c r="F166" s="29">
        <v>0.84</v>
      </c>
      <c r="G166" s="159">
        <f t="shared" si="22"/>
        <v>0</v>
      </c>
      <c r="H166" s="154">
        <f t="shared" si="23"/>
        <v>1.999999999999999E-4</v>
      </c>
      <c r="I166" s="154">
        <f t="shared" si="24"/>
        <v>-9.999999999999953E-5</v>
      </c>
      <c r="J166" s="154">
        <f t="shared" si="25"/>
        <v>-4.620593334883627E-5</v>
      </c>
      <c r="K166" s="160">
        <f t="shared" si="26"/>
        <v>0</v>
      </c>
      <c r="L166" s="161">
        <f t="shared" si="27"/>
        <v>0</v>
      </c>
      <c r="M166" s="155">
        <f t="shared" si="28"/>
        <v>8.6956521739130377E-2</v>
      </c>
      <c r="N166" s="155">
        <f t="shared" si="29"/>
        <v>-2.1276595744680771E-2</v>
      </c>
      <c r="O166" s="155">
        <f t="shared" si="30"/>
        <v>-7.0541746474116485E-3</v>
      </c>
      <c r="P166" s="162">
        <f t="shared" si="31"/>
        <v>0</v>
      </c>
    </row>
    <row r="167" spans="1:16">
      <c r="A167" s="319">
        <v>44435</v>
      </c>
      <c r="B167" s="28">
        <v>7.0000000000000007E-2</v>
      </c>
      <c r="C167" s="29">
        <v>0.22</v>
      </c>
      <c r="D167" s="29">
        <v>0.41</v>
      </c>
      <c r="E167" s="30">
        <v>0.60005756305649893</v>
      </c>
      <c r="F167" s="29">
        <v>0.79</v>
      </c>
      <c r="G167" s="159">
        <f t="shared" si="22"/>
        <v>0</v>
      </c>
      <c r="H167" s="154">
        <f t="shared" si="23"/>
        <v>-2.9999999999999997E-4</v>
      </c>
      <c r="I167" s="154">
        <f t="shared" si="24"/>
        <v>-5.0000000000000044E-4</v>
      </c>
      <c r="J167" s="154">
        <f t="shared" si="25"/>
        <v>-5.0337287063651479E-4</v>
      </c>
      <c r="K167" s="160">
        <f t="shared" si="26"/>
        <v>-4.9999999999999936E-4</v>
      </c>
      <c r="L167" s="161">
        <f t="shared" si="27"/>
        <v>0</v>
      </c>
      <c r="M167" s="155">
        <f t="shared" si="28"/>
        <v>-0.12</v>
      </c>
      <c r="N167" s="155">
        <f t="shared" si="29"/>
        <v>-0.10869565217391308</v>
      </c>
      <c r="O167" s="155">
        <f t="shared" si="30"/>
        <v>-7.7394965618735156E-2</v>
      </c>
      <c r="P167" s="162">
        <f t="shared" si="31"/>
        <v>-5.9523809523809423E-2</v>
      </c>
    </row>
    <row r="168" spans="1:16">
      <c r="A168" s="319">
        <v>44438</v>
      </c>
      <c r="B168" s="28">
        <v>0.08</v>
      </c>
      <c r="C168" s="29">
        <v>0.2</v>
      </c>
      <c r="D168" s="29">
        <v>0.4</v>
      </c>
      <c r="E168" s="30">
        <v>0.58517476590358242</v>
      </c>
      <c r="F168" s="29">
        <v>0.77</v>
      </c>
      <c r="G168" s="159">
        <f t="shared" si="22"/>
        <v>9.9999999999999951E-5</v>
      </c>
      <c r="H168" s="154">
        <f t="shared" si="23"/>
        <v>-1.999999999999999E-4</v>
      </c>
      <c r="I168" s="154">
        <f t="shared" si="24"/>
        <v>-9.999999999999953E-5</v>
      </c>
      <c r="J168" s="154">
        <f t="shared" si="25"/>
        <v>-1.4882797152916517E-4</v>
      </c>
      <c r="K168" s="160">
        <f t="shared" si="26"/>
        <v>-2.0000000000000017E-4</v>
      </c>
      <c r="L168" s="161">
        <f t="shared" si="27"/>
        <v>0.14285714285714279</v>
      </c>
      <c r="M168" s="155">
        <f t="shared" si="28"/>
        <v>-9.0909090909090828E-2</v>
      </c>
      <c r="N168" s="155">
        <f t="shared" si="29"/>
        <v>-2.4390243902438935E-2</v>
      </c>
      <c r="O168" s="155">
        <f t="shared" si="30"/>
        <v>-2.4802282429552847E-2</v>
      </c>
      <c r="P168" s="162">
        <f t="shared" si="31"/>
        <v>-2.5316455696202556E-2</v>
      </c>
    </row>
    <row r="169" spans="1:16">
      <c r="A169" s="319">
        <v>44439</v>
      </c>
      <c r="B169" s="28">
        <v>7.0000000000000007E-2</v>
      </c>
      <c r="C169" s="29">
        <v>0.2</v>
      </c>
      <c r="D169" s="29">
        <v>0.4</v>
      </c>
      <c r="E169" s="30">
        <v>0.58534930072784741</v>
      </c>
      <c r="F169" s="29">
        <v>0.77</v>
      </c>
      <c r="G169" s="159">
        <f t="shared" si="22"/>
        <v>-9.9999999999999951E-5</v>
      </c>
      <c r="H169" s="154">
        <f t="shared" si="23"/>
        <v>0</v>
      </c>
      <c r="I169" s="154">
        <f t="shared" si="24"/>
        <v>0</v>
      </c>
      <c r="J169" s="154">
        <f t="shared" si="25"/>
        <v>1.7453482426499355E-6</v>
      </c>
      <c r="K169" s="160">
        <f t="shared" si="26"/>
        <v>0</v>
      </c>
      <c r="L169" s="161">
        <f t="shared" si="27"/>
        <v>-0.12499999999999989</v>
      </c>
      <c r="M169" s="155">
        <f t="shared" si="28"/>
        <v>0</v>
      </c>
      <c r="N169" s="155">
        <f t="shared" si="29"/>
        <v>0</v>
      </c>
      <c r="O169" s="155">
        <f t="shared" si="30"/>
        <v>2.9826102291941048E-4</v>
      </c>
      <c r="P169" s="162">
        <f t="shared" si="31"/>
        <v>0</v>
      </c>
    </row>
    <row r="170" spans="1:16">
      <c r="A170" s="319">
        <v>44440</v>
      </c>
      <c r="B170" s="28">
        <v>7.0000000000000007E-2</v>
      </c>
      <c r="C170" s="29">
        <v>0.2</v>
      </c>
      <c r="D170" s="29">
        <v>0.42</v>
      </c>
      <c r="E170" s="30">
        <v>0.60013141493845523</v>
      </c>
      <c r="F170" s="29">
        <v>0.78</v>
      </c>
      <c r="G170" s="159">
        <f t="shared" si="22"/>
        <v>0</v>
      </c>
      <c r="H170" s="154">
        <f t="shared" si="23"/>
        <v>0</v>
      </c>
      <c r="I170" s="154">
        <f t="shared" si="24"/>
        <v>1.9999999999999963E-4</v>
      </c>
      <c r="J170" s="154">
        <f t="shared" si="25"/>
        <v>1.4782114210607823E-4</v>
      </c>
      <c r="K170" s="160">
        <f t="shared" si="26"/>
        <v>1.0000000000000009E-4</v>
      </c>
      <c r="L170" s="161">
        <f t="shared" si="27"/>
        <v>0</v>
      </c>
      <c r="M170" s="155">
        <f t="shared" si="28"/>
        <v>0</v>
      </c>
      <c r="N170" s="155">
        <f t="shared" si="29"/>
        <v>4.9999999999999822E-2</v>
      </c>
      <c r="O170" s="155">
        <f t="shared" si="30"/>
        <v>2.5253492559446311E-2</v>
      </c>
      <c r="P170" s="162">
        <f t="shared" si="31"/>
        <v>1.2987012987013102E-2</v>
      </c>
    </row>
    <row r="171" spans="1:16">
      <c r="A171" s="319">
        <v>44441</v>
      </c>
      <c r="B171" s="28">
        <v>7.0000000000000007E-2</v>
      </c>
      <c r="C171" s="29">
        <v>0.2</v>
      </c>
      <c r="D171" s="29">
        <v>0.42</v>
      </c>
      <c r="E171" s="30">
        <v>0.60034634076446758</v>
      </c>
      <c r="F171" s="29">
        <v>0.78</v>
      </c>
      <c r="G171" s="159">
        <f t="shared" si="22"/>
        <v>0</v>
      </c>
      <c r="H171" s="154">
        <f t="shared" si="23"/>
        <v>0</v>
      </c>
      <c r="I171" s="154">
        <f t="shared" si="24"/>
        <v>0</v>
      </c>
      <c r="J171" s="154">
        <f t="shared" si="25"/>
        <v>2.1492582601234658E-6</v>
      </c>
      <c r="K171" s="160">
        <f t="shared" si="26"/>
        <v>0</v>
      </c>
      <c r="L171" s="161">
        <f t="shared" si="27"/>
        <v>0</v>
      </c>
      <c r="M171" s="155">
        <f t="shared" si="28"/>
        <v>0</v>
      </c>
      <c r="N171" s="155">
        <f t="shared" si="29"/>
        <v>0</v>
      </c>
      <c r="O171" s="155">
        <f t="shared" si="30"/>
        <v>3.5813127035577708E-4</v>
      </c>
      <c r="P171" s="162">
        <f t="shared" si="31"/>
        <v>0</v>
      </c>
    </row>
    <row r="172" spans="1:16">
      <c r="A172" s="319">
        <v>44442</v>
      </c>
      <c r="B172" s="28">
        <v>0.08</v>
      </c>
      <c r="C172" s="29">
        <v>0.21</v>
      </c>
      <c r="D172" s="29">
        <v>0.42</v>
      </c>
      <c r="E172" s="30">
        <v>0.60016027109839065</v>
      </c>
      <c r="F172" s="29">
        <v>0.78</v>
      </c>
      <c r="G172" s="159">
        <f t="shared" si="22"/>
        <v>9.9999999999999951E-5</v>
      </c>
      <c r="H172" s="154">
        <f t="shared" si="23"/>
        <v>9.9999999999999815E-5</v>
      </c>
      <c r="I172" s="154">
        <f t="shared" si="24"/>
        <v>0</v>
      </c>
      <c r="J172" s="154">
        <f t="shared" si="25"/>
        <v>-1.8606966607692677E-6</v>
      </c>
      <c r="K172" s="160">
        <f t="shared" si="26"/>
        <v>0</v>
      </c>
      <c r="L172" s="161">
        <f t="shared" si="27"/>
        <v>0.14285714285714279</v>
      </c>
      <c r="M172" s="155">
        <f t="shared" si="28"/>
        <v>4.9999999999999822E-2</v>
      </c>
      <c r="N172" s="155">
        <f t="shared" si="29"/>
        <v>0</v>
      </c>
      <c r="O172" s="155">
        <f t="shared" si="30"/>
        <v>-3.0993720364813626E-4</v>
      </c>
      <c r="P172" s="162">
        <f t="shared" si="31"/>
        <v>0</v>
      </c>
    </row>
    <row r="173" spans="1:16">
      <c r="A173" s="319">
        <v>44446</v>
      </c>
      <c r="B173" s="28">
        <v>0.08</v>
      </c>
      <c r="C173" s="29">
        <v>0.22</v>
      </c>
      <c r="D173" s="29">
        <v>0.45</v>
      </c>
      <c r="E173" s="30">
        <v>0.6353510806590652</v>
      </c>
      <c r="F173" s="29">
        <v>0.82</v>
      </c>
      <c r="G173" s="159">
        <f t="shared" si="22"/>
        <v>0</v>
      </c>
      <c r="H173" s="154">
        <f t="shared" si="23"/>
        <v>1.0000000000000009E-4</v>
      </c>
      <c r="I173" s="154">
        <f t="shared" si="24"/>
        <v>3.0000000000000024E-4</v>
      </c>
      <c r="J173" s="154">
        <f t="shared" si="25"/>
        <v>3.5190809560674551E-4</v>
      </c>
      <c r="K173" s="160">
        <f t="shared" si="26"/>
        <v>3.9999999999999926E-4</v>
      </c>
      <c r="L173" s="161">
        <f t="shared" si="27"/>
        <v>0</v>
      </c>
      <c r="M173" s="155">
        <f t="shared" si="28"/>
        <v>4.7619047619047672E-2</v>
      </c>
      <c r="N173" s="155">
        <f t="shared" si="29"/>
        <v>7.1428571428571397E-2</v>
      </c>
      <c r="O173" s="155">
        <f t="shared" si="30"/>
        <v>5.8635686591299363E-2</v>
      </c>
      <c r="P173" s="162">
        <f t="shared" si="31"/>
        <v>5.12820512820511E-2</v>
      </c>
    </row>
    <row r="174" spans="1:16">
      <c r="A174" s="319">
        <v>44447</v>
      </c>
      <c r="B174" s="28">
        <v>0.08</v>
      </c>
      <c r="C174" s="29">
        <v>0.22</v>
      </c>
      <c r="D174" s="29">
        <v>0.43</v>
      </c>
      <c r="E174" s="30">
        <v>0.62005611437261343</v>
      </c>
      <c r="F174" s="29">
        <v>0.81</v>
      </c>
      <c r="G174" s="159">
        <f t="shared" si="22"/>
        <v>0</v>
      </c>
      <c r="H174" s="154">
        <f t="shared" si="23"/>
        <v>0</v>
      </c>
      <c r="I174" s="154">
        <f t="shared" si="24"/>
        <v>-2.0000000000000017E-4</v>
      </c>
      <c r="J174" s="154">
        <f t="shared" si="25"/>
        <v>-1.5294966286451771E-4</v>
      </c>
      <c r="K174" s="160">
        <f t="shared" si="26"/>
        <v>-9.9999999999998975E-5</v>
      </c>
      <c r="L174" s="161">
        <f t="shared" si="27"/>
        <v>0</v>
      </c>
      <c r="M174" s="155">
        <f t="shared" si="28"/>
        <v>0</v>
      </c>
      <c r="N174" s="155">
        <f t="shared" si="29"/>
        <v>-4.4444444444444509E-2</v>
      </c>
      <c r="O174" s="155">
        <f t="shared" si="30"/>
        <v>-2.4073251391318884E-2</v>
      </c>
      <c r="P174" s="162">
        <f t="shared" si="31"/>
        <v>-1.2195121951219412E-2</v>
      </c>
    </row>
    <row r="175" spans="1:16">
      <c r="A175" s="319">
        <v>44448</v>
      </c>
      <c r="B175" s="28">
        <v>7.0000000000000007E-2</v>
      </c>
      <c r="C175" s="29">
        <v>0.23</v>
      </c>
      <c r="D175" s="29">
        <v>0.43</v>
      </c>
      <c r="E175" s="30">
        <v>0.61011495271380967</v>
      </c>
      <c r="F175" s="29">
        <v>0.79</v>
      </c>
      <c r="G175" s="159">
        <f t="shared" si="22"/>
        <v>-9.9999999999999951E-5</v>
      </c>
      <c r="H175" s="154">
        <f t="shared" si="23"/>
        <v>1.0000000000000009E-4</v>
      </c>
      <c r="I175" s="154">
        <f t="shared" si="24"/>
        <v>0</v>
      </c>
      <c r="J175" s="154">
        <f t="shared" si="25"/>
        <v>-9.9411616588037654E-5</v>
      </c>
      <c r="K175" s="160">
        <f t="shared" si="26"/>
        <v>-2.0000000000000017E-4</v>
      </c>
      <c r="L175" s="161">
        <f t="shared" si="27"/>
        <v>-0.12499999999999989</v>
      </c>
      <c r="M175" s="155">
        <f t="shared" si="28"/>
        <v>4.5454545454545414E-2</v>
      </c>
      <c r="N175" s="155">
        <f t="shared" si="29"/>
        <v>0</v>
      </c>
      <c r="O175" s="155">
        <f t="shared" si="30"/>
        <v>-1.6032680637078189E-2</v>
      </c>
      <c r="P175" s="162">
        <f t="shared" si="31"/>
        <v>-2.4691358024691357E-2</v>
      </c>
    </row>
    <row r="176" spans="1:16">
      <c r="A176" s="319">
        <v>44449</v>
      </c>
      <c r="B176" s="28">
        <v>0.08</v>
      </c>
      <c r="C176" s="29">
        <v>0.23</v>
      </c>
      <c r="D176" s="29">
        <v>0.45</v>
      </c>
      <c r="E176" s="30">
        <v>0.63507800094513867</v>
      </c>
      <c r="F176" s="29">
        <v>0.82</v>
      </c>
      <c r="G176" s="159">
        <f t="shared" si="22"/>
        <v>9.9999999999999951E-5</v>
      </c>
      <c r="H176" s="154">
        <f t="shared" si="23"/>
        <v>0</v>
      </c>
      <c r="I176" s="154">
        <f t="shared" si="24"/>
        <v>2.0000000000000017E-4</v>
      </c>
      <c r="J176" s="154">
        <f t="shared" si="25"/>
        <v>2.4963048231328998E-4</v>
      </c>
      <c r="K176" s="160">
        <f t="shared" si="26"/>
        <v>2.9999999999999916E-4</v>
      </c>
      <c r="L176" s="161">
        <f t="shared" si="27"/>
        <v>0.14285714285714279</v>
      </c>
      <c r="M176" s="155">
        <f t="shared" si="28"/>
        <v>0</v>
      </c>
      <c r="N176" s="155">
        <f t="shared" si="29"/>
        <v>4.6511627906976827E-2</v>
      </c>
      <c r="O176" s="155">
        <f t="shared" si="30"/>
        <v>4.0915319515269388E-2</v>
      </c>
      <c r="P176" s="162">
        <f t="shared" si="31"/>
        <v>3.7974683544303778E-2</v>
      </c>
    </row>
    <row r="177" spans="1:16">
      <c r="A177" s="319">
        <v>44452</v>
      </c>
      <c r="B177" s="28">
        <v>7.0000000000000007E-2</v>
      </c>
      <c r="C177" s="29">
        <v>0.21</v>
      </c>
      <c r="D177" s="29">
        <v>0.44</v>
      </c>
      <c r="E177" s="30">
        <v>0.62545297217002604</v>
      </c>
      <c r="F177" s="29">
        <v>0.81</v>
      </c>
      <c r="G177" s="159">
        <f t="shared" si="22"/>
        <v>-9.9999999999999951E-5</v>
      </c>
      <c r="H177" s="154">
        <f t="shared" si="23"/>
        <v>-2.0000000000000017E-4</v>
      </c>
      <c r="I177" s="154">
        <f t="shared" si="24"/>
        <v>-1.0000000000000009E-4</v>
      </c>
      <c r="J177" s="154">
        <f t="shared" si="25"/>
        <v>-9.6250287751126212E-5</v>
      </c>
      <c r="K177" s="160">
        <f t="shared" si="26"/>
        <v>-9.9999999999998975E-5</v>
      </c>
      <c r="L177" s="161">
        <f t="shared" si="27"/>
        <v>-0.12499999999999989</v>
      </c>
      <c r="M177" s="155">
        <f t="shared" si="28"/>
        <v>-8.6956521739130488E-2</v>
      </c>
      <c r="N177" s="155">
        <f t="shared" si="29"/>
        <v>-2.2222222222222254E-2</v>
      </c>
      <c r="O177" s="155">
        <f t="shared" si="30"/>
        <v>-1.5155663966927579E-2</v>
      </c>
      <c r="P177" s="162">
        <f t="shared" si="31"/>
        <v>-1.2195121951219412E-2</v>
      </c>
    </row>
    <row r="178" spans="1:16">
      <c r="A178" s="319">
        <v>44453</v>
      </c>
      <c r="B178" s="28">
        <v>7.0000000000000007E-2</v>
      </c>
      <c r="C178" s="29">
        <v>0.21</v>
      </c>
      <c r="D178" s="29">
        <v>0.43</v>
      </c>
      <c r="E178" s="30">
        <v>0.61004274774703482</v>
      </c>
      <c r="F178" s="29">
        <v>0.79</v>
      </c>
      <c r="G178" s="159">
        <f t="shared" si="22"/>
        <v>0</v>
      </c>
      <c r="H178" s="154">
        <f t="shared" si="23"/>
        <v>0</v>
      </c>
      <c r="I178" s="154">
        <f t="shared" si="24"/>
        <v>-1.0000000000000009E-4</v>
      </c>
      <c r="J178" s="154">
        <f t="shared" si="25"/>
        <v>-1.5410224422991226E-4</v>
      </c>
      <c r="K178" s="160">
        <f t="shared" si="26"/>
        <v>-2.0000000000000017E-4</v>
      </c>
      <c r="L178" s="161">
        <f t="shared" si="27"/>
        <v>0</v>
      </c>
      <c r="M178" s="155">
        <f t="shared" si="28"/>
        <v>0</v>
      </c>
      <c r="N178" s="155">
        <f t="shared" si="29"/>
        <v>-2.2727272727272707E-2</v>
      </c>
      <c r="O178" s="155">
        <f t="shared" si="30"/>
        <v>-2.4638502187502631E-2</v>
      </c>
      <c r="P178" s="162">
        <f t="shared" si="31"/>
        <v>-2.4691358024691357E-2</v>
      </c>
    </row>
    <row r="179" spans="1:16">
      <c r="A179" s="319">
        <v>44454</v>
      </c>
      <c r="B179" s="28">
        <v>7.0000000000000007E-2</v>
      </c>
      <c r="C179" s="29">
        <v>0.21</v>
      </c>
      <c r="D179" s="29">
        <v>0.43</v>
      </c>
      <c r="E179" s="30">
        <v>0.62006936074782937</v>
      </c>
      <c r="F179" s="29">
        <v>0.81</v>
      </c>
      <c r="G179" s="159">
        <f t="shared" si="22"/>
        <v>0</v>
      </c>
      <c r="H179" s="154">
        <f t="shared" si="23"/>
        <v>0</v>
      </c>
      <c r="I179" s="154">
        <f t="shared" si="24"/>
        <v>0</v>
      </c>
      <c r="J179" s="154">
        <f t="shared" si="25"/>
        <v>1.0026613000794548E-4</v>
      </c>
      <c r="K179" s="160">
        <f t="shared" si="26"/>
        <v>2.0000000000000017E-4</v>
      </c>
      <c r="L179" s="161">
        <f t="shared" si="27"/>
        <v>0</v>
      </c>
      <c r="M179" s="155">
        <f t="shared" si="28"/>
        <v>0</v>
      </c>
      <c r="N179" s="155">
        <f t="shared" si="29"/>
        <v>0</v>
      </c>
      <c r="O179" s="155">
        <f t="shared" si="30"/>
        <v>1.6435918692295104E-2</v>
      </c>
      <c r="P179" s="162">
        <f t="shared" si="31"/>
        <v>2.5316455696202445E-2</v>
      </c>
    </row>
    <row r="180" spans="1:16">
      <c r="A180" s="319">
        <v>44455</v>
      </c>
      <c r="B180" s="28">
        <v>7.0000000000000007E-2</v>
      </c>
      <c r="C180" s="29">
        <v>0.23</v>
      </c>
      <c r="D180" s="29">
        <v>0.46</v>
      </c>
      <c r="E180" s="30">
        <v>0.65004585970628193</v>
      </c>
      <c r="F180" s="29">
        <v>0.84</v>
      </c>
      <c r="G180" s="159">
        <f t="shared" si="22"/>
        <v>0</v>
      </c>
      <c r="H180" s="154">
        <f t="shared" si="23"/>
        <v>2.0000000000000017E-4</v>
      </c>
      <c r="I180" s="154">
        <f t="shared" si="24"/>
        <v>3.0000000000000024E-4</v>
      </c>
      <c r="J180" s="154">
        <f t="shared" si="25"/>
        <v>2.997649895845256E-4</v>
      </c>
      <c r="K180" s="160">
        <f t="shared" si="26"/>
        <v>2.9999999999999916E-4</v>
      </c>
      <c r="L180" s="161">
        <f t="shared" si="27"/>
        <v>0</v>
      </c>
      <c r="M180" s="155">
        <f t="shared" si="28"/>
        <v>9.5238095238095344E-2</v>
      </c>
      <c r="N180" s="155">
        <f t="shared" si="29"/>
        <v>6.976744186046524E-2</v>
      </c>
      <c r="O180" s="155">
        <f t="shared" si="30"/>
        <v>4.8343783544311236E-2</v>
      </c>
      <c r="P180" s="162">
        <f t="shared" si="31"/>
        <v>3.7037037037036979E-2</v>
      </c>
    </row>
    <row r="181" spans="1:16">
      <c r="A181" s="319">
        <v>44456</v>
      </c>
      <c r="B181" s="28">
        <v>7.0000000000000007E-2</v>
      </c>
      <c r="C181" s="29">
        <v>0.23</v>
      </c>
      <c r="D181" s="29">
        <v>0.47</v>
      </c>
      <c r="E181" s="30">
        <v>0.67513752634263147</v>
      </c>
      <c r="F181" s="29">
        <v>0.88</v>
      </c>
      <c r="G181" s="159">
        <f t="shared" si="22"/>
        <v>0</v>
      </c>
      <c r="H181" s="154">
        <f t="shared" si="23"/>
        <v>0</v>
      </c>
      <c r="I181" s="154">
        <f t="shared" si="24"/>
        <v>9.999999999999953E-5</v>
      </c>
      <c r="J181" s="154">
        <f t="shared" si="25"/>
        <v>2.5091666636349542E-4</v>
      </c>
      <c r="K181" s="160">
        <f t="shared" si="26"/>
        <v>4.0000000000000034E-4</v>
      </c>
      <c r="L181" s="161">
        <f t="shared" si="27"/>
        <v>0</v>
      </c>
      <c r="M181" s="155">
        <f t="shared" si="28"/>
        <v>0</v>
      </c>
      <c r="N181" s="155">
        <f t="shared" si="29"/>
        <v>2.1739130434782483E-2</v>
      </c>
      <c r="O181" s="155">
        <f t="shared" si="30"/>
        <v>3.8599840706141864E-2</v>
      </c>
      <c r="P181" s="162">
        <f t="shared" si="31"/>
        <v>4.7619047619047672E-2</v>
      </c>
    </row>
    <row r="182" spans="1:16">
      <c r="A182" s="319">
        <v>44459</v>
      </c>
      <c r="B182" s="28">
        <v>7.0000000000000007E-2</v>
      </c>
      <c r="C182" s="29">
        <v>0.23</v>
      </c>
      <c r="D182" s="29">
        <v>0.45</v>
      </c>
      <c r="E182" s="30">
        <v>0.64012856003836338</v>
      </c>
      <c r="F182" s="29">
        <v>0.83</v>
      </c>
      <c r="G182" s="159">
        <f t="shared" si="22"/>
        <v>0</v>
      </c>
      <c r="H182" s="154">
        <f t="shared" si="23"/>
        <v>0</v>
      </c>
      <c r="I182" s="154">
        <f t="shared" si="24"/>
        <v>-1.9999999999999963E-4</v>
      </c>
      <c r="J182" s="154">
        <f t="shared" si="25"/>
        <v>-3.5008966304268086E-4</v>
      </c>
      <c r="K182" s="160">
        <f t="shared" si="26"/>
        <v>-5.0000000000000044E-4</v>
      </c>
      <c r="L182" s="161">
        <f t="shared" si="27"/>
        <v>0</v>
      </c>
      <c r="M182" s="155">
        <f t="shared" si="28"/>
        <v>0</v>
      </c>
      <c r="N182" s="155">
        <f t="shared" si="29"/>
        <v>-4.2553191489361653E-2</v>
      </c>
      <c r="O182" s="155">
        <f t="shared" si="30"/>
        <v>-5.1854570273880851E-2</v>
      </c>
      <c r="P182" s="162">
        <f t="shared" si="31"/>
        <v>-5.6818181818181879E-2</v>
      </c>
    </row>
    <row r="183" spans="1:16">
      <c r="A183" s="319">
        <v>44460</v>
      </c>
      <c r="B183" s="28">
        <v>7.0000000000000007E-2</v>
      </c>
      <c r="C183" s="29">
        <v>0.22</v>
      </c>
      <c r="D183" s="29">
        <v>0.46</v>
      </c>
      <c r="E183" s="30">
        <v>0.65015156857273004</v>
      </c>
      <c r="F183" s="29">
        <v>0.84</v>
      </c>
      <c r="G183" s="159">
        <f t="shared" si="22"/>
        <v>0</v>
      </c>
      <c r="H183" s="154">
        <f t="shared" si="23"/>
        <v>-1.0000000000000009E-4</v>
      </c>
      <c r="I183" s="154">
        <f t="shared" si="24"/>
        <v>1.0000000000000009E-4</v>
      </c>
      <c r="J183" s="154">
        <f t="shared" si="25"/>
        <v>1.0023008534366662E-4</v>
      </c>
      <c r="K183" s="160">
        <f t="shared" si="26"/>
        <v>1.0000000000000009E-4</v>
      </c>
      <c r="L183" s="161">
        <f t="shared" si="27"/>
        <v>0</v>
      </c>
      <c r="M183" s="155">
        <f t="shared" si="28"/>
        <v>-4.3478260869565299E-2</v>
      </c>
      <c r="N183" s="155">
        <f t="shared" si="29"/>
        <v>2.2222222222222143E-2</v>
      </c>
      <c r="O183" s="155">
        <f t="shared" si="30"/>
        <v>1.5657805572315109E-2</v>
      </c>
      <c r="P183" s="162">
        <f t="shared" si="31"/>
        <v>1.2048192771084265E-2</v>
      </c>
    </row>
    <row r="184" spans="1:16">
      <c r="A184" s="319">
        <v>44461</v>
      </c>
      <c r="B184" s="28">
        <v>0.08</v>
      </c>
      <c r="C184" s="29">
        <v>0.25</v>
      </c>
      <c r="D184" s="29">
        <v>0.48</v>
      </c>
      <c r="E184" s="30">
        <v>0.67048021881862052</v>
      </c>
      <c r="F184" s="29">
        <v>0.86</v>
      </c>
      <c r="G184" s="159">
        <f t="shared" si="22"/>
        <v>9.9999999999999951E-5</v>
      </c>
      <c r="H184" s="154">
        <f t="shared" si="23"/>
        <v>2.9999999999999997E-4</v>
      </c>
      <c r="I184" s="154">
        <f t="shared" si="24"/>
        <v>1.9999999999999963E-4</v>
      </c>
      <c r="J184" s="154">
        <f t="shared" si="25"/>
        <v>2.0328650245890478E-4</v>
      </c>
      <c r="K184" s="160">
        <f t="shared" si="26"/>
        <v>2.0000000000000017E-4</v>
      </c>
      <c r="L184" s="161">
        <f t="shared" si="27"/>
        <v>0.14285714285714279</v>
      </c>
      <c r="M184" s="155">
        <f t="shared" si="28"/>
        <v>0.13636363636363646</v>
      </c>
      <c r="N184" s="155">
        <f t="shared" si="29"/>
        <v>4.3478260869565188E-2</v>
      </c>
      <c r="O184" s="155">
        <f t="shared" si="30"/>
        <v>3.1267555487896059E-2</v>
      </c>
      <c r="P184" s="162">
        <f t="shared" si="31"/>
        <v>2.3809523809523725E-2</v>
      </c>
    </row>
    <row r="185" spans="1:16">
      <c r="A185" s="319">
        <v>44462</v>
      </c>
      <c r="B185" s="28">
        <v>0.08</v>
      </c>
      <c r="C185" s="29">
        <v>0.27</v>
      </c>
      <c r="D185" s="29">
        <v>0.53</v>
      </c>
      <c r="E185" s="30">
        <v>0.73508667579586662</v>
      </c>
      <c r="F185" s="29">
        <v>0.94</v>
      </c>
      <c r="G185" s="159">
        <f t="shared" si="22"/>
        <v>0</v>
      </c>
      <c r="H185" s="154">
        <f t="shared" si="23"/>
        <v>2.0000000000000017E-4</v>
      </c>
      <c r="I185" s="154">
        <f t="shared" si="24"/>
        <v>5.0000000000000044E-4</v>
      </c>
      <c r="J185" s="154">
        <f t="shared" si="25"/>
        <v>6.46064569772461E-4</v>
      </c>
      <c r="K185" s="160">
        <f t="shared" si="26"/>
        <v>7.999999999999996E-4</v>
      </c>
      <c r="L185" s="161">
        <f t="shared" si="27"/>
        <v>0</v>
      </c>
      <c r="M185" s="155">
        <f t="shared" si="28"/>
        <v>8.0000000000000071E-2</v>
      </c>
      <c r="N185" s="155">
        <f t="shared" si="29"/>
        <v>0.10416666666666674</v>
      </c>
      <c r="O185" s="155">
        <f t="shared" si="30"/>
        <v>9.6358483313768728E-2</v>
      </c>
      <c r="P185" s="162">
        <f t="shared" si="31"/>
        <v>9.3023255813953432E-2</v>
      </c>
    </row>
    <row r="186" spans="1:16">
      <c r="A186" s="319">
        <v>44463</v>
      </c>
      <c r="B186" s="28">
        <v>0.08</v>
      </c>
      <c r="C186" s="29">
        <v>0.28999999999999998</v>
      </c>
      <c r="D186" s="29">
        <v>0.55000000000000004</v>
      </c>
      <c r="E186" s="30">
        <v>0.7603070102305014</v>
      </c>
      <c r="F186" s="29">
        <v>0.97</v>
      </c>
      <c r="G186" s="159">
        <f t="shared" si="22"/>
        <v>0</v>
      </c>
      <c r="H186" s="154">
        <f t="shared" si="23"/>
        <v>1.9999999999999963E-4</v>
      </c>
      <c r="I186" s="154">
        <f t="shared" si="24"/>
        <v>2.0000000000000017E-4</v>
      </c>
      <c r="J186" s="154">
        <f t="shared" si="25"/>
        <v>2.5220334434634782E-4</v>
      </c>
      <c r="K186" s="160">
        <f t="shared" si="26"/>
        <v>3.0000000000000024E-4</v>
      </c>
      <c r="L186" s="161">
        <f t="shared" si="27"/>
        <v>0</v>
      </c>
      <c r="M186" s="155">
        <f t="shared" si="28"/>
        <v>7.4074074074073959E-2</v>
      </c>
      <c r="N186" s="155">
        <f t="shared" si="29"/>
        <v>3.7735849056603765E-2</v>
      </c>
      <c r="O186" s="155">
        <f t="shared" si="30"/>
        <v>3.4309334211954257E-2</v>
      </c>
      <c r="P186" s="162">
        <f t="shared" si="31"/>
        <v>3.1914893617021267E-2</v>
      </c>
    </row>
    <row r="187" spans="1:16">
      <c r="A187" s="319">
        <v>44466</v>
      </c>
      <c r="B187" s="28">
        <v>0.09</v>
      </c>
      <c r="C187" s="29">
        <v>0.31</v>
      </c>
      <c r="D187" s="29">
        <v>0.56000000000000005</v>
      </c>
      <c r="E187" s="30">
        <v>0.77014697464794424</v>
      </c>
      <c r="F187" s="29">
        <v>0.98</v>
      </c>
      <c r="G187" s="159">
        <f t="shared" si="22"/>
        <v>9.9999999999999951E-5</v>
      </c>
      <c r="H187" s="154">
        <f t="shared" si="23"/>
        <v>2.0000000000000017E-4</v>
      </c>
      <c r="I187" s="154">
        <f t="shared" si="24"/>
        <v>1.0000000000000009E-4</v>
      </c>
      <c r="J187" s="154">
        <f t="shared" si="25"/>
        <v>9.8399644174428362E-5</v>
      </c>
      <c r="K187" s="160">
        <f t="shared" si="26"/>
        <v>1.0000000000000009E-4</v>
      </c>
      <c r="L187" s="161">
        <f t="shared" si="27"/>
        <v>0.125</v>
      </c>
      <c r="M187" s="155">
        <f t="shared" si="28"/>
        <v>6.8965517241379448E-2</v>
      </c>
      <c r="N187" s="155">
        <f t="shared" si="29"/>
        <v>1.8181818181818299E-2</v>
      </c>
      <c r="O187" s="155">
        <f t="shared" si="30"/>
        <v>1.2942093503070184E-2</v>
      </c>
      <c r="P187" s="162">
        <f t="shared" si="31"/>
        <v>1.0309278350515427E-2</v>
      </c>
    </row>
    <row r="188" spans="1:16">
      <c r="A188" s="319">
        <v>44467</v>
      </c>
      <c r="B188" s="28">
        <v>0.09</v>
      </c>
      <c r="C188" s="29">
        <v>0.31</v>
      </c>
      <c r="D188" s="29">
        <v>0.55000000000000004</v>
      </c>
      <c r="E188" s="30">
        <v>0.785081573282569</v>
      </c>
      <c r="F188" s="29">
        <v>1.02</v>
      </c>
      <c r="G188" s="159">
        <f t="shared" si="22"/>
        <v>0</v>
      </c>
      <c r="H188" s="154">
        <f t="shared" si="23"/>
        <v>0</v>
      </c>
      <c r="I188" s="154">
        <f t="shared" si="24"/>
        <v>-1.0000000000000009E-4</v>
      </c>
      <c r="J188" s="154">
        <f t="shared" si="25"/>
        <v>1.4934598634624763E-4</v>
      </c>
      <c r="K188" s="160">
        <f t="shared" si="26"/>
        <v>4.0000000000000034E-4</v>
      </c>
      <c r="L188" s="161">
        <f t="shared" si="27"/>
        <v>0</v>
      </c>
      <c r="M188" s="155">
        <f t="shared" si="28"/>
        <v>0</v>
      </c>
      <c r="N188" s="155">
        <f t="shared" si="29"/>
        <v>-1.7857142857142905E-2</v>
      </c>
      <c r="O188" s="155">
        <f t="shared" si="30"/>
        <v>1.9391881194432692E-2</v>
      </c>
      <c r="P188" s="162">
        <f t="shared" si="31"/>
        <v>4.081632653061229E-2</v>
      </c>
    </row>
    <row r="189" spans="1:16">
      <c r="A189" s="319">
        <v>44468</v>
      </c>
      <c r="B189" s="28">
        <v>0.09</v>
      </c>
      <c r="C189" s="29">
        <v>0.3</v>
      </c>
      <c r="D189" s="29">
        <v>0.55000000000000004</v>
      </c>
      <c r="E189" s="30">
        <v>0.78018889922339452</v>
      </c>
      <c r="F189" s="29">
        <v>1.01</v>
      </c>
      <c r="G189" s="159">
        <f t="shared" si="22"/>
        <v>0</v>
      </c>
      <c r="H189" s="154">
        <f t="shared" si="23"/>
        <v>-1.0000000000000009E-4</v>
      </c>
      <c r="I189" s="154">
        <f t="shared" si="24"/>
        <v>0</v>
      </c>
      <c r="J189" s="154">
        <f t="shared" si="25"/>
        <v>-4.8926740591744843E-5</v>
      </c>
      <c r="K189" s="160">
        <f t="shared" si="26"/>
        <v>-1.0000000000000009E-4</v>
      </c>
      <c r="L189" s="161">
        <f t="shared" si="27"/>
        <v>0</v>
      </c>
      <c r="M189" s="155">
        <f t="shared" si="28"/>
        <v>-3.2258064516129115E-2</v>
      </c>
      <c r="N189" s="155">
        <f t="shared" si="29"/>
        <v>0</v>
      </c>
      <c r="O189" s="155">
        <f t="shared" si="30"/>
        <v>-6.2320582034772753E-3</v>
      </c>
      <c r="P189" s="162">
        <f t="shared" si="31"/>
        <v>-9.8039215686274161E-3</v>
      </c>
    </row>
    <row r="190" spans="1:16">
      <c r="A190" s="319">
        <v>44469</v>
      </c>
      <c r="B190" s="28">
        <v>0.09</v>
      </c>
      <c r="C190" s="29">
        <v>0.28000000000000003</v>
      </c>
      <c r="D190" s="29">
        <v>0.53</v>
      </c>
      <c r="E190" s="30">
        <v>0.75519144231839841</v>
      </c>
      <c r="F190" s="29">
        <v>0.98</v>
      </c>
      <c r="G190" s="159">
        <f t="shared" si="22"/>
        <v>0</v>
      </c>
      <c r="H190" s="154">
        <f t="shared" si="23"/>
        <v>-1.9999999999999963E-4</v>
      </c>
      <c r="I190" s="154">
        <f t="shared" si="24"/>
        <v>-2.0000000000000017E-4</v>
      </c>
      <c r="J190" s="154">
        <f t="shared" si="25"/>
        <v>-2.4997456904996104E-4</v>
      </c>
      <c r="K190" s="160">
        <f t="shared" si="26"/>
        <v>-3.0000000000000024E-4</v>
      </c>
      <c r="L190" s="161">
        <f t="shared" si="27"/>
        <v>0</v>
      </c>
      <c r="M190" s="155">
        <f t="shared" si="28"/>
        <v>-6.6666666666666541E-2</v>
      </c>
      <c r="N190" s="155">
        <f t="shared" si="29"/>
        <v>-3.6363636363636376E-2</v>
      </c>
      <c r="O190" s="155">
        <f t="shared" si="30"/>
        <v>-3.2040262210701442E-2</v>
      </c>
      <c r="P190" s="162">
        <f t="shared" si="31"/>
        <v>-2.9702970297029729E-2</v>
      </c>
    </row>
    <row r="191" spans="1:16">
      <c r="A191" s="319">
        <v>44470</v>
      </c>
      <c r="B191" s="28">
        <v>0.09</v>
      </c>
      <c r="C191" s="29">
        <v>0.27</v>
      </c>
      <c r="D191" s="29">
        <v>0.49</v>
      </c>
      <c r="E191" s="30">
        <v>0.71012117174216738</v>
      </c>
      <c r="F191" s="29">
        <v>0.93</v>
      </c>
      <c r="G191" s="159">
        <f t="shared" si="22"/>
        <v>0</v>
      </c>
      <c r="H191" s="154">
        <f t="shared" si="23"/>
        <v>-1.0000000000000009E-4</v>
      </c>
      <c r="I191" s="154">
        <f t="shared" si="24"/>
        <v>-4.0000000000000034E-4</v>
      </c>
      <c r="J191" s="154">
        <f t="shared" si="25"/>
        <v>-4.5070270576231028E-4</v>
      </c>
      <c r="K191" s="160">
        <f t="shared" si="26"/>
        <v>-4.9999999999999936E-4</v>
      </c>
      <c r="L191" s="161">
        <f t="shared" si="27"/>
        <v>0</v>
      </c>
      <c r="M191" s="155">
        <f t="shared" si="28"/>
        <v>-3.5714285714285698E-2</v>
      </c>
      <c r="N191" s="155">
        <f t="shared" si="29"/>
        <v>-7.5471698113207641E-2</v>
      </c>
      <c r="O191" s="155">
        <f t="shared" si="30"/>
        <v>-5.9680589650046412E-2</v>
      </c>
      <c r="P191" s="162">
        <f t="shared" si="31"/>
        <v>-5.1020408163265252E-2</v>
      </c>
    </row>
    <row r="192" spans="1:16">
      <c r="A192" s="319">
        <v>44473</v>
      </c>
      <c r="B192" s="28">
        <v>0.09</v>
      </c>
      <c r="C192" s="29">
        <v>0.27</v>
      </c>
      <c r="D192" s="29">
        <v>0.52</v>
      </c>
      <c r="E192" s="30">
        <v>0.73513800965510856</v>
      </c>
      <c r="F192" s="29">
        <v>0.95</v>
      </c>
      <c r="G192" s="159">
        <f t="shared" si="22"/>
        <v>0</v>
      </c>
      <c r="H192" s="154">
        <f t="shared" si="23"/>
        <v>0</v>
      </c>
      <c r="I192" s="154">
        <f t="shared" si="24"/>
        <v>3.0000000000000024E-4</v>
      </c>
      <c r="J192" s="154">
        <f t="shared" si="25"/>
        <v>2.5016837912941183E-4</v>
      </c>
      <c r="K192" s="160">
        <f t="shared" si="26"/>
        <v>1.9999999999999906E-4</v>
      </c>
      <c r="L192" s="161">
        <f t="shared" si="27"/>
        <v>0</v>
      </c>
      <c r="M192" s="155">
        <f t="shared" si="28"/>
        <v>0</v>
      </c>
      <c r="N192" s="155">
        <f t="shared" si="29"/>
        <v>6.1224489795918435E-2</v>
      </c>
      <c r="O192" s="155">
        <f t="shared" si="30"/>
        <v>3.5228970643934598E-2</v>
      </c>
      <c r="P192" s="162">
        <f t="shared" si="31"/>
        <v>2.1505376344086002E-2</v>
      </c>
    </row>
    <row r="193" spans="1:16">
      <c r="A193" s="319">
        <v>44474</v>
      </c>
      <c r="B193" s="28">
        <v>0.09</v>
      </c>
      <c r="C193" s="29">
        <v>0.28000000000000003</v>
      </c>
      <c r="D193" s="29">
        <v>0.54</v>
      </c>
      <c r="E193" s="30">
        <v>0.76024090193788862</v>
      </c>
      <c r="F193" s="29">
        <v>0.98</v>
      </c>
      <c r="G193" s="159">
        <f t="shared" si="22"/>
        <v>0</v>
      </c>
      <c r="H193" s="154">
        <f t="shared" si="23"/>
        <v>1.0000000000000009E-4</v>
      </c>
      <c r="I193" s="154">
        <f t="shared" si="24"/>
        <v>2.0000000000000017E-4</v>
      </c>
      <c r="J193" s="154">
        <f t="shared" si="25"/>
        <v>2.5102892282780065E-4</v>
      </c>
      <c r="K193" s="160">
        <f t="shared" si="26"/>
        <v>3.0000000000000024E-4</v>
      </c>
      <c r="L193" s="161">
        <f t="shared" si="27"/>
        <v>0</v>
      </c>
      <c r="M193" s="155">
        <f t="shared" si="28"/>
        <v>3.7037037037036979E-2</v>
      </c>
      <c r="N193" s="155">
        <f t="shared" si="29"/>
        <v>3.8461538461538547E-2</v>
      </c>
      <c r="O193" s="155">
        <f t="shared" si="30"/>
        <v>3.4147183186130192E-2</v>
      </c>
      <c r="P193" s="162">
        <f t="shared" si="31"/>
        <v>3.1578947368421151E-2</v>
      </c>
    </row>
    <row r="194" spans="1:16">
      <c r="A194" s="319">
        <v>44475</v>
      </c>
      <c r="B194" s="28">
        <v>0.1</v>
      </c>
      <c r="C194" s="29">
        <v>0.3</v>
      </c>
      <c r="D194" s="29">
        <v>0.55000000000000004</v>
      </c>
      <c r="E194" s="30">
        <v>0.77046084062845654</v>
      </c>
      <c r="F194" s="29">
        <v>0.99</v>
      </c>
      <c r="G194" s="159">
        <f t="shared" si="22"/>
        <v>1.0000000000000009E-4</v>
      </c>
      <c r="H194" s="154">
        <f t="shared" si="23"/>
        <v>1.9999999999999963E-4</v>
      </c>
      <c r="I194" s="154">
        <f t="shared" si="24"/>
        <v>1.0000000000000009E-4</v>
      </c>
      <c r="J194" s="154">
        <f t="shared" si="25"/>
        <v>1.021993869056792E-4</v>
      </c>
      <c r="K194" s="160">
        <f t="shared" si="26"/>
        <v>1.0000000000000009E-4</v>
      </c>
      <c r="L194" s="161">
        <f t="shared" si="27"/>
        <v>0.11111111111111116</v>
      </c>
      <c r="M194" s="155">
        <f t="shared" si="28"/>
        <v>7.1428571428571397E-2</v>
      </c>
      <c r="N194" s="155">
        <f t="shared" si="29"/>
        <v>1.8518518518518601E-2</v>
      </c>
      <c r="O194" s="155">
        <f t="shared" si="30"/>
        <v>1.3443026630791444E-2</v>
      </c>
      <c r="P194" s="162">
        <f t="shared" si="31"/>
        <v>1.0204081632652962E-2</v>
      </c>
    </row>
    <row r="195" spans="1:16">
      <c r="A195" s="319">
        <v>44476</v>
      </c>
      <c r="B195" s="28">
        <v>0.1</v>
      </c>
      <c r="C195" s="29">
        <v>0.32</v>
      </c>
      <c r="D195" s="29">
        <v>0.56999999999999995</v>
      </c>
      <c r="E195" s="30">
        <v>0.7950724186870991</v>
      </c>
      <c r="F195" s="29">
        <v>1.02</v>
      </c>
      <c r="G195" s="159">
        <f t="shared" si="22"/>
        <v>0</v>
      </c>
      <c r="H195" s="154">
        <f t="shared" si="23"/>
        <v>2.0000000000000017E-4</v>
      </c>
      <c r="I195" s="154">
        <f t="shared" si="24"/>
        <v>1.9999999999999906E-4</v>
      </c>
      <c r="J195" s="154">
        <f t="shared" si="25"/>
        <v>2.4611578058642556E-4</v>
      </c>
      <c r="K195" s="160">
        <f t="shared" si="26"/>
        <v>3.0000000000000024E-4</v>
      </c>
      <c r="L195" s="161">
        <f t="shared" si="27"/>
        <v>0</v>
      </c>
      <c r="M195" s="155">
        <f t="shared" si="28"/>
        <v>6.6666666666666652E-2</v>
      </c>
      <c r="N195" s="155">
        <f t="shared" si="29"/>
        <v>3.6363636363636154E-2</v>
      </c>
      <c r="O195" s="155">
        <f t="shared" si="30"/>
        <v>3.1943970103097241E-2</v>
      </c>
      <c r="P195" s="162">
        <f t="shared" si="31"/>
        <v>3.0303030303030276E-2</v>
      </c>
    </row>
    <row r="196" spans="1:16">
      <c r="A196" s="319">
        <v>44477</v>
      </c>
      <c r="B196" s="28">
        <v>0.09</v>
      </c>
      <c r="C196" s="29">
        <v>0.32</v>
      </c>
      <c r="D196" s="29">
        <v>0.59</v>
      </c>
      <c r="E196" s="30">
        <v>0.82037401693378043</v>
      </c>
      <c r="F196" s="29">
        <v>1.05</v>
      </c>
      <c r="G196" s="159">
        <f t="shared" ref="G196:G259" si="32">(B196-B195)/100</f>
        <v>-1.0000000000000009E-4</v>
      </c>
      <c r="H196" s="154">
        <f t="shared" ref="H196:H259" si="33">(C196-C195)/100</f>
        <v>0</v>
      </c>
      <c r="I196" s="154">
        <f t="shared" ref="I196:I259" si="34">(D196-D195)/100</f>
        <v>2.0000000000000017E-4</v>
      </c>
      <c r="J196" s="154">
        <f t="shared" ref="J196:J259" si="35">(E196-E195)/100</f>
        <v>2.5301598246681324E-4</v>
      </c>
      <c r="K196" s="160">
        <f t="shared" ref="K196:K259" si="36">(F196-F195)/100</f>
        <v>3.0000000000000024E-4</v>
      </c>
      <c r="L196" s="161">
        <f t="shared" ref="L196:L259" si="37">(B196/B195)-1</f>
        <v>-0.10000000000000009</v>
      </c>
      <c r="M196" s="155">
        <f t="shared" ref="M196:M259" si="38">(C196/C195)-1</f>
        <v>0</v>
      </c>
      <c r="N196" s="155">
        <f t="shared" ref="N196:N259" si="39">(D196/D195)-1</f>
        <v>3.5087719298245723E-2</v>
      </c>
      <c r="O196" s="155">
        <f t="shared" ref="O196:O259" si="40">(E196/E195)-1</f>
        <v>3.1823010900644544E-2</v>
      </c>
      <c r="P196" s="162">
        <f t="shared" ref="P196:P259" si="41">(F196/F195)-1</f>
        <v>2.941176470588247E-2</v>
      </c>
    </row>
    <row r="197" spans="1:16">
      <c r="A197" s="319">
        <v>44481</v>
      </c>
      <c r="B197" s="28">
        <v>0.1</v>
      </c>
      <c r="C197" s="29">
        <v>0.35</v>
      </c>
      <c r="D197" s="29">
        <v>0.64</v>
      </c>
      <c r="E197" s="30">
        <v>0.86016990838979712</v>
      </c>
      <c r="F197" s="29">
        <v>1.08</v>
      </c>
      <c r="G197" s="159">
        <f t="shared" si="32"/>
        <v>1.0000000000000009E-4</v>
      </c>
      <c r="H197" s="154">
        <f t="shared" si="33"/>
        <v>2.999999999999997E-4</v>
      </c>
      <c r="I197" s="154">
        <f t="shared" si="34"/>
        <v>5.0000000000000044E-4</v>
      </c>
      <c r="J197" s="154">
        <f t="shared" si="35"/>
        <v>3.9795891456016698E-4</v>
      </c>
      <c r="K197" s="160">
        <f t="shared" si="36"/>
        <v>3.0000000000000024E-4</v>
      </c>
      <c r="L197" s="161">
        <f t="shared" si="37"/>
        <v>0.11111111111111116</v>
      </c>
      <c r="M197" s="155">
        <f t="shared" si="38"/>
        <v>9.375E-2</v>
      </c>
      <c r="N197" s="155">
        <f t="shared" si="39"/>
        <v>8.4745762711864403E-2</v>
      </c>
      <c r="O197" s="155">
        <f t="shared" si="40"/>
        <v>4.8509448903266472E-2</v>
      </c>
      <c r="P197" s="162">
        <f t="shared" si="41"/>
        <v>2.8571428571428692E-2</v>
      </c>
    </row>
    <row r="198" spans="1:16">
      <c r="A198" s="319">
        <v>44482</v>
      </c>
      <c r="B198" s="28">
        <v>0.11</v>
      </c>
      <c r="C198" s="29">
        <v>0.37</v>
      </c>
      <c r="D198" s="29">
        <v>0.66</v>
      </c>
      <c r="E198" s="30">
        <v>0.87516250682850494</v>
      </c>
      <c r="F198" s="29">
        <v>1.0900000000000001</v>
      </c>
      <c r="G198" s="159">
        <f t="shared" si="32"/>
        <v>9.9999999999999951E-5</v>
      </c>
      <c r="H198" s="154">
        <f t="shared" si="33"/>
        <v>2.0000000000000017E-4</v>
      </c>
      <c r="I198" s="154">
        <f t="shared" si="34"/>
        <v>2.0000000000000017E-4</v>
      </c>
      <c r="J198" s="154">
        <f t="shared" si="35"/>
        <v>1.4992598438707817E-4</v>
      </c>
      <c r="K198" s="160">
        <f t="shared" si="36"/>
        <v>1.0000000000000009E-4</v>
      </c>
      <c r="L198" s="161">
        <f t="shared" si="37"/>
        <v>9.9999999999999867E-2</v>
      </c>
      <c r="M198" s="155">
        <f t="shared" si="38"/>
        <v>5.7142857142857162E-2</v>
      </c>
      <c r="N198" s="155">
        <f t="shared" si="39"/>
        <v>3.125E-2</v>
      </c>
      <c r="O198" s="155">
        <f t="shared" si="40"/>
        <v>1.7429810427538994E-2</v>
      </c>
      <c r="P198" s="162">
        <f t="shared" si="41"/>
        <v>9.2592592592593004E-3</v>
      </c>
    </row>
    <row r="199" spans="1:16">
      <c r="A199" s="319">
        <v>44483</v>
      </c>
      <c r="B199" s="28">
        <v>0.1</v>
      </c>
      <c r="C199" s="29">
        <v>0.36</v>
      </c>
      <c r="D199" s="29">
        <v>0.62</v>
      </c>
      <c r="E199" s="30">
        <v>0.83536106302714142</v>
      </c>
      <c r="F199" s="29">
        <v>1.05</v>
      </c>
      <c r="G199" s="159">
        <f t="shared" si="32"/>
        <v>-9.9999999999999951E-5</v>
      </c>
      <c r="H199" s="154">
        <f t="shared" si="33"/>
        <v>-1.0000000000000009E-4</v>
      </c>
      <c r="I199" s="154">
        <f t="shared" si="34"/>
        <v>-4.0000000000000034E-4</v>
      </c>
      <c r="J199" s="154">
        <f t="shared" si="35"/>
        <v>-3.9801443801363521E-4</v>
      </c>
      <c r="K199" s="160">
        <f t="shared" si="36"/>
        <v>-4.0000000000000034E-4</v>
      </c>
      <c r="L199" s="161">
        <f t="shared" si="37"/>
        <v>-9.0909090909090828E-2</v>
      </c>
      <c r="M199" s="155">
        <f t="shared" si="38"/>
        <v>-2.7027027027027084E-2</v>
      </c>
      <c r="N199" s="155">
        <f t="shared" si="39"/>
        <v>-6.0606060606060663E-2</v>
      </c>
      <c r="O199" s="155">
        <f t="shared" si="40"/>
        <v>-4.547891790474401E-2</v>
      </c>
      <c r="P199" s="162">
        <f t="shared" si="41"/>
        <v>-3.669724770642202E-2</v>
      </c>
    </row>
    <row r="200" spans="1:16">
      <c r="A200" s="319">
        <v>44484</v>
      </c>
      <c r="B200" s="28">
        <v>0.12</v>
      </c>
      <c r="C200" s="29">
        <v>0.41</v>
      </c>
      <c r="D200" s="29">
        <v>0.7</v>
      </c>
      <c r="E200" s="30">
        <v>0.91517628513057303</v>
      </c>
      <c r="F200" s="29">
        <v>1.1299999999999999</v>
      </c>
      <c r="G200" s="159">
        <f t="shared" si="32"/>
        <v>1.999999999999999E-4</v>
      </c>
      <c r="H200" s="154">
        <f t="shared" si="33"/>
        <v>4.999999999999999E-4</v>
      </c>
      <c r="I200" s="154">
        <f t="shared" si="34"/>
        <v>7.999999999999996E-4</v>
      </c>
      <c r="J200" s="154">
        <f t="shared" si="35"/>
        <v>7.9815222103431617E-4</v>
      </c>
      <c r="K200" s="160">
        <f t="shared" si="36"/>
        <v>7.9999999999999852E-4</v>
      </c>
      <c r="L200" s="161">
        <f t="shared" si="37"/>
        <v>0.19999999999999996</v>
      </c>
      <c r="M200" s="155">
        <f t="shared" si="38"/>
        <v>0.13888888888888884</v>
      </c>
      <c r="N200" s="155">
        <f t="shared" si="39"/>
        <v>0.12903225806451601</v>
      </c>
      <c r="O200" s="155">
        <f t="shared" si="40"/>
        <v>9.5545777312388669E-2</v>
      </c>
      <c r="P200" s="162">
        <f t="shared" si="41"/>
        <v>7.6190476190476142E-2</v>
      </c>
    </row>
    <row r="201" spans="1:16">
      <c r="A201" s="319">
        <v>44487</v>
      </c>
      <c r="B201" s="28">
        <v>0.11</v>
      </c>
      <c r="C201" s="29">
        <v>0.44</v>
      </c>
      <c r="D201" s="29">
        <v>0.72</v>
      </c>
      <c r="E201" s="30">
        <v>0.94039466828642293</v>
      </c>
      <c r="F201" s="29">
        <v>1.1599999999999999</v>
      </c>
      <c r="G201" s="159">
        <f t="shared" si="32"/>
        <v>-9.9999999999999951E-5</v>
      </c>
      <c r="H201" s="154">
        <f t="shared" si="33"/>
        <v>3.0000000000000024E-4</v>
      </c>
      <c r="I201" s="154">
        <f t="shared" si="34"/>
        <v>2.0000000000000017E-4</v>
      </c>
      <c r="J201" s="154">
        <f t="shared" si="35"/>
        <v>2.5218383155849899E-4</v>
      </c>
      <c r="K201" s="160">
        <f t="shared" si="36"/>
        <v>3.0000000000000024E-4</v>
      </c>
      <c r="L201" s="161">
        <f t="shared" si="37"/>
        <v>-8.3333333333333259E-2</v>
      </c>
      <c r="M201" s="155">
        <f t="shared" si="38"/>
        <v>7.3170731707317138E-2</v>
      </c>
      <c r="N201" s="155">
        <f t="shared" si="39"/>
        <v>2.8571428571428692E-2</v>
      </c>
      <c r="O201" s="155">
        <f t="shared" si="40"/>
        <v>2.7555765556416034E-2</v>
      </c>
      <c r="P201" s="162">
        <f t="shared" si="41"/>
        <v>2.6548672566371723E-2</v>
      </c>
    </row>
    <row r="202" spans="1:16">
      <c r="A202" s="319">
        <v>44488</v>
      </c>
      <c r="B202" s="28">
        <v>0.11</v>
      </c>
      <c r="C202" s="29">
        <v>0.41</v>
      </c>
      <c r="D202" s="29">
        <v>0.71</v>
      </c>
      <c r="E202" s="30">
        <v>0.94046322366221913</v>
      </c>
      <c r="F202" s="29">
        <v>1.17</v>
      </c>
      <c r="G202" s="159">
        <f t="shared" si="32"/>
        <v>0</v>
      </c>
      <c r="H202" s="154">
        <f t="shared" si="33"/>
        <v>-3.0000000000000024E-4</v>
      </c>
      <c r="I202" s="154">
        <f t="shared" si="34"/>
        <v>-1.0000000000000009E-4</v>
      </c>
      <c r="J202" s="154">
        <f t="shared" si="35"/>
        <v>6.8555375796197639E-7</v>
      </c>
      <c r="K202" s="160">
        <f t="shared" si="36"/>
        <v>1.0000000000000009E-4</v>
      </c>
      <c r="L202" s="161">
        <f t="shared" si="37"/>
        <v>0</v>
      </c>
      <c r="M202" s="155">
        <f t="shared" si="38"/>
        <v>-6.8181818181818232E-2</v>
      </c>
      <c r="N202" s="155">
        <f t="shared" si="39"/>
        <v>-1.3888888888888951E-2</v>
      </c>
      <c r="O202" s="155">
        <f t="shared" si="40"/>
        <v>7.2900642791973169E-5</v>
      </c>
      <c r="P202" s="162">
        <f t="shared" si="41"/>
        <v>8.6206896551723755E-3</v>
      </c>
    </row>
    <row r="203" spans="1:16">
      <c r="A203" s="319">
        <v>44489</v>
      </c>
      <c r="B203" s="28">
        <v>0.1</v>
      </c>
      <c r="C203" s="29">
        <v>0.4</v>
      </c>
      <c r="D203" s="29">
        <v>0.7</v>
      </c>
      <c r="E203" s="30">
        <v>0.93037064681075721</v>
      </c>
      <c r="F203" s="29">
        <v>1.1599999999999999</v>
      </c>
      <c r="G203" s="159">
        <f t="shared" si="32"/>
        <v>-9.9999999999999951E-5</v>
      </c>
      <c r="H203" s="154">
        <f t="shared" si="33"/>
        <v>-9.999999999999953E-5</v>
      </c>
      <c r="I203" s="154">
        <f t="shared" si="34"/>
        <v>-1.0000000000000009E-4</v>
      </c>
      <c r="J203" s="154">
        <f t="shared" si="35"/>
        <v>-1.0092576851461921E-4</v>
      </c>
      <c r="K203" s="160">
        <f t="shared" si="36"/>
        <v>-1.0000000000000009E-4</v>
      </c>
      <c r="L203" s="161">
        <f t="shared" si="37"/>
        <v>-9.0909090909090828E-2</v>
      </c>
      <c r="M203" s="155">
        <f t="shared" si="38"/>
        <v>-2.4390243902438935E-2</v>
      </c>
      <c r="N203" s="155">
        <f t="shared" si="39"/>
        <v>-1.4084507042253502E-2</v>
      </c>
      <c r="O203" s="155">
        <f t="shared" si="40"/>
        <v>-1.0731495498740307E-2</v>
      </c>
      <c r="P203" s="162">
        <f t="shared" si="41"/>
        <v>-8.5470085470085166E-3</v>
      </c>
    </row>
    <row r="204" spans="1:16">
      <c r="A204" s="319">
        <v>44490</v>
      </c>
      <c r="B204" s="28">
        <v>0.12</v>
      </c>
      <c r="C204" s="29">
        <v>0.45</v>
      </c>
      <c r="D204" s="29">
        <v>0.78</v>
      </c>
      <c r="E204" s="30">
        <v>1.0052461213557029</v>
      </c>
      <c r="F204" s="29">
        <v>1.23</v>
      </c>
      <c r="G204" s="159">
        <f t="shared" si="32"/>
        <v>1.999999999999999E-4</v>
      </c>
      <c r="H204" s="154">
        <f t="shared" si="33"/>
        <v>4.999999999999999E-4</v>
      </c>
      <c r="I204" s="154">
        <f t="shared" si="34"/>
        <v>8.0000000000000069E-4</v>
      </c>
      <c r="J204" s="154">
        <f t="shared" si="35"/>
        <v>7.4875474544945696E-4</v>
      </c>
      <c r="K204" s="160">
        <f t="shared" si="36"/>
        <v>7.0000000000000064E-4</v>
      </c>
      <c r="L204" s="161">
        <f t="shared" si="37"/>
        <v>0.19999999999999996</v>
      </c>
      <c r="M204" s="155">
        <f t="shared" si="38"/>
        <v>0.125</v>
      </c>
      <c r="N204" s="155">
        <f t="shared" si="39"/>
        <v>0.11428571428571432</v>
      </c>
      <c r="O204" s="155">
        <f t="shared" si="40"/>
        <v>8.0479188376818778E-2</v>
      </c>
      <c r="P204" s="162">
        <f t="shared" si="41"/>
        <v>6.0344827586206851E-2</v>
      </c>
    </row>
    <row r="205" spans="1:16">
      <c r="A205" s="319">
        <v>44491</v>
      </c>
      <c r="B205" s="28">
        <v>0.13</v>
      </c>
      <c r="C205" s="29">
        <v>0.48</v>
      </c>
      <c r="D205" s="29">
        <v>0.79</v>
      </c>
      <c r="E205" s="30">
        <v>1.0052711954388578</v>
      </c>
      <c r="F205" s="29">
        <v>1.22</v>
      </c>
      <c r="G205" s="159">
        <f t="shared" si="32"/>
        <v>1.0000000000000009E-4</v>
      </c>
      <c r="H205" s="154">
        <f t="shared" si="33"/>
        <v>2.999999999999997E-4</v>
      </c>
      <c r="I205" s="154">
        <f t="shared" si="34"/>
        <v>1.0000000000000009E-4</v>
      </c>
      <c r="J205" s="154">
        <f t="shared" si="35"/>
        <v>2.5074083154885684E-7</v>
      </c>
      <c r="K205" s="160">
        <f t="shared" si="36"/>
        <v>-1.0000000000000009E-4</v>
      </c>
      <c r="L205" s="161">
        <f t="shared" si="37"/>
        <v>8.3333333333333481E-2</v>
      </c>
      <c r="M205" s="155">
        <f t="shared" si="38"/>
        <v>6.6666666666666652E-2</v>
      </c>
      <c r="N205" s="155">
        <f t="shared" si="39"/>
        <v>1.2820512820512775E-2</v>
      </c>
      <c r="O205" s="155">
        <f t="shared" si="40"/>
        <v>2.4943227953988512E-5</v>
      </c>
      <c r="P205" s="162">
        <f t="shared" si="41"/>
        <v>-8.1300813008130524E-3</v>
      </c>
    </row>
    <row r="206" spans="1:16">
      <c r="A206" s="319">
        <v>44494</v>
      </c>
      <c r="B206" s="28">
        <v>0.14000000000000001</v>
      </c>
      <c r="C206" s="29">
        <v>0.47</v>
      </c>
      <c r="D206" s="29">
        <v>0.76</v>
      </c>
      <c r="E206" s="30">
        <v>0.97538379444826417</v>
      </c>
      <c r="F206" s="29">
        <v>1.19</v>
      </c>
      <c r="G206" s="159">
        <f t="shared" si="32"/>
        <v>1.0000000000000009E-4</v>
      </c>
      <c r="H206" s="154">
        <f t="shared" si="33"/>
        <v>-1.0000000000000009E-4</v>
      </c>
      <c r="I206" s="154">
        <f t="shared" si="34"/>
        <v>-3.0000000000000024E-4</v>
      </c>
      <c r="J206" s="154">
        <f t="shared" si="35"/>
        <v>-2.9887400990593618E-4</v>
      </c>
      <c r="K206" s="160">
        <f t="shared" si="36"/>
        <v>-3.0000000000000024E-4</v>
      </c>
      <c r="L206" s="161">
        <f t="shared" si="37"/>
        <v>7.6923076923077094E-2</v>
      </c>
      <c r="M206" s="155">
        <f t="shared" si="38"/>
        <v>-2.083333333333337E-2</v>
      </c>
      <c r="N206" s="155">
        <f t="shared" si="39"/>
        <v>-3.7974683544303778E-2</v>
      </c>
      <c r="O206" s="155">
        <f t="shared" si="40"/>
        <v>-2.9730684740793878E-2</v>
      </c>
      <c r="P206" s="162">
        <f t="shared" si="41"/>
        <v>-2.4590163934426257E-2</v>
      </c>
    </row>
    <row r="207" spans="1:16">
      <c r="A207" s="319">
        <v>44495</v>
      </c>
      <c r="B207" s="28">
        <v>0.14000000000000001</v>
      </c>
      <c r="C207" s="29">
        <v>0.47</v>
      </c>
      <c r="D207" s="29">
        <v>0.77</v>
      </c>
      <c r="E207" s="30">
        <v>0.98529470771450622</v>
      </c>
      <c r="F207" s="29">
        <v>1.2</v>
      </c>
      <c r="G207" s="159">
        <f t="shared" si="32"/>
        <v>0</v>
      </c>
      <c r="H207" s="154">
        <f t="shared" si="33"/>
        <v>0</v>
      </c>
      <c r="I207" s="154">
        <f t="shared" si="34"/>
        <v>1.0000000000000009E-4</v>
      </c>
      <c r="J207" s="154">
        <f t="shared" si="35"/>
        <v>9.9109132662420494E-5</v>
      </c>
      <c r="K207" s="160">
        <f t="shared" si="36"/>
        <v>1.0000000000000009E-4</v>
      </c>
      <c r="L207" s="161">
        <f t="shared" si="37"/>
        <v>0</v>
      </c>
      <c r="M207" s="155">
        <f t="shared" si="38"/>
        <v>0</v>
      </c>
      <c r="N207" s="155">
        <f t="shared" si="39"/>
        <v>1.3157894736842035E-2</v>
      </c>
      <c r="O207" s="155">
        <f t="shared" si="40"/>
        <v>1.016103950327385E-2</v>
      </c>
      <c r="P207" s="162">
        <f t="shared" si="41"/>
        <v>8.4033613445377853E-3</v>
      </c>
    </row>
    <row r="208" spans="1:16">
      <c r="A208" s="319">
        <v>44496</v>
      </c>
      <c r="B208" s="28">
        <v>0.12</v>
      </c>
      <c r="C208" s="29">
        <v>0.5</v>
      </c>
      <c r="D208" s="29">
        <v>0.77</v>
      </c>
      <c r="E208" s="30">
        <v>0.96535162500053751</v>
      </c>
      <c r="F208" s="29">
        <v>1.1599999999999999</v>
      </c>
      <c r="G208" s="159">
        <f t="shared" si="32"/>
        <v>-2.0000000000000017E-4</v>
      </c>
      <c r="H208" s="154">
        <f t="shared" si="33"/>
        <v>3.0000000000000024E-4</v>
      </c>
      <c r="I208" s="154">
        <f t="shared" si="34"/>
        <v>0</v>
      </c>
      <c r="J208" s="154">
        <f t="shared" si="35"/>
        <v>-1.9943082713968718E-4</v>
      </c>
      <c r="K208" s="160">
        <f t="shared" si="36"/>
        <v>-4.0000000000000034E-4</v>
      </c>
      <c r="L208" s="161">
        <f t="shared" si="37"/>
        <v>-0.14285714285714302</v>
      </c>
      <c r="M208" s="155">
        <f t="shared" si="38"/>
        <v>6.3829787234042534E-2</v>
      </c>
      <c r="N208" s="155">
        <f t="shared" si="39"/>
        <v>0</v>
      </c>
      <c r="O208" s="155">
        <f t="shared" si="40"/>
        <v>-2.024072854326886E-2</v>
      </c>
      <c r="P208" s="162">
        <f t="shared" si="41"/>
        <v>-3.3333333333333326E-2</v>
      </c>
    </row>
    <row r="209" spans="1:16">
      <c r="A209" s="319">
        <v>44497</v>
      </c>
      <c r="B209" s="28">
        <v>0.15</v>
      </c>
      <c r="C209" s="29">
        <v>0.5</v>
      </c>
      <c r="D209" s="29">
        <v>0.77</v>
      </c>
      <c r="E209" s="30">
        <v>0.9753948642469773</v>
      </c>
      <c r="F209" s="29">
        <v>1.18</v>
      </c>
      <c r="G209" s="159">
        <f t="shared" si="32"/>
        <v>2.9999999999999997E-4</v>
      </c>
      <c r="H209" s="154">
        <f t="shared" si="33"/>
        <v>0</v>
      </c>
      <c r="I209" s="154">
        <f t="shared" si="34"/>
        <v>0</v>
      </c>
      <c r="J209" s="154">
        <f t="shared" si="35"/>
        <v>1.0043239246439795E-4</v>
      </c>
      <c r="K209" s="160">
        <f t="shared" si="36"/>
        <v>2.0000000000000017E-4</v>
      </c>
      <c r="L209" s="161">
        <f t="shared" si="37"/>
        <v>0.25</v>
      </c>
      <c r="M209" s="155">
        <f t="shared" si="38"/>
        <v>0</v>
      </c>
      <c r="N209" s="155">
        <f t="shared" si="39"/>
        <v>0</v>
      </c>
      <c r="O209" s="155">
        <f t="shared" si="40"/>
        <v>1.0403710923917675E-2</v>
      </c>
      <c r="P209" s="162">
        <f t="shared" si="41"/>
        <v>1.7241379310344751E-2</v>
      </c>
    </row>
    <row r="210" spans="1:16">
      <c r="A210" s="319">
        <v>44498</v>
      </c>
      <c r="B210" s="28">
        <v>0.15</v>
      </c>
      <c r="C210" s="29">
        <v>0.48</v>
      </c>
      <c r="D210" s="29">
        <v>0.75</v>
      </c>
      <c r="E210" s="30">
        <v>0.96541373670366937</v>
      </c>
      <c r="F210" s="29">
        <v>1.18</v>
      </c>
      <c r="G210" s="159">
        <f t="shared" si="32"/>
        <v>0</v>
      </c>
      <c r="H210" s="154">
        <f t="shared" si="33"/>
        <v>-2.0000000000000017E-4</v>
      </c>
      <c r="I210" s="154">
        <f t="shared" si="34"/>
        <v>-2.0000000000000017E-4</v>
      </c>
      <c r="J210" s="154">
        <f t="shared" si="35"/>
        <v>-9.9811275433079322E-5</v>
      </c>
      <c r="K210" s="160">
        <f t="shared" si="36"/>
        <v>0</v>
      </c>
      <c r="L210" s="161">
        <f t="shared" si="37"/>
        <v>0</v>
      </c>
      <c r="M210" s="155">
        <f t="shared" si="38"/>
        <v>-4.0000000000000036E-2</v>
      </c>
      <c r="N210" s="155">
        <f t="shared" si="39"/>
        <v>-2.5974025974025983E-2</v>
      </c>
      <c r="O210" s="155">
        <f t="shared" si="40"/>
        <v>-1.0232909675010005E-2</v>
      </c>
      <c r="P210" s="162">
        <f t="shared" si="41"/>
        <v>0</v>
      </c>
    </row>
    <row r="211" spans="1:16">
      <c r="A211" s="319">
        <v>44501</v>
      </c>
      <c r="B211" s="28">
        <v>0.15</v>
      </c>
      <c r="C211" s="29">
        <v>0.5</v>
      </c>
      <c r="D211" s="29">
        <v>0.79</v>
      </c>
      <c r="E211" s="30">
        <v>0.99519553749673773</v>
      </c>
      <c r="F211" s="29">
        <v>1.2</v>
      </c>
      <c r="G211" s="159">
        <f t="shared" si="32"/>
        <v>0</v>
      </c>
      <c r="H211" s="154">
        <f t="shared" si="33"/>
        <v>2.0000000000000017E-4</v>
      </c>
      <c r="I211" s="154">
        <f t="shared" si="34"/>
        <v>4.0000000000000034E-4</v>
      </c>
      <c r="J211" s="154">
        <f t="shared" si="35"/>
        <v>2.978180079306836E-4</v>
      </c>
      <c r="K211" s="160">
        <f t="shared" si="36"/>
        <v>2.0000000000000017E-4</v>
      </c>
      <c r="L211" s="161">
        <f t="shared" si="37"/>
        <v>0</v>
      </c>
      <c r="M211" s="155">
        <f t="shared" si="38"/>
        <v>4.1666666666666741E-2</v>
      </c>
      <c r="N211" s="155">
        <f t="shared" si="39"/>
        <v>5.3333333333333455E-2</v>
      </c>
      <c r="O211" s="155">
        <f t="shared" si="40"/>
        <v>3.0848743560202507E-2</v>
      </c>
      <c r="P211" s="162">
        <f t="shared" si="41"/>
        <v>1.6949152542372836E-2</v>
      </c>
    </row>
    <row r="212" spans="1:16">
      <c r="A212" s="319">
        <v>44502</v>
      </c>
      <c r="B212" s="28">
        <v>0.15</v>
      </c>
      <c r="C212" s="29">
        <v>0.46</v>
      </c>
      <c r="D212" s="29">
        <v>0.73</v>
      </c>
      <c r="E212" s="30">
        <v>0.9401315445051035</v>
      </c>
      <c r="F212" s="29">
        <v>1.1499999999999999</v>
      </c>
      <c r="G212" s="159">
        <f t="shared" si="32"/>
        <v>0</v>
      </c>
      <c r="H212" s="154">
        <f t="shared" si="33"/>
        <v>-3.999999999999998E-4</v>
      </c>
      <c r="I212" s="154">
        <f t="shared" si="34"/>
        <v>-6.0000000000000049E-4</v>
      </c>
      <c r="J212" s="154">
        <f t="shared" si="35"/>
        <v>-5.5063992991634229E-4</v>
      </c>
      <c r="K212" s="160">
        <f t="shared" si="36"/>
        <v>-5.0000000000000044E-4</v>
      </c>
      <c r="L212" s="161">
        <f t="shared" si="37"/>
        <v>0</v>
      </c>
      <c r="M212" s="155">
        <f t="shared" si="38"/>
        <v>-7.999999999999996E-2</v>
      </c>
      <c r="N212" s="155">
        <f t="shared" si="39"/>
        <v>-7.5949367088607667E-2</v>
      </c>
      <c r="O212" s="155">
        <f t="shared" si="40"/>
        <v>-5.5329823051798677E-2</v>
      </c>
      <c r="P212" s="162">
        <f t="shared" si="41"/>
        <v>-4.1666666666666741E-2</v>
      </c>
    </row>
    <row r="213" spans="1:16">
      <c r="A213" s="319">
        <v>44503</v>
      </c>
      <c r="B213" s="28">
        <v>0.17</v>
      </c>
      <c r="C213" s="29">
        <v>0.47</v>
      </c>
      <c r="D213" s="29">
        <v>0.77</v>
      </c>
      <c r="E213" s="30">
        <v>0.98012967447734389</v>
      </c>
      <c r="F213" s="29">
        <v>1.19</v>
      </c>
      <c r="G213" s="159">
        <f t="shared" si="32"/>
        <v>2.0000000000000017E-4</v>
      </c>
      <c r="H213" s="154">
        <f t="shared" si="33"/>
        <v>9.999999999999953E-5</v>
      </c>
      <c r="I213" s="154">
        <f t="shared" si="34"/>
        <v>4.0000000000000034E-4</v>
      </c>
      <c r="J213" s="154">
        <f t="shared" si="35"/>
        <v>3.9998129972240395E-4</v>
      </c>
      <c r="K213" s="160">
        <f t="shared" si="36"/>
        <v>4.0000000000000034E-4</v>
      </c>
      <c r="L213" s="161">
        <f t="shared" si="37"/>
        <v>0.13333333333333353</v>
      </c>
      <c r="M213" s="155">
        <f t="shared" si="38"/>
        <v>2.1739130434782483E-2</v>
      </c>
      <c r="N213" s="155">
        <f t="shared" si="39"/>
        <v>5.4794520547945202E-2</v>
      </c>
      <c r="O213" s="155">
        <f t="shared" si="40"/>
        <v>4.2545248275118741E-2</v>
      </c>
      <c r="P213" s="162">
        <f t="shared" si="41"/>
        <v>3.4782608695652195E-2</v>
      </c>
    </row>
    <row r="214" spans="1:16">
      <c r="A214" s="319">
        <v>44504</v>
      </c>
      <c r="B214" s="28">
        <v>0.14000000000000001</v>
      </c>
      <c r="C214" s="29">
        <v>0.41</v>
      </c>
      <c r="D214" s="29">
        <v>0.69</v>
      </c>
      <c r="E214" s="30">
        <v>0.89548555556401221</v>
      </c>
      <c r="F214" s="29">
        <v>1.1000000000000001</v>
      </c>
      <c r="G214" s="159">
        <f t="shared" si="32"/>
        <v>-2.9999999999999997E-4</v>
      </c>
      <c r="H214" s="154">
        <f t="shared" si="33"/>
        <v>-5.9999999999999995E-4</v>
      </c>
      <c r="I214" s="154">
        <f t="shared" si="34"/>
        <v>-8.0000000000000069E-4</v>
      </c>
      <c r="J214" s="154">
        <f t="shared" si="35"/>
        <v>-8.4644118913331683E-4</v>
      </c>
      <c r="K214" s="160">
        <f t="shared" si="36"/>
        <v>-8.9999999999999857E-4</v>
      </c>
      <c r="L214" s="161">
        <f t="shared" si="37"/>
        <v>-0.17647058823529405</v>
      </c>
      <c r="M214" s="155">
        <f t="shared" si="38"/>
        <v>-0.12765957446808507</v>
      </c>
      <c r="N214" s="155">
        <f t="shared" si="39"/>
        <v>-0.10389610389610393</v>
      </c>
      <c r="O214" s="155">
        <f t="shared" si="40"/>
        <v>-8.6360122662818339E-2</v>
      </c>
      <c r="P214" s="162">
        <f t="shared" si="41"/>
        <v>-7.5630252100840178E-2</v>
      </c>
    </row>
    <row r="215" spans="1:16">
      <c r="A215" s="319">
        <v>44505</v>
      </c>
      <c r="B215" s="28">
        <v>0.14000000000000001</v>
      </c>
      <c r="C215" s="29">
        <v>0.39</v>
      </c>
      <c r="D215" s="29">
        <v>0.66</v>
      </c>
      <c r="E215" s="30">
        <v>0.85014923030634182</v>
      </c>
      <c r="F215" s="29">
        <v>1.04</v>
      </c>
      <c r="G215" s="159">
        <f t="shared" si="32"/>
        <v>0</v>
      </c>
      <c r="H215" s="154">
        <f t="shared" si="33"/>
        <v>-1.9999999999999963E-4</v>
      </c>
      <c r="I215" s="154">
        <f t="shared" si="34"/>
        <v>-2.9999999999999916E-4</v>
      </c>
      <c r="J215" s="154">
        <f t="shared" si="35"/>
        <v>-4.5336325257670394E-4</v>
      </c>
      <c r="K215" s="160">
        <f t="shared" si="36"/>
        <v>-6.0000000000000049E-4</v>
      </c>
      <c r="L215" s="161">
        <f t="shared" si="37"/>
        <v>0</v>
      </c>
      <c r="M215" s="155">
        <f t="shared" si="38"/>
        <v>-4.8780487804877981E-2</v>
      </c>
      <c r="N215" s="155">
        <f t="shared" si="39"/>
        <v>-4.3478260869565077E-2</v>
      </c>
      <c r="O215" s="155">
        <f t="shared" si="40"/>
        <v>-5.0627645500228913E-2</v>
      </c>
      <c r="P215" s="162">
        <f t="shared" si="41"/>
        <v>-5.4545454545454564E-2</v>
      </c>
    </row>
    <row r="216" spans="1:16">
      <c r="A216" s="319">
        <v>44508</v>
      </c>
      <c r="B216" s="28">
        <v>0.16</v>
      </c>
      <c r="C216" s="29">
        <v>0.45</v>
      </c>
      <c r="D216" s="29">
        <v>0.75</v>
      </c>
      <c r="E216" s="30">
        <v>0.94000678326360232</v>
      </c>
      <c r="F216" s="29">
        <v>1.1299999999999999</v>
      </c>
      <c r="G216" s="159">
        <f t="shared" si="32"/>
        <v>1.999999999999999E-4</v>
      </c>
      <c r="H216" s="154">
        <f t="shared" si="33"/>
        <v>5.9999999999999995E-4</v>
      </c>
      <c r="I216" s="154">
        <f t="shared" si="34"/>
        <v>8.9999999999999965E-4</v>
      </c>
      <c r="J216" s="154">
        <f t="shared" si="35"/>
        <v>8.9857552957260504E-4</v>
      </c>
      <c r="K216" s="160">
        <f t="shared" si="36"/>
        <v>8.9999999999999857E-4</v>
      </c>
      <c r="L216" s="161">
        <f t="shared" si="37"/>
        <v>0.14285714285714279</v>
      </c>
      <c r="M216" s="155">
        <f t="shared" si="38"/>
        <v>0.15384615384615374</v>
      </c>
      <c r="N216" s="155">
        <f t="shared" si="39"/>
        <v>0.13636363636363624</v>
      </c>
      <c r="O216" s="155">
        <f t="shared" si="40"/>
        <v>0.10569621162261278</v>
      </c>
      <c r="P216" s="162">
        <f t="shared" si="41"/>
        <v>8.6538461538461453E-2</v>
      </c>
    </row>
    <row r="217" spans="1:16">
      <c r="A217" s="319">
        <v>44509</v>
      </c>
      <c r="B217" s="28">
        <v>0.14000000000000001</v>
      </c>
      <c r="C217" s="29">
        <v>0.41</v>
      </c>
      <c r="D217" s="29">
        <v>0.71</v>
      </c>
      <c r="E217" s="30">
        <v>0.89548372042129931</v>
      </c>
      <c r="F217" s="29">
        <v>1.08</v>
      </c>
      <c r="G217" s="159">
        <f t="shared" si="32"/>
        <v>-1.999999999999999E-4</v>
      </c>
      <c r="H217" s="154">
        <f t="shared" si="33"/>
        <v>-4.0000000000000034E-4</v>
      </c>
      <c r="I217" s="154">
        <f t="shared" si="34"/>
        <v>-4.0000000000000034E-4</v>
      </c>
      <c r="J217" s="154">
        <f t="shared" si="35"/>
        <v>-4.4523062842303005E-4</v>
      </c>
      <c r="K217" s="160">
        <f t="shared" si="36"/>
        <v>-4.9999999999999828E-4</v>
      </c>
      <c r="L217" s="161">
        <f t="shared" si="37"/>
        <v>-0.12499999999999989</v>
      </c>
      <c r="M217" s="155">
        <f t="shared" si="38"/>
        <v>-8.8888888888889017E-2</v>
      </c>
      <c r="N217" s="155">
        <f t="shared" si="39"/>
        <v>-5.3333333333333344E-2</v>
      </c>
      <c r="O217" s="155">
        <f t="shared" si="40"/>
        <v>-4.7364618676179915E-2</v>
      </c>
      <c r="P217" s="162">
        <f t="shared" si="41"/>
        <v>-4.4247787610619316E-2</v>
      </c>
    </row>
    <row r="218" spans="1:16">
      <c r="A218" s="319">
        <v>44510</v>
      </c>
      <c r="B218" s="28">
        <v>0.17</v>
      </c>
      <c r="C218" s="29">
        <v>0.51</v>
      </c>
      <c r="D218" s="29">
        <v>0.83</v>
      </c>
      <c r="E218" s="30">
        <v>1.0303401228183551</v>
      </c>
      <c r="F218" s="29">
        <v>1.23</v>
      </c>
      <c r="G218" s="159">
        <f t="shared" si="32"/>
        <v>2.9999999999999997E-4</v>
      </c>
      <c r="H218" s="154">
        <f t="shared" si="33"/>
        <v>1.0000000000000002E-3</v>
      </c>
      <c r="I218" s="154">
        <f t="shared" si="34"/>
        <v>1.1999999999999999E-3</v>
      </c>
      <c r="J218" s="154">
        <f t="shared" si="35"/>
        <v>1.3485640239705575E-3</v>
      </c>
      <c r="K218" s="160">
        <f t="shared" si="36"/>
        <v>1.4999999999999992E-3</v>
      </c>
      <c r="L218" s="161">
        <f t="shared" si="37"/>
        <v>0.21428571428571419</v>
      </c>
      <c r="M218" s="155">
        <f t="shared" si="38"/>
        <v>0.24390243902439024</v>
      </c>
      <c r="N218" s="155">
        <f t="shared" si="39"/>
        <v>0.16901408450704225</v>
      </c>
      <c r="O218" s="155">
        <f t="shared" si="40"/>
        <v>0.15059615191397313</v>
      </c>
      <c r="P218" s="162">
        <f t="shared" si="41"/>
        <v>0.13888888888888884</v>
      </c>
    </row>
    <row r="219" spans="1:16">
      <c r="A219" s="319">
        <v>44512</v>
      </c>
      <c r="B219" s="28">
        <v>0.17</v>
      </c>
      <c r="C219" s="29">
        <v>0.53</v>
      </c>
      <c r="D219" s="29">
        <v>0.85</v>
      </c>
      <c r="E219" s="30">
        <v>1.0450503819674906</v>
      </c>
      <c r="F219" s="29">
        <v>1.24</v>
      </c>
      <c r="G219" s="159">
        <f t="shared" si="32"/>
        <v>0</v>
      </c>
      <c r="H219" s="154">
        <f t="shared" si="33"/>
        <v>2.0000000000000017E-4</v>
      </c>
      <c r="I219" s="154">
        <f t="shared" si="34"/>
        <v>2.0000000000000017E-4</v>
      </c>
      <c r="J219" s="154">
        <f t="shared" si="35"/>
        <v>1.4710259149135484E-4</v>
      </c>
      <c r="K219" s="160">
        <f t="shared" si="36"/>
        <v>1.0000000000000009E-4</v>
      </c>
      <c r="L219" s="161">
        <f t="shared" si="37"/>
        <v>0</v>
      </c>
      <c r="M219" s="155">
        <f t="shared" si="38"/>
        <v>3.9215686274509887E-2</v>
      </c>
      <c r="N219" s="155">
        <f t="shared" si="39"/>
        <v>2.4096385542168752E-2</v>
      </c>
      <c r="O219" s="155">
        <f t="shared" si="40"/>
        <v>1.4277090470763643E-2</v>
      </c>
      <c r="P219" s="162">
        <f t="shared" si="41"/>
        <v>8.1300813008129413E-3</v>
      </c>
    </row>
    <row r="220" spans="1:16">
      <c r="A220" s="319">
        <v>44515</v>
      </c>
      <c r="B220" s="28">
        <v>0.18</v>
      </c>
      <c r="C220" s="29">
        <v>0.53</v>
      </c>
      <c r="D220" s="29">
        <v>0.87</v>
      </c>
      <c r="E220" s="30">
        <v>1.0654471321464793</v>
      </c>
      <c r="F220" s="29">
        <v>1.26</v>
      </c>
      <c r="G220" s="159">
        <f t="shared" si="32"/>
        <v>9.9999999999999815E-5</v>
      </c>
      <c r="H220" s="154">
        <f t="shared" si="33"/>
        <v>0</v>
      </c>
      <c r="I220" s="154">
        <f t="shared" si="34"/>
        <v>2.0000000000000017E-4</v>
      </c>
      <c r="J220" s="154">
        <f t="shared" si="35"/>
        <v>2.0396750178988787E-4</v>
      </c>
      <c r="K220" s="160">
        <f t="shared" si="36"/>
        <v>2.0000000000000017E-4</v>
      </c>
      <c r="L220" s="161">
        <f t="shared" si="37"/>
        <v>5.8823529411764497E-2</v>
      </c>
      <c r="M220" s="155">
        <f t="shared" si="38"/>
        <v>0</v>
      </c>
      <c r="N220" s="155">
        <f t="shared" si="39"/>
        <v>2.3529411764705799E-2</v>
      </c>
      <c r="O220" s="155">
        <f t="shared" si="40"/>
        <v>1.9517480239171103E-2</v>
      </c>
      <c r="P220" s="162">
        <f t="shared" si="41"/>
        <v>1.6129032258064502E-2</v>
      </c>
    </row>
    <row r="221" spans="1:16">
      <c r="A221" s="319">
        <v>44516</v>
      </c>
      <c r="B221" s="28">
        <v>0.17</v>
      </c>
      <c r="C221" s="29">
        <v>0.54</v>
      </c>
      <c r="D221" s="29">
        <v>0.87</v>
      </c>
      <c r="E221" s="30">
        <v>1.0701907804330411</v>
      </c>
      <c r="F221" s="29">
        <v>1.27</v>
      </c>
      <c r="G221" s="159">
        <f t="shared" si="32"/>
        <v>-9.9999999999999815E-5</v>
      </c>
      <c r="H221" s="154">
        <f t="shared" si="33"/>
        <v>1.0000000000000009E-4</v>
      </c>
      <c r="I221" s="154">
        <f t="shared" si="34"/>
        <v>0</v>
      </c>
      <c r="J221" s="154">
        <f t="shared" si="35"/>
        <v>4.7436482865617077E-5</v>
      </c>
      <c r="K221" s="160">
        <f t="shared" si="36"/>
        <v>1.0000000000000009E-4</v>
      </c>
      <c r="L221" s="161">
        <f t="shared" si="37"/>
        <v>-5.5555555555555469E-2</v>
      </c>
      <c r="M221" s="155">
        <f t="shared" si="38"/>
        <v>1.8867924528301883E-2</v>
      </c>
      <c r="N221" s="155">
        <f t="shared" si="39"/>
        <v>0</v>
      </c>
      <c r="O221" s="155">
        <f t="shared" si="40"/>
        <v>4.4522605988013275E-3</v>
      </c>
      <c r="P221" s="162">
        <f t="shared" si="41"/>
        <v>7.9365079365079083E-3</v>
      </c>
    </row>
    <row r="222" spans="1:16">
      <c r="A222" s="319">
        <v>44517</v>
      </c>
      <c r="B222" s="28">
        <v>0.18</v>
      </c>
      <c r="C222" s="29">
        <v>0.52</v>
      </c>
      <c r="D222" s="29">
        <v>0.85</v>
      </c>
      <c r="E222" s="30">
        <v>1.0453556813490013</v>
      </c>
      <c r="F222" s="29">
        <v>1.24</v>
      </c>
      <c r="G222" s="159">
        <f t="shared" si="32"/>
        <v>9.9999999999999815E-5</v>
      </c>
      <c r="H222" s="154">
        <f t="shared" si="33"/>
        <v>-2.0000000000000017E-4</v>
      </c>
      <c r="I222" s="154">
        <f t="shared" si="34"/>
        <v>-2.0000000000000017E-4</v>
      </c>
      <c r="J222" s="154">
        <f t="shared" si="35"/>
        <v>-2.48350990840398E-4</v>
      </c>
      <c r="K222" s="160">
        <f t="shared" si="36"/>
        <v>-3.0000000000000024E-4</v>
      </c>
      <c r="L222" s="161">
        <f t="shared" si="37"/>
        <v>5.8823529411764497E-2</v>
      </c>
      <c r="M222" s="155">
        <f t="shared" si="38"/>
        <v>-3.703703703703709E-2</v>
      </c>
      <c r="N222" s="155">
        <f t="shared" si="39"/>
        <v>-2.2988505747126409E-2</v>
      </c>
      <c r="O222" s="155">
        <f t="shared" si="40"/>
        <v>-2.3206235316277524E-2</v>
      </c>
      <c r="P222" s="162">
        <f t="shared" si="41"/>
        <v>-2.3622047244094557E-2</v>
      </c>
    </row>
    <row r="223" spans="1:16">
      <c r="A223" s="319">
        <v>44518</v>
      </c>
      <c r="B223" s="28">
        <v>0.18</v>
      </c>
      <c r="C223" s="29">
        <v>0.52</v>
      </c>
      <c r="D223" s="29">
        <v>0.84</v>
      </c>
      <c r="E223" s="30">
        <v>1.030484175202141</v>
      </c>
      <c r="F223" s="29">
        <v>1.22</v>
      </c>
      <c r="G223" s="159">
        <f t="shared" si="32"/>
        <v>0</v>
      </c>
      <c r="H223" s="154">
        <f t="shared" si="33"/>
        <v>0</v>
      </c>
      <c r="I223" s="154">
        <f t="shared" si="34"/>
        <v>-1.0000000000000009E-4</v>
      </c>
      <c r="J223" s="154">
        <f t="shared" si="35"/>
        <v>-1.4871506146860281E-4</v>
      </c>
      <c r="K223" s="160">
        <f t="shared" si="36"/>
        <v>-2.0000000000000017E-4</v>
      </c>
      <c r="L223" s="161">
        <f t="shared" si="37"/>
        <v>0</v>
      </c>
      <c r="M223" s="155">
        <f t="shared" si="38"/>
        <v>0</v>
      </c>
      <c r="N223" s="155">
        <f t="shared" si="39"/>
        <v>-1.1764705882352899E-2</v>
      </c>
      <c r="O223" s="155">
        <f t="shared" si="40"/>
        <v>-1.4226264239238673E-2</v>
      </c>
      <c r="P223" s="162">
        <f t="shared" si="41"/>
        <v>-1.6129032258064502E-2</v>
      </c>
    </row>
    <row r="224" spans="1:16">
      <c r="A224" s="319">
        <v>44519</v>
      </c>
      <c r="B224" s="28">
        <v>0.18</v>
      </c>
      <c r="C224" s="29">
        <v>0.52</v>
      </c>
      <c r="D224" s="29">
        <v>0.86</v>
      </c>
      <c r="E224" s="30">
        <v>1.0404579369412792</v>
      </c>
      <c r="F224" s="29">
        <v>1.22</v>
      </c>
      <c r="G224" s="159">
        <f t="shared" si="32"/>
        <v>0</v>
      </c>
      <c r="H224" s="154">
        <f t="shared" si="33"/>
        <v>0</v>
      </c>
      <c r="I224" s="154">
        <f t="shared" si="34"/>
        <v>2.0000000000000017E-4</v>
      </c>
      <c r="J224" s="154">
        <f t="shared" si="35"/>
        <v>9.973761739138221E-5</v>
      </c>
      <c r="K224" s="160">
        <f t="shared" si="36"/>
        <v>0</v>
      </c>
      <c r="L224" s="161">
        <f t="shared" si="37"/>
        <v>0</v>
      </c>
      <c r="M224" s="155">
        <f t="shared" si="38"/>
        <v>0</v>
      </c>
      <c r="N224" s="155">
        <f t="shared" si="39"/>
        <v>2.3809523809523725E-2</v>
      </c>
      <c r="O224" s="155">
        <f t="shared" si="40"/>
        <v>9.6787141221084116E-3</v>
      </c>
      <c r="P224" s="162">
        <f t="shared" si="41"/>
        <v>0</v>
      </c>
    </row>
    <row r="225" spans="1:16">
      <c r="A225" s="319">
        <v>44522</v>
      </c>
      <c r="B225" s="28">
        <v>0.2</v>
      </c>
      <c r="C225" s="29">
        <v>0.63</v>
      </c>
      <c r="D225" s="29">
        <v>0.95</v>
      </c>
      <c r="E225" s="30">
        <v>1.1403674319553834</v>
      </c>
      <c r="F225" s="29">
        <v>1.33</v>
      </c>
      <c r="G225" s="159">
        <f t="shared" si="32"/>
        <v>2.0000000000000017E-4</v>
      </c>
      <c r="H225" s="154">
        <f t="shared" si="33"/>
        <v>1.0999999999999998E-3</v>
      </c>
      <c r="I225" s="154">
        <f t="shared" si="34"/>
        <v>8.9999999999999965E-4</v>
      </c>
      <c r="J225" s="154">
        <f t="shared" si="35"/>
        <v>9.9909495014104187E-4</v>
      </c>
      <c r="K225" s="160">
        <f t="shared" si="36"/>
        <v>1.1000000000000009E-3</v>
      </c>
      <c r="L225" s="161">
        <f t="shared" si="37"/>
        <v>0.11111111111111116</v>
      </c>
      <c r="M225" s="155">
        <f t="shared" si="38"/>
        <v>0.21153846153846145</v>
      </c>
      <c r="N225" s="155">
        <f t="shared" si="39"/>
        <v>0.10465116279069764</v>
      </c>
      <c r="O225" s="155">
        <f t="shared" si="40"/>
        <v>9.6024540221026466E-2</v>
      </c>
      <c r="P225" s="162">
        <f t="shared" si="41"/>
        <v>9.0163934426229497E-2</v>
      </c>
    </row>
    <row r="226" spans="1:16">
      <c r="A226" s="319">
        <v>44523</v>
      </c>
      <c r="B226" s="28">
        <v>0.21</v>
      </c>
      <c r="C226" s="29">
        <v>0.6</v>
      </c>
      <c r="D226" s="29">
        <v>0.95</v>
      </c>
      <c r="E226" s="30">
        <v>1.1400480727607267</v>
      </c>
      <c r="F226" s="29">
        <v>1.33</v>
      </c>
      <c r="G226" s="159">
        <f t="shared" si="32"/>
        <v>9.9999999999999815E-5</v>
      </c>
      <c r="H226" s="154">
        <f t="shared" si="33"/>
        <v>-3.0000000000000024E-4</v>
      </c>
      <c r="I226" s="154">
        <f t="shared" si="34"/>
        <v>0</v>
      </c>
      <c r="J226" s="154">
        <f t="shared" si="35"/>
        <v>-3.1935919465664321E-6</v>
      </c>
      <c r="K226" s="160">
        <f t="shared" si="36"/>
        <v>0</v>
      </c>
      <c r="L226" s="161">
        <f t="shared" si="37"/>
        <v>4.9999999999999822E-2</v>
      </c>
      <c r="M226" s="155">
        <f t="shared" si="38"/>
        <v>-4.7619047619047672E-2</v>
      </c>
      <c r="N226" s="155">
        <f t="shared" si="39"/>
        <v>0</v>
      </c>
      <c r="O226" s="155">
        <f t="shared" si="40"/>
        <v>-2.8004938207415453E-4</v>
      </c>
      <c r="P226" s="162">
        <f t="shared" si="41"/>
        <v>0</v>
      </c>
    </row>
    <row r="227" spans="1:16">
      <c r="A227" s="319">
        <v>44524</v>
      </c>
      <c r="B227" s="28">
        <v>0.24</v>
      </c>
      <c r="C227" s="29">
        <v>0.64</v>
      </c>
      <c r="D227" s="29">
        <v>0.97</v>
      </c>
      <c r="E227" s="30">
        <v>1.155430779582131</v>
      </c>
      <c r="F227" s="29">
        <v>1.34</v>
      </c>
      <c r="G227" s="159">
        <f t="shared" si="32"/>
        <v>2.9999999999999997E-4</v>
      </c>
      <c r="H227" s="154">
        <f t="shared" si="33"/>
        <v>4.0000000000000034E-4</v>
      </c>
      <c r="I227" s="154">
        <f t="shared" si="34"/>
        <v>2.0000000000000017E-4</v>
      </c>
      <c r="J227" s="154">
        <f t="shared" si="35"/>
        <v>1.5382706821404302E-4</v>
      </c>
      <c r="K227" s="160">
        <f t="shared" si="36"/>
        <v>1.0000000000000009E-4</v>
      </c>
      <c r="L227" s="161">
        <f t="shared" si="37"/>
        <v>0.14285714285714279</v>
      </c>
      <c r="M227" s="155">
        <f t="shared" si="38"/>
        <v>6.6666666666666652E-2</v>
      </c>
      <c r="N227" s="155">
        <f t="shared" si="39"/>
        <v>2.1052631578947434E-2</v>
      </c>
      <c r="O227" s="155">
        <f t="shared" si="40"/>
        <v>1.3493033485994843E-2</v>
      </c>
      <c r="P227" s="162">
        <f t="shared" si="41"/>
        <v>7.5187969924812581E-3</v>
      </c>
    </row>
    <row r="228" spans="1:16">
      <c r="A228" s="319">
        <v>44526</v>
      </c>
      <c r="B228" s="28">
        <v>0.2</v>
      </c>
      <c r="C228" s="29">
        <v>0.5</v>
      </c>
      <c r="D228" s="29">
        <v>0.81</v>
      </c>
      <c r="E228" s="30">
        <v>0.98508515912623695</v>
      </c>
      <c r="F228" s="29">
        <v>1.1599999999999999</v>
      </c>
      <c r="G228" s="159">
        <f t="shared" si="32"/>
        <v>-3.999999999999998E-4</v>
      </c>
      <c r="H228" s="154">
        <f t="shared" si="33"/>
        <v>-1.4000000000000002E-3</v>
      </c>
      <c r="I228" s="154">
        <f t="shared" si="34"/>
        <v>-1.5999999999999992E-3</v>
      </c>
      <c r="J228" s="154">
        <f t="shared" si="35"/>
        <v>-1.7034562045589409E-3</v>
      </c>
      <c r="K228" s="160">
        <f t="shared" si="36"/>
        <v>-1.8000000000000017E-3</v>
      </c>
      <c r="L228" s="161">
        <f t="shared" si="37"/>
        <v>-0.16666666666666663</v>
      </c>
      <c r="M228" s="155">
        <f t="shared" si="38"/>
        <v>-0.21875</v>
      </c>
      <c r="N228" s="155">
        <f t="shared" si="39"/>
        <v>-0.16494845360824739</v>
      </c>
      <c r="O228" s="155">
        <f t="shared" si="40"/>
        <v>-0.14743039865832608</v>
      </c>
      <c r="P228" s="162">
        <f t="shared" si="41"/>
        <v>-0.13432835820895539</v>
      </c>
    </row>
    <row r="229" spans="1:16">
      <c r="A229" s="319">
        <v>44529</v>
      </c>
      <c r="B229" s="28">
        <v>0.21</v>
      </c>
      <c r="C229" s="29">
        <v>0.51</v>
      </c>
      <c r="D229" s="29">
        <v>0.83</v>
      </c>
      <c r="E229" s="30">
        <v>1.0051333846979462</v>
      </c>
      <c r="F229" s="29">
        <v>1.18</v>
      </c>
      <c r="G229" s="159">
        <f t="shared" si="32"/>
        <v>9.9999999999999815E-5</v>
      </c>
      <c r="H229" s="154">
        <f t="shared" si="33"/>
        <v>1.0000000000000009E-4</v>
      </c>
      <c r="I229" s="154">
        <f t="shared" si="34"/>
        <v>1.9999999999999906E-4</v>
      </c>
      <c r="J229" s="154">
        <f t="shared" si="35"/>
        <v>2.0048225571709267E-4</v>
      </c>
      <c r="K229" s="160">
        <f t="shared" si="36"/>
        <v>2.0000000000000017E-4</v>
      </c>
      <c r="L229" s="161">
        <f t="shared" si="37"/>
        <v>4.9999999999999822E-2</v>
      </c>
      <c r="M229" s="155">
        <f t="shared" si="38"/>
        <v>2.0000000000000018E-2</v>
      </c>
      <c r="N229" s="155">
        <f t="shared" si="39"/>
        <v>2.4691358024691246E-2</v>
      </c>
      <c r="O229" s="155">
        <f t="shared" si="40"/>
        <v>2.0351768967356909E-2</v>
      </c>
      <c r="P229" s="162">
        <f t="shared" si="41"/>
        <v>1.7241379310344751E-2</v>
      </c>
    </row>
    <row r="230" spans="1:16">
      <c r="A230" s="319">
        <v>44530</v>
      </c>
      <c r="B230" s="28">
        <v>0.24</v>
      </c>
      <c r="C230" s="29">
        <v>0.52</v>
      </c>
      <c r="D230" s="29">
        <v>0.81</v>
      </c>
      <c r="E230" s="30">
        <v>0.97518004254072821</v>
      </c>
      <c r="F230" s="29">
        <v>1.1399999999999999</v>
      </c>
      <c r="G230" s="159">
        <f t="shared" si="32"/>
        <v>2.9999999999999997E-4</v>
      </c>
      <c r="H230" s="154">
        <f t="shared" si="33"/>
        <v>1.0000000000000009E-4</v>
      </c>
      <c r="I230" s="154">
        <f t="shared" si="34"/>
        <v>-1.9999999999999906E-4</v>
      </c>
      <c r="J230" s="154">
        <f t="shared" si="35"/>
        <v>-2.995334215721801E-4</v>
      </c>
      <c r="K230" s="160">
        <f t="shared" si="36"/>
        <v>-4.0000000000000034E-4</v>
      </c>
      <c r="L230" s="161">
        <f t="shared" si="37"/>
        <v>0.14285714285714279</v>
      </c>
      <c r="M230" s="155">
        <f t="shared" si="38"/>
        <v>1.9607843137254832E-2</v>
      </c>
      <c r="N230" s="155">
        <f t="shared" si="39"/>
        <v>-2.409638554216853E-2</v>
      </c>
      <c r="O230" s="155">
        <f t="shared" si="40"/>
        <v>-2.9800365417391173E-2</v>
      </c>
      <c r="P230" s="162">
        <f t="shared" si="41"/>
        <v>-3.3898305084745783E-2</v>
      </c>
    </row>
    <row r="231" spans="1:16">
      <c r="A231" s="319">
        <v>44531</v>
      </c>
      <c r="B231" s="28">
        <v>0.25</v>
      </c>
      <c r="C231" s="29">
        <v>0.56000000000000005</v>
      </c>
      <c r="D231" s="29">
        <v>0.85</v>
      </c>
      <c r="E231" s="30">
        <v>1.0001584597440778</v>
      </c>
      <c r="F231" s="29">
        <v>1.1499999999999999</v>
      </c>
      <c r="G231" s="159">
        <f t="shared" si="32"/>
        <v>1.0000000000000009E-4</v>
      </c>
      <c r="H231" s="154">
        <f t="shared" si="33"/>
        <v>4.0000000000000034E-4</v>
      </c>
      <c r="I231" s="154">
        <f t="shared" si="34"/>
        <v>3.9999999999999926E-4</v>
      </c>
      <c r="J231" s="154">
        <f t="shared" si="35"/>
        <v>2.4978417203349592E-4</v>
      </c>
      <c r="K231" s="160">
        <f t="shared" si="36"/>
        <v>1.0000000000000009E-4</v>
      </c>
      <c r="L231" s="161">
        <f t="shared" si="37"/>
        <v>4.1666666666666741E-2</v>
      </c>
      <c r="M231" s="155">
        <f t="shared" si="38"/>
        <v>7.6923076923077094E-2</v>
      </c>
      <c r="N231" s="155">
        <f t="shared" si="39"/>
        <v>4.9382716049382713E-2</v>
      </c>
      <c r="O231" s="155">
        <f t="shared" si="40"/>
        <v>2.5614159553830618E-2</v>
      </c>
      <c r="P231" s="162">
        <f t="shared" si="41"/>
        <v>8.7719298245614308E-3</v>
      </c>
    </row>
    <row r="232" spans="1:16">
      <c r="A232" s="319">
        <v>44532</v>
      </c>
      <c r="B232" s="28">
        <v>0.27</v>
      </c>
      <c r="C232" s="29">
        <v>0.63</v>
      </c>
      <c r="D232" s="29">
        <v>0.9</v>
      </c>
      <c r="E232" s="30">
        <v>1.0552779740598646</v>
      </c>
      <c r="F232" s="29">
        <v>1.21</v>
      </c>
      <c r="G232" s="159">
        <f t="shared" si="32"/>
        <v>2.0000000000000017E-4</v>
      </c>
      <c r="H232" s="154">
        <f t="shared" si="33"/>
        <v>6.9999999999999956E-4</v>
      </c>
      <c r="I232" s="154">
        <f t="shared" si="34"/>
        <v>5.0000000000000044E-4</v>
      </c>
      <c r="J232" s="154">
        <f t="shared" si="35"/>
        <v>5.5119514315786771E-4</v>
      </c>
      <c r="K232" s="160">
        <f t="shared" si="36"/>
        <v>6.0000000000000049E-4</v>
      </c>
      <c r="L232" s="161">
        <f t="shared" si="37"/>
        <v>8.0000000000000071E-2</v>
      </c>
      <c r="M232" s="155">
        <f t="shared" si="38"/>
        <v>0.125</v>
      </c>
      <c r="N232" s="155">
        <f t="shared" si="39"/>
        <v>5.8823529411764719E-2</v>
      </c>
      <c r="O232" s="155">
        <f t="shared" si="40"/>
        <v>5.5110781475458337E-2</v>
      </c>
      <c r="P232" s="162">
        <f t="shared" si="41"/>
        <v>5.2173913043478404E-2</v>
      </c>
    </row>
    <row r="233" spans="1:16">
      <c r="A233" s="319">
        <v>44533</v>
      </c>
      <c r="B233" s="28">
        <v>0.26</v>
      </c>
      <c r="C233" s="29">
        <v>0.6</v>
      </c>
      <c r="D233" s="29">
        <v>0.86</v>
      </c>
      <c r="E233" s="30">
        <v>0.99510557055563575</v>
      </c>
      <c r="F233" s="29">
        <v>1.1299999999999999</v>
      </c>
      <c r="G233" s="159">
        <f t="shared" si="32"/>
        <v>-1.0000000000000009E-4</v>
      </c>
      <c r="H233" s="154">
        <f t="shared" si="33"/>
        <v>-3.0000000000000024E-4</v>
      </c>
      <c r="I233" s="154">
        <f t="shared" si="34"/>
        <v>-4.0000000000000034E-4</v>
      </c>
      <c r="J233" s="154">
        <f t="shared" si="35"/>
        <v>-6.0172403504228807E-4</v>
      </c>
      <c r="K233" s="160">
        <f t="shared" si="36"/>
        <v>-8.0000000000000069E-4</v>
      </c>
      <c r="L233" s="161">
        <f t="shared" si="37"/>
        <v>-3.703703703703709E-2</v>
      </c>
      <c r="M233" s="155">
        <f t="shared" si="38"/>
        <v>-4.7619047619047672E-2</v>
      </c>
      <c r="N233" s="155">
        <f t="shared" si="39"/>
        <v>-4.4444444444444509E-2</v>
      </c>
      <c r="O233" s="155">
        <f t="shared" si="40"/>
        <v>-5.7020429671940875E-2</v>
      </c>
      <c r="P233" s="162">
        <f t="shared" si="41"/>
        <v>-6.6115702479338956E-2</v>
      </c>
    </row>
    <row r="234" spans="1:16">
      <c r="A234" s="319">
        <v>44536</v>
      </c>
      <c r="B234" s="28">
        <v>0.28000000000000003</v>
      </c>
      <c r="C234" s="29">
        <v>0.65</v>
      </c>
      <c r="D234" s="29">
        <v>0.91</v>
      </c>
      <c r="E234" s="30">
        <v>1.060331494969704</v>
      </c>
      <c r="F234" s="29">
        <v>1.21</v>
      </c>
      <c r="G234" s="159">
        <f t="shared" si="32"/>
        <v>2.0000000000000017E-4</v>
      </c>
      <c r="H234" s="154">
        <f t="shared" si="33"/>
        <v>5.0000000000000044E-4</v>
      </c>
      <c r="I234" s="154">
        <f t="shared" si="34"/>
        <v>5.0000000000000044E-4</v>
      </c>
      <c r="J234" s="154">
        <f t="shared" si="35"/>
        <v>6.5225924414068269E-4</v>
      </c>
      <c r="K234" s="160">
        <f t="shared" si="36"/>
        <v>8.0000000000000069E-4</v>
      </c>
      <c r="L234" s="161">
        <f t="shared" si="37"/>
        <v>7.6923076923077094E-2</v>
      </c>
      <c r="M234" s="155">
        <f t="shared" si="38"/>
        <v>8.3333333333333481E-2</v>
      </c>
      <c r="N234" s="155">
        <f t="shared" si="39"/>
        <v>5.8139534883721034E-2</v>
      </c>
      <c r="O234" s="155">
        <f t="shared" si="40"/>
        <v>6.5546738299985696E-2</v>
      </c>
      <c r="P234" s="162">
        <f t="shared" si="41"/>
        <v>7.079646017699126E-2</v>
      </c>
    </row>
    <row r="235" spans="1:16">
      <c r="A235" s="319">
        <v>44537</v>
      </c>
      <c r="B235" s="28">
        <v>0.31</v>
      </c>
      <c r="C235" s="29">
        <v>0.7</v>
      </c>
      <c r="D235" s="29">
        <v>0.99</v>
      </c>
      <c r="E235" s="30">
        <v>1.1251380946328426</v>
      </c>
      <c r="F235" s="29">
        <v>1.26</v>
      </c>
      <c r="G235" s="159">
        <f t="shared" si="32"/>
        <v>2.999999999999997E-4</v>
      </c>
      <c r="H235" s="154">
        <f t="shared" si="33"/>
        <v>4.9999999999999936E-4</v>
      </c>
      <c r="I235" s="154">
        <f t="shared" si="34"/>
        <v>7.999999999999996E-4</v>
      </c>
      <c r="J235" s="154">
        <f t="shared" si="35"/>
        <v>6.4806599663138622E-4</v>
      </c>
      <c r="K235" s="160">
        <f t="shared" si="36"/>
        <v>5.0000000000000044E-4</v>
      </c>
      <c r="L235" s="161">
        <f t="shared" si="37"/>
        <v>0.10714285714285698</v>
      </c>
      <c r="M235" s="155">
        <f t="shared" si="38"/>
        <v>7.6923076923076872E-2</v>
      </c>
      <c r="N235" s="155">
        <f t="shared" si="39"/>
        <v>8.7912087912087822E-2</v>
      </c>
      <c r="O235" s="155">
        <f t="shared" si="40"/>
        <v>6.11191876979853E-2</v>
      </c>
      <c r="P235" s="162">
        <f t="shared" si="41"/>
        <v>4.1322314049586861E-2</v>
      </c>
    </row>
    <row r="236" spans="1:16">
      <c r="A236" s="319">
        <v>44538</v>
      </c>
      <c r="B236" s="28">
        <v>0.28999999999999998</v>
      </c>
      <c r="C236" s="29">
        <v>0.68</v>
      </c>
      <c r="D236" s="29">
        <v>0.99</v>
      </c>
      <c r="E236" s="30">
        <v>1.1301980066639936</v>
      </c>
      <c r="F236" s="29">
        <v>1.27</v>
      </c>
      <c r="G236" s="159">
        <f t="shared" si="32"/>
        <v>-2.0000000000000017E-4</v>
      </c>
      <c r="H236" s="154">
        <f t="shared" si="33"/>
        <v>-1.9999999999999906E-4</v>
      </c>
      <c r="I236" s="154">
        <f t="shared" si="34"/>
        <v>0</v>
      </c>
      <c r="J236" s="154">
        <f t="shared" si="35"/>
        <v>5.0599120311509705E-5</v>
      </c>
      <c r="K236" s="160">
        <f t="shared" si="36"/>
        <v>1.0000000000000009E-4</v>
      </c>
      <c r="L236" s="161">
        <f t="shared" si="37"/>
        <v>-6.4516129032258118E-2</v>
      </c>
      <c r="M236" s="155">
        <f t="shared" si="38"/>
        <v>-2.857142857142847E-2</v>
      </c>
      <c r="N236" s="155">
        <f t="shared" si="39"/>
        <v>0</v>
      </c>
      <c r="O236" s="155">
        <f t="shared" si="40"/>
        <v>4.4971475548538642E-3</v>
      </c>
      <c r="P236" s="162">
        <f t="shared" si="41"/>
        <v>7.9365079365079083E-3</v>
      </c>
    </row>
    <row r="237" spans="1:16">
      <c r="A237" s="319">
        <v>44539</v>
      </c>
      <c r="B237" s="28">
        <v>0.28000000000000003</v>
      </c>
      <c r="C237" s="29">
        <v>0.7</v>
      </c>
      <c r="D237" s="29">
        <v>0.99</v>
      </c>
      <c r="E237" s="30">
        <v>1.1253970118179253</v>
      </c>
      <c r="F237" s="29">
        <v>1.26</v>
      </c>
      <c r="G237" s="159">
        <f t="shared" si="32"/>
        <v>-9.999999999999953E-5</v>
      </c>
      <c r="H237" s="154">
        <f t="shared" si="33"/>
        <v>1.9999999999999906E-4</v>
      </c>
      <c r="I237" s="154">
        <f t="shared" si="34"/>
        <v>0</v>
      </c>
      <c r="J237" s="154">
        <f t="shared" si="35"/>
        <v>-4.8009948460683291E-5</v>
      </c>
      <c r="K237" s="160">
        <f t="shared" si="36"/>
        <v>-1.0000000000000009E-4</v>
      </c>
      <c r="L237" s="161">
        <f t="shared" si="37"/>
        <v>-3.4482758620689502E-2</v>
      </c>
      <c r="M237" s="155">
        <f t="shared" si="38"/>
        <v>2.9411764705882248E-2</v>
      </c>
      <c r="N237" s="155">
        <f t="shared" si="39"/>
        <v>0</v>
      </c>
      <c r="O237" s="155">
        <f t="shared" si="40"/>
        <v>-4.2479236538731646E-3</v>
      </c>
      <c r="P237" s="162">
        <f t="shared" si="41"/>
        <v>-7.8740157480314821E-3</v>
      </c>
    </row>
    <row r="238" spans="1:16">
      <c r="A238" s="319">
        <v>44540</v>
      </c>
      <c r="B238" s="28">
        <v>0.27</v>
      </c>
      <c r="C238" s="29">
        <v>0.67</v>
      </c>
      <c r="D238" s="29">
        <v>0.98</v>
      </c>
      <c r="E238" s="30">
        <v>1.1151857339451421</v>
      </c>
      <c r="F238" s="29">
        <v>1.25</v>
      </c>
      <c r="G238" s="159">
        <f t="shared" si="32"/>
        <v>-1.0000000000000009E-4</v>
      </c>
      <c r="H238" s="154">
        <f t="shared" si="33"/>
        <v>-2.9999999999999916E-4</v>
      </c>
      <c r="I238" s="154">
        <f t="shared" si="34"/>
        <v>-1.0000000000000009E-4</v>
      </c>
      <c r="J238" s="154">
        <f t="shared" si="35"/>
        <v>-1.0211277872783197E-4</v>
      </c>
      <c r="K238" s="160">
        <f t="shared" si="36"/>
        <v>-1.0000000000000009E-4</v>
      </c>
      <c r="L238" s="161">
        <f t="shared" si="37"/>
        <v>-3.5714285714285698E-2</v>
      </c>
      <c r="M238" s="155">
        <f t="shared" si="38"/>
        <v>-4.2857142857142705E-2</v>
      </c>
      <c r="N238" s="155">
        <f t="shared" si="39"/>
        <v>-1.0101010101010055E-2</v>
      </c>
      <c r="O238" s="155">
        <f t="shared" si="40"/>
        <v>-9.0734894135610089E-3</v>
      </c>
      <c r="P238" s="162">
        <f t="shared" si="41"/>
        <v>-7.9365079365079083E-3</v>
      </c>
    </row>
    <row r="239" spans="1:16">
      <c r="A239" s="319">
        <v>44543</v>
      </c>
      <c r="B239" s="28">
        <v>0.27</v>
      </c>
      <c r="C239" s="29">
        <v>0.66</v>
      </c>
      <c r="D239" s="29">
        <v>0.95</v>
      </c>
      <c r="E239" s="30">
        <v>1.0800222807404687</v>
      </c>
      <c r="F239" s="29">
        <v>1.21</v>
      </c>
      <c r="G239" s="159">
        <f t="shared" si="32"/>
        <v>0</v>
      </c>
      <c r="H239" s="154">
        <f t="shared" si="33"/>
        <v>-1.0000000000000009E-4</v>
      </c>
      <c r="I239" s="154">
        <f t="shared" si="34"/>
        <v>-3.0000000000000024E-4</v>
      </c>
      <c r="J239" s="154">
        <f t="shared" si="35"/>
        <v>-3.5163453204673401E-4</v>
      </c>
      <c r="K239" s="160">
        <f t="shared" si="36"/>
        <v>-4.0000000000000034E-4</v>
      </c>
      <c r="L239" s="161">
        <f t="shared" si="37"/>
        <v>0</v>
      </c>
      <c r="M239" s="155">
        <f t="shared" si="38"/>
        <v>-1.4925373134328401E-2</v>
      </c>
      <c r="N239" s="155">
        <f t="shared" si="39"/>
        <v>-3.0612244897959218E-2</v>
      </c>
      <c r="O239" s="155">
        <f t="shared" si="40"/>
        <v>-3.1531476896029864E-2</v>
      </c>
      <c r="P239" s="162">
        <f t="shared" si="41"/>
        <v>-3.2000000000000028E-2</v>
      </c>
    </row>
    <row r="240" spans="1:16">
      <c r="A240" s="319">
        <v>44544</v>
      </c>
      <c r="B240" s="28">
        <v>0.26</v>
      </c>
      <c r="C240" s="29">
        <v>0.67</v>
      </c>
      <c r="D240" s="29">
        <v>0.98</v>
      </c>
      <c r="E240" s="30">
        <v>1.1051374154717148</v>
      </c>
      <c r="F240" s="29">
        <v>1.23</v>
      </c>
      <c r="G240" s="159">
        <f t="shared" si="32"/>
        <v>-1.0000000000000009E-4</v>
      </c>
      <c r="H240" s="154">
        <f t="shared" si="33"/>
        <v>1.0000000000000009E-4</v>
      </c>
      <c r="I240" s="154">
        <f t="shared" si="34"/>
        <v>3.0000000000000024E-4</v>
      </c>
      <c r="J240" s="154">
        <f t="shared" si="35"/>
        <v>2.5115134731246158E-4</v>
      </c>
      <c r="K240" s="160">
        <f t="shared" si="36"/>
        <v>2.0000000000000017E-4</v>
      </c>
      <c r="L240" s="161">
        <f t="shared" si="37"/>
        <v>-3.703703703703709E-2</v>
      </c>
      <c r="M240" s="155">
        <f t="shared" si="38"/>
        <v>1.5151515151515138E-2</v>
      </c>
      <c r="N240" s="155">
        <f t="shared" si="39"/>
        <v>3.1578947368421151E-2</v>
      </c>
      <c r="O240" s="155">
        <f t="shared" si="40"/>
        <v>2.3254274637766859E-2</v>
      </c>
      <c r="P240" s="162">
        <f t="shared" si="41"/>
        <v>1.6528925619834656E-2</v>
      </c>
    </row>
    <row r="241" spans="1:16">
      <c r="A241" s="319">
        <v>44545</v>
      </c>
      <c r="B241" s="28">
        <v>0.28999999999999998</v>
      </c>
      <c r="C241" s="29">
        <v>0.69</v>
      </c>
      <c r="D241" s="29">
        <v>1</v>
      </c>
      <c r="E241" s="30">
        <v>1.1301262794042441</v>
      </c>
      <c r="F241" s="29">
        <v>1.26</v>
      </c>
      <c r="G241" s="159">
        <f t="shared" si="32"/>
        <v>2.999999999999997E-4</v>
      </c>
      <c r="H241" s="154">
        <f t="shared" si="33"/>
        <v>1.9999999999999906E-4</v>
      </c>
      <c r="I241" s="154">
        <f t="shared" si="34"/>
        <v>2.0000000000000017E-4</v>
      </c>
      <c r="J241" s="154">
        <f t="shared" si="35"/>
        <v>2.4988863932529304E-4</v>
      </c>
      <c r="K241" s="160">
        <f t="shared" si="36"/>
        <v>3.0000000000000024E-4</v>
      </c>
      <c r="L241" s="161">
        <f t="shared" si="37"/>
        <v>0.1153846153846152</v>
      </c>
      <c r="M241" s="155">
        <f t="shared" si="38"/>
        <v>2.9850746268656581E-2</v>
      </c>
      <c r="N241" s="155">
        <f t="shared" si="39"/>
        <v>2.0408163265306145E-2</v>
      </c>
      <c r="O241" s="155">
        <f t="shared" si="40"/>
        <v>2.2611544575986686E-2</v>
      </c>
      <c r="P241" s="162">
        <f t="shared" si="41"/>
        <v>2.4390243902439046E-2</v>
      </c>
    </row>
    <row r="242" spans="1:16">
      <c r="A242" s="319">
        <v>44546</v>
      </c>
      <c r="B242" s="28">
        <v>0.26</v>
      </c>
      <c r="C242" s="29">
        <v>0.64</v>
      </c>
      <c r="D242" s="29">
        <v>0.92</v>
      </c>
      <c r="E242" s="30">
        <v>1.0550335985355186</v>
      </c>
      <c r="F242" s="29">
        <v>1.19</v>
      </c>
      <c r="G242" s="159">
        <f t="shared" si="32"/>
        <v>-2.999999999999997E-4</v>
      </c>
      <c r="H242" s="154">
        <f t="shared" si="33"/>
        <v>-4.9999999999999936E-4</v>
      </c>
      <c r="I242" s="154">
        <f t="shared" si="34"/>
        <v>-7.999999999999996E-4</v>
      </c>
      <c r="J242" s="154">
        <f t="shared" si="35"/>
        <v>-7.5092680868725557E-4</v>
      </c>
      <c r="K242" s="160">
        <f t="shared" si="36"/>
        <v>-7.0000000000000064E-4</v>
      </c>
      <c r="L242" s="161">
        <f t="shared" si="37"/>
        <v>-0.10344827586206884</v>
      </c>
      <c r="M242" s="155">
        <f t="shared" si="38"/>
        <v>-7.2463768115941907E-2</v>
      </c>
      <c r="N242" s="155">
        <f t="shared" si="39"/>
        <v>-7.999999999999996E-2</v>
      </c>
      <c r="O242" s="155">
        <f t="shared" si="40"/>
        <v>-6.6446274400690286E-2</v>
      </c>
      <c r="P242" s="162">
        <f t="shared" si="41"/>
        <v>-5.555555555555558E-2</v>
      </c>
    </row>
    <row r="243" spans="1:16">
      <c r="A243" s="319">
        <v>44547</v>
      </c>
      <c r="B243" s="28">
        <v>0.27</v>
      </c>
      <c r="C243" s="29">
        <v>0.66</v>
      </c>
      <c r="D243" s="29">
        <v>0.93</v>
      </c>
      <c r="E243" s="30">
        <v>1.0553049536196584</v>
      </c>
      <c r="F243" s="29">
        <v>1.18</v>
      </c>
      <c r="G243" s="159">
        <f t="shared" si="32"/>
        <v>1.0000000000000009E-4</v>
      </c>
      <c r="H243" s="154">
        <f t="shared" si="33"/>
        <v>2.0000000000000017E-4</v>
      </c>
      <c r="I243" s="154">
        <f t="shared" si="34"/>
        <v>1.0000000000000009E-4</v>
      </c>
      <c r="J243" s="154">
        <f t="shared" si="35"/>
        <v>2.7135508413977938E-6</v>
      </c>
      <c r="K243" s="160">
        <f t="shared" si="36"/>
        <v>-1.0000000000000009E-4</v>
      </c>
      <c r="L243" s="161">
        <f t="shared" si="37"/>
        <v>3.8461538461538547E-2</v>
      </c>
      <c r="M243" s="155">
        <f t="shared" si="38"/>
        <v>3.125E-2</v>
      </c>
      <c r="N243" s="155">
        <f t="shared" si="39"/>
        <v>1.0869565217391353E-2</v>
      </c>
      <c r="O243" s="155">
        <f t="shared" si="40"/>
        <v>2.5720041950938466E-4</v>
      </c>
      <c r="P243" s="162">
        <f t="shared" si="41"/>
        <v>-8.4033613445377853E-3</v>
      </c>
    </row>
    <row r="244" spans="1:16">
      <c r="A244" s="319">
        <v>44550</v>
      </c>
      <c r="B244" s="28">
        <v>0.27</v>
      </c>
      <c r="C244" s="29">
        <v>0.65</v>
      </c>
      <c r="D244" s="29">
        <v>0.91</v>
      </c>
      <c r="E244" s="30">
        <v>1.040382114374083</v>
      </c>
      <c r="F244" s="29">
        <v>1.17</v>
      </c>
      <c r="G244" s="159">
        <f t="shared" si="32"/>
        <v>0</v>
      </c>
      <c r="H244" s="154">
        <f t="shared" si="33"/>
        <v>-1.0000000000000009E-4</v>
      </c>
      <c r="I244" s="154">
        <f t="shared" si="34"/>
        <v>-2.0000000000000017E-4</v>
      </c>
      <c r="J244" s="154">
        <f t="shared" si="35"/>
        <v>-1.4922839245575358E-4</v>
      </c>
      <c r="K244" s="160">
        <f t="shared" si="36"/>
        <v>-1.0000000000000009E-4</v>
      </c>
      <c r="L244" s="161">
        <f t="shared" si="37"/>
        <v>0</v>
      </c>
      <c r="M244" s="155">
        <f t="shared" si="38"/>
        <v>-1.5151515151515138E-2</v>
      </c>
      <c r="N244" s="155">
        <f t="shared" si="39"/>
        <v>-2.1505376344086002E-2</v>
      </c>
      <c r="O244" s="155">
        <f t="shared" si="40"/>
        <v>-1.4140783850573713E-2</v>
      </c>
      <c r="P244" s="162">
        <f t="shared" si="41"/>
        <v>-8.4745762711864181E-3</v>
      </c>
    </row>
    <row r="245" spans="1:16">
      <c r="A245" s="319">
        <v>44551</v>
      </c>
      <c r="B245" s="28">
        <v>0.28999999999999998</v>
      </c>
      <c r="C245" s="29">
        <v>0.7</v>
      </c>
      <c r="D245" s="29">
        <v>0.96</v>
      </c>
      <c r="E245" s="30">
        <v>1.1001740118136443</v>
      </c>
      <c r="F245" s="29">
        <v>1.24</v>
      </c>
      <c r="G245" s="159">
        <f t="shared" si="32"/>
        <v>1.9999999999999963E-4</v>
      </c>
      <c r="H245" s="154">
        <f t="shared" si="33"/>
        <v>4.9999999999999936E-4</v>
      </c>
      <c r="I245" s="154">
        <f t="shared" si="34"/>
        <v>4.9999999999999936E-4</v>
      </c>
      <c r="J245" s="154">
        <f t="shared" si="35"/>
        <v>5.9791897439561261E-4</v>
      </c>
      <c r="K245" s="160">
        <f t="shared" si="36"/>
        <v>7.0000000000000064E-4</v>
      </c>
      <c r="L245" s="161">
        <f t="shared" si="37"/>
        <v>7.4074074074073959E-2</v>
      </c>
      <c r="M245" s="155">
        <f t="shared" si="38"/>
        <v>7.6923076923076872E-2</v>
      </c>
      <c r="N245" s="155">
        <f t="shared" si="39"/>
        <v>5.4945054945054972E-2</v>
      </c>
      <c r="O245" s="155">
        <f t="shared" si="40"/>
        <v>5.7471093181502342E-2</v>
      </c>
      <c r="P245" s="162">
        <f t="shared" si="41"/>
        <v>5.9829059829059839E-2</v>
      </c>
    </row>
    <row r="246" spans="1:16">
      <c r="A246" s="319">
        <v>44552</v>
      </c>
      <c r="B246" s="28">
        <v>0.28000000000000003</v>
      </c>
      <c r="C246" s="29">
        <v>0.68</v>
      </c>
      <c r="D246" s="29">
        <v>0.96</v>
      </c>
      <c r="E246" s="30">
        <v>1.0951702199472231</v>
      </c>
      <c r="F246" s="29">
        <v>1.23</v>
      </c>
      <c r="G246" s="159">
        <f t="shared" si="32"/>
        <v>-9.999999999999953E-5</v>
      </c>
      <c r="H246" s="154">
        <f t="shared" si="33"/>
        <v>-1.9999999999999906E-4</v>
      </c>
      <c r="I246" s="154">
        <f t="shared" si="34"/>
        <v>0</v>
      </c>
      <c r="J246" s="154">
        <f t="shared" si="35"/>
        <v>-5.0037918664211924E-5</v>
      </c>
      <c r="K246" s="160">
        <f t="shared" si="36"/>
        <v>-1.0000000000000009E-4</v>
      </c>
      <c r="L246" s="161">
        <f t="shared" si="37"/>
        <v>-3.4482758620689502E-2</v>
      </c>
      <c r="M246" s="155">
        <f t="shared" si="38"/>
        <v>-2.857142857142847E-2</v>
      </c>
      <c r="N246" s="155">
        <f t="shared" si="39"/>
        <v>0</v>
      </c>
      <c r="O246" s="155">
        <f t="shared" si="40"/>
        <v>-4.5481822081694379E-3</v>
      </c>
      <c r="P246" s="162">
        <f t="shared" si="41"/>
        <v>-8.0645161290322509E-3</v>
      </c>
    </row>
    <row r="247" spans="1:16">
      <c r="A247" s="319">
        <v>44553</v>
      </c>
      <c r="B247" s="28">
        <v>0.31</v>
      </c>
      <c r="C247" s="29">
        <v>0.71</v>
      </c>
      <c r="D247" s="29">
        <v>0.97</v>
      </c>
      <c r="E247" s="30">
        <v>1.1102110743055122</v>
      </c>
      <c r="F247" s="29">
        <v>1.25</v>
      </c>
      <c r="G247" s="159">
        <f t="shared" si="32"/>
        <v>2.999999999999997E-4</v>
      </c>
      <c r="H247" s="154">
        <f t="shared" si="33"/>
        <v>2.9999999999999916E-4</v>
      </c>
      <c r="I247" s="154">
        <f t="shared" si="34"/>
        <v>1.0000000000000009E-4</v>
      </c>
      <c r="J247" s="154">
        <f t="shared" si="35"/>
        <v>1.5040854358289169E-4</v>
      </c>
      <c r="K247" s="160">
        <f t="shared" si="36"/>
        <v>2.0000000000000017E-4</v>
      </c>
      <c r="L247" s="161">
        <f t="shared" si="37"/>
        <v>0.10714285714285698</v>
      </c>
      <c r="M247" s="155">
        <f t="shared" si="38"/>
        <v>4.4117647058823373E-2</v>
      </c>
      <c r="N247" s="155">
        <f t="shared" si="39"/>
        <v>1.0416666666666741E-2</v>
      </c>
      <c r="O247" s="155">
        <f t="shared" si="40"/>
        <v>1.3733805105670127E-2</v>
      </c>
      <c r="P247" s="162">
        <f t="shared" si="41"/>
        <v>1.6260162601626105E-2</v>
      </c>
    </row>
    <row r="248" spans="1:16">
      <c r="A248" s="319">
        <v>44557</v>
      </c>
      <c r="B248" s="28">
        <v>0.33</v>
      </c>
      <c r="C248" s="29">
        <v>0.76</v>
      </c>
      <c r="D248" s="29">
        <v>0.98</v>
      </c>
      <c r="E248" s="30">
        <v>1.1202318129798301</v>
      </c>
      <c r="F248" s="29">
        <v>1.26</v>
      </c>
      <c r="G248" s="159">
        <f t="shared" si="32"/>
        <v>2.0000000000000017E-4</v>
      </c>
      <c r="H248" s="154">
        <f t="shared" si="33"/>
        <v>5.0000000000000044E-4</v>
      </c>
      <c r="I248" s="154">
        <f t="shared" si="34"/>
        <v>1.0000000000000009E-4</v>
      </c>
      <c r="J248" s="154">
        <f t="shared" si="35"/>
        <v>1.0020738674317852E-4</v>
      </c>
      <c r="K248" s="160">
        <f t="shared" si="36"/>
        <v>1.0000000000000009E-4</v>
      </c>
      <c r="L248" s="161">
        <f t="shared" si="37"/>
        <v>6.4516129032258229E-2</v>
      </c>
      <c r="M248" s="155">
        <f t="shared" si="38"/>
        <v>7.0422535211267734E-2</v>
      </c>
      <c r="N248" s="155">
        <f t="shared" si="39"/>
        <v>1.0309278350515427E-2</v>
      </c>
      <c r="O248" s="155">
        <f t="shared" si="40"/>
        <v>9.0259761465505406E-3</v>
      </c>
      <c r="P248" s="162">
        <f t="shared" si="41"/>
        <v>8.0000000000000071E-3</v>
      </c>
    </row>
    <row r="249" spans="1:16">
      <c r="A249" s="319">
        <v>44558</v>
      </c>
      <c r="B249" s="28">
        <v>0.39</v>
      </c>
      <c r="C249" s="29">
        <v>0.74</v>
      </c>
      <c r="D249" s="29">
        <v>0.99</v>
      </c>
      <c r="E249" s="30">
        <v>1.1302293896627693</v>
      </c>
      <c r="F249" s="29">
        <v>1.27</v>
      </c>
      <c r="G249" s="159">
        <f t="shared" si="32"/>
        <v>5.9999999999999995E-4</v>
      </c>
      <c r="H249" s="154">
        <f t="shared" si="33"/>
        <v>-2.0000000000000017E-4</v>
      </c>
      <c r="I249" s="154">
        <f t="shared" si="34"/>
        <v>1.0000000000000009E-4</v>
      </c>
      <c r="J249" s="154">
        <f t="shared" si="35"/>
        <v>9.997576682939213E-5</v>
      </c>
      <c r="K249" s="160">
        <f t="shared" si="36"/>
        <v>1.0000000000000009E-4</v>
      </c>
      <c r="L249" s="161">
        <f t="shared" si="37"/>
        <v>0.18181818181818188</v>
      </c>
      <c r="M249" s="155">
        <f t="shared" si="38"/>
        <v>-2.6315789473684181E-2</v>
      </c>
      <c r="N249" s="155">
        <f t="shared" si="39"/>
        <v>1.0204081632652962E-2</v>
      </c>
      <c r="O249" s="155">
        <f t="shared" si="40"/>
        <v>8.9245605838899067E-3</v>
      </c>
      <c r="P249" s="162">
        <f t="shared" si="41"/>
        <v>7.9365079365079083E-3</v>
      </c>
    </row>
    <row r="250" spans="1:16">
      <c r="A250" s="319">
        <v>44559</v>
      </c>
      <c r="B250" s="28">
        <v>0.38</v>
      </c>
      <c r="C250" s="29">
        <v>0.75</v>
      </c>
      <c r="D250" s="29">
        <v>0.99</v>
      </c>
      <c r="E250" s="30">
        <v>1.1404325113599241</v>
      </c>
      <c r="F250" s="29">
        <v>1.29</v>
      </c>
      <c r="G250" s="159">
        <f t="shared" si="32"/>
        <v>-1.0000000000000009E-4</v>
      </c>
      <c r="H250" s="154">
        <f t="shared" si="33"/>
        <v>1.0000000000000009E-4</v>
      </c>
      <c r="I250" s="154">
        <f t="shared" si="34"/>
        <v>0</v>
      </c>
      <c r="J250" s="154">
        <f t="shared" si="35"/>
        <v>1.0203121697154759E-4</v>
      </c>
      <c r="K250" s="160">
        <f t="shared" si="36"/>
        <v>2.0000000000000017E-4</v>
      </c>
      <c r="L250" s="161">
        <f t="shared" si="37"/>
        <v>-2.5641025641025661E-2</v>
      </c>
      <c r="M250" s="155">
        <f t="shared" si="38"/>
        <v>1.3513513513513598E-2</v>
      </c>
      <c r="N250" s="155">
        <f t="shared" si="39"/>
        <v>0</v>
      </c>
      <c r="O250" s="155">
        <f t="shared" si="40"/>
        <v>9.0274786609461088E-3</v>
      </c>
      <c r="P250" s="162">
        <f t="shared" si="41"/>
        <v>1.5748031496062964E-2</v>
      </c>
    </row>
    <row r="251" spans="1:16">
      <c r="A251" s="319">
        <v>44560</v>
      </c>
      <c r="B251" s="28">
        <v>0.38</v>
      </c>
      <c r="C251" s="29">
        <v>0.73</v>
      </c>
      <c r="D251" s="29">
        <v>0.98</v>
      </c>
      <c r="E251" s="30">
        <v>1.1251701431230552</v>
      </c>
      <c r="F251" s="29">
        <v>1.27</v>
      </c>
      <c r="G251" s="159">
        <f t="shared" si="32"/>
        <v>0</v>
      </c>
      <c r="H251" s="154">
        <f t="shared" si="33"/>
        <v>-2.0000000000000017E-4</v>
      </c>
      <c r="I251" s="154">
        <f t="shared" si="34"/>
        <v>-1.0000000000000009E-4</v>
      </c>
      <c r="J251" s="154">
        <f t="shared" si="35"/>
        <v>-1.5262368236868885E-4</v>
      </c>
      <c r="K251" s="160">
        <f t="shared" si="36"/>
        <v>-2.0000000000000017E-4</v>
      </c>
      <c r="L251" s="161">
        <f t="shared" si="37"/>
        <v>0</v>
      </c>
      <c r="M251" s="155">
        <f t="shared" si="38"/>
        <v>-2.6666666666666727E-2</v>
      </c>
      <c r="N251" s="155">
        <f t="shared" si="39"/>
        <v>-1.0101010101010055E-2</v>
      </c>
      <c r="O251" s="155">
        <f t="shared" si="40"/>
        <v>-1.3382964870642833E-2</v>
      </c>
      <c r="P251" s="162">
        <f t="shared" si="41"/>
        <v>-1.5503875968992276E-2</v>
      </c>
    </row>
    <row r="252" spans="1:16">
      <c r="A252" s="319">
        <v>44561</v>
      </c>
      <c r="B252" s="28">
        <v>0.39</v>
      </c>
      <c r="C252" s="29">
        <v>0.73</v>
      </c>
      <c r="D252" s="29">
        <v>0.97</v>
      </c>
      <c r="E252" s="30">
        <v>1.1151673118268217</v>
      </c>
      <c r="F252" s="29">
        <v>1.26</v>
      </c>
      <c r="G252" s="159">
        <f t="shared" si="32"/>
        <v>1.0000000000000009E-4</v>
      </c>
      <c r="H252" s="154">
        <f t="shared" si="33"/>
        <v>0</v>
      </c>
      <c r="I252" s="154">
        <f t="shared" si="34"/>
        <v>-1.0000000000000009E-4</v>
      </c>
      <c r="J252" s="154">
        <f t="shared" si="35"/>
        <v>-1.0002831296233472E-4</v>
      </c>
      <c r="K252" s="160">
        <f t="shared" si="36"/>
        <v>-1.0000000000000009E-4</v>
      </c>
      <c r="L252" s="161">
        <f t="shared" si="37"/>
        <v>2.6315789473684292E-2</v>
      </c>
      <c r="M252" s="155">
        <f t="shared" si="38"/>
        <v>0</v>
      </c>
      <c r="N252" s="155">
        <f t="shared" si="39"/>
        <v>-1.0204081632653073E-2</v>
      </c>
      <c r="O252" s="155">
        <f t="shared" si="40"/>
        <v>-8.8900610786465384E-3</v>
      </c>
      <c r="P252" s="162">
        <f t="shared" si="41"/>
        <v>-7.8740157480314821E-3</v>
      </c>
    </row>
    <row r="253" spans="1:16">
      <c r="A253" s="319">
        <v>44564</v>
      </c>
      <c r="B253" s="28">
        <v>0.4</v>
      </c>
      <c r="C253" s="29">
        <v>0.78</v>
      </c>
      <c r="D253" s="29">
        <v>1.04</v>
      </c>
      <c r="E253" s="30">
        <v>1.2050616127407647</v>
      </c>
      <c r="F253" s="29">
        <v>1.37</v>
      </c>
      <c r="G253" s="159">
        <f t="shared" si="32"/>
        <v>1.0000000000000009E-4</v>
      </c>
      <c r="H253" s="154">
        <f t="shared" si="33"/>
        <v>5.0000000000000044E-4</v>
      </c>
      <c r="I253" s="154">
        <f t="shared" si="34"/>
        <v>7.0000000000000064E-4</v>
      </c>
      <c r="J253" s="154">
        <f t="shared" si="35"/>
        <v>8.9894300913943013E-4</v>
      </c>
      <c r="K253" s="160">
        <f t="shared" si="36"/>
        <v>1.1000000000000009E-3</v>
      </c>
      <c r="L253" s="161">
        <f t="shared" si="37"/>
        <v>2.5641025641025772E-2</v>
      </c>
      <c r="M253" s="155">
        <f t="shared" si="38"/>
        <v>6.8493150684931559E-2</v>
      </c>
      <c r="N253" s="155">
        <f t="shared" si="39"/>
        <v>7.2164948453608213E-2</v>
      </c>
      <c r="O253" s="155">
        <f t="shared" si="40"/>
        <v>8.0610595343475255E-2</v>
      </c>
      <c r="P253" s="162">
        <f t="shared" si="41"/>
        <v>8.7301587301587436E-2</v>
      </c>
    </row>
    <row r="254" spans="1:16">
      <c r="A254" s="319">
        <v>44565</v>
      </c>
      <c r="B254" s="28">
        <v>0.38</v>
      </c>
      <c r="C254" s="29">
        <v>0.77</v>
      </c>
      <c r="D254" s="29">
        <v>1.02</v>
      </c>
      <c r="E254" s="30">
        <v>1.195019394688573</v>
      </c>
      <c r="F254" s="29">
        <v>1.37</v>
      </c>
      <c r="G254" s="159">
        <f t="shared" si="32"/>
        <v>-2.0000000000000017E-4</v>
      </c>
      <c r="H254" s="154">
        <f t="shared" si="33"/>
        <v>-1.0000000000000009E-4</v>
      </c>
      <c r="I254" s="154">
        <f t="shared" si="34"/>
        <v>-2.0000000000000017E-4</v>
      </c>
      <c r="J254" s="154">
        <f t="shared" si="35"/>
        <v>-1.0042218052191742E-4</v>
      </c>
      <c r="K254" s="160">
        <f t="shared" si="36"/>
        <v>0</v>
      </c>
      <c r="L254" s="161">
        <f t="shared" si="37"/>
        <v>-5.0000000000000044E-2</v>
      </c>
      <c r="M254" s="155">
        <f t="shared" si="38"/>
        <v>-1.2820512820512886E-2</v>
      </c>
      <c r="N254" s="155">
        <f t="shared" si="39"/>
        <v>-1.9230769230769273E-2</v>
      </c>
      <c r="O254" s="155">
        <f t="shared" si="40"/>
        <v>-8.3333648221952661E-3</v>
      </c>
      <c r="P254" s="162">
        <f t="shared" si="41"/>
        <v>0</v>
      </c>
    </row>
    <row r="255" spans="1:16">
      <c r="A255" s="319">
        <v>44566</v>
      </c>
      <c r="B255" s="28">
        <v>0.41</v>
      </c>
      <c r="C255" s="29">
        <v>0.83</v>
      </c>
      <c r="D255" s="29">
        <v>1.1000000000000001</v>
      </c>
      <c r="E255" s="30">
        <v>1.2650391817506521</v>
      </c>
      <c r="F255" s="29">
        <v>1.43</v>
      </c>
      <c r="G255" s="159">
        <f t="shared" si="32"/>
        <v>2.999999999999997E-4</v>
      </c>
      <c r="H255" s="154">
        <f t="shared" si="33"/>
        <v>5.9999999999999941E-4</v>
      </c>
      <c r="I255" s="154">
        <f t="shared" si="34"/>
        <v>8.0000000000000069E-4</v>
      </c>
      <c r="J255" s="154">
        <f t="shared" si="35"/>
        <v>7.0019787062079123E-4</v>
      </c>
      <c r="K255" s="160">
        <f t="shared" si="36"/>
        <v>5.9999999999999832E-4</v>
      </c>
      <c r="L255" s="161">
        <f t="shared" si="37"/>
        <v>7.8947368421052655E-2</v>
      </c>
      <c r="M255" s="155">
        <f t="shared" si="38"/>
        <v>7.7922077922077948E-2</v>
      </c>
      <c r="N255" s="155">
        <f t="shared" si="39"/>
        <v>7.8431372549019773E-2</v>
      </c>
      <c r="O255" s="155">
        <f t="shared" si="40"/>
        <v>5.8593013111997605E-2</v>
      </c>
      <c r="P255" s="162">
        <f t="shared" si="41"/>
        <v>4.3795620437956151E-2</v>
      </c>
    </row>
    <row r="256" spans="1:16">
      <c r="A256" s="319">
        <v>44567</v>
      </c>
      <c r="B256" s="28">
        <v>0.45</v>
      </c>
      <c r="C256" s="29">
        <v>0.88</v>
      </c>
      <c r="D256" s="29">
        <v>1.1499999999999999</v>
      </c>
      <c r="E256" s="30">
        <v>1.3104957176612326</v>
      </c>
      <c r="F256" s="29">
        <v>1.47</v>
      </c>
      <c r="G256" s="159">
        <f t="shared" si="32"/>
        <v>4.0000000000000034E-4</v>
      </c>
      <c r="H256" s="154">
        <f t="shared" si="33"/>
        <v>5.0000000000000044E-4</v>
      </c>
      <c r="I256" s="154">
        <f t="shared" si="34"/>
        <v>4.9999999999999828E-4</v>
      </c>
      <c r="J256" s="154">
        <f t="shared" si="35"/>
        <v>4.5456535910580519E-4</v>
      </c>
      <c r="K256" s="160">
        <f t="shared" si="36"/>
        <v>4.0000000000000034E-4</v>
      </c>
      <c r="L256" s="161">
        <f t="shared" si="37"/>
        <v>9.7560975609756184E-2</v>
      </c>
      <c r="M256" s="155">
        <f t="shared" si="38"/>
        <v>6.024096385542177E-2</v>
      </c>
      <c r="N256" s="155">
        <f t="shared" si="39"/>
        <v>4.5454545454545192E-2</v>
      </c>
      <c r="O256" s="155">
        <f t="shared" si="40"/>
        <v>3.5932907507002732E-2</v>
      </c>
      <c r="P256" s="162">
        <f t="shared" si="41"/>
        <v>2.7972027972027913E-2</v>
      </c>
    </row>
    <row r="257" spans="1:16">
      <c r="A257" s="319">
        <v>44568</v>
      </c>
      <c r="B257" s="28">
        <v>0.43</v>
      </c>
      <c r="C257" s="29">
        <v>0.87</v>
      </c>
      <c r="D257" s="29">
        <v>1.17</v>
      </c>
      <c r="E257" s="30">
        <v>1.3350260715780433</v>
      </c>
      <c r="F257" s="29">
        <v>1.5</v>
      </c>
      <c r="G257" s="159">
        <f t="shared" si="32"/>
        <v>-2.0000000000000017E-4</v>
      </c>
      <c r="H257" s="154">
        <f t="shared" si="33"/>
        <v>-1.0000000000000009E-4</v>
      </c>
      <c r="I257" s="154">
        <f t="shared" si="34"/>
        <v>2.0000000000000017E-4</v>
      </c>
      <c r="J257" s="154">
        <f t="shared" si="35"/>
        <v>2.4530353916810685E-4</v>
      </c>
      <c r="K257" s="160">
        <f t="shared" si="36"/>
        <v>3.0000000000000024E-4</v>
      </c>
      <c r="L257" s="161">
        <f t="shared" si="37"/>
        <v>-4.4444444444444509E-2</v>
      </c>
      <c r="M257" s="155">
        <f t="shared" si="38"/>
        <v>-1.1363636363636354E-2</v>
      </c>
      <c r="N257" s="155">
        <f t="shared" si="39"/>
        <v>1.7391304347826209E-2</v>
      </c>
      <c r="O257" s="155">
        <f t="shared" si="40"/>
        <v>1.8718377775845507E-2</v>
      </c>
      <c r="P257" s="162">
        <f t="shared" si="41"/>
        <v>2.0408163265306145E-2</v>
      </c>
    </row>
    <row r="258" spans="1:16">
      <c r="A258" s="319">
        <v>44571</v>
      </c>
      <c r="B258" s="28">
        <v>0.46</v>
      </c>
      <c r="C258" s="29">
        <v>0.92</v>
      </c>
      <c r="D258" s="29">
        <v>1.21</v>
      </c>
      <c r="E258" s="30">
        <v>1.3702670827800838</v>
      </c>
      <c r="F258" s="29">
        <v>1.53</v>
      </c>
      <c r="G258" s="159">
        <f t="shared" si="32"/>
        <v>3.0000000000000024E-4</v>
      </c>
      <c r="H258" s="154">
        <f t="shared" si="33"/>
        <v>5.0000000000000044E-4</v>
      </c>
      <c r="I258" s="154">
        <f t="shared" si="34"/>
        <v>4.0000000000000034E-4</v>
      </c>
      <c r="J258" s="154">
        <f t="shared" si="35"/>
        <v>3.5241011202040483E-4</v>
      </c>
      <c r="K258" s="160">
        <f t="shared" si="36"/>
        <v>3.0000000000000024E-4</v>
      </c>
      <c r="L258" s="161">
        <f t="shared" si="37"/>
        <v>6.976744186046524E-2</v>
      </c>
      <c r="M258" s="155">
        <f t="shared" si="38"/>
        <v>5.7471264367816133E-2</v>
      </c>
      <c r="N258" s="155">
        <f t="shared" si="39"/>
        <v>3.4188034188034289E-2</v>
      </c>
      <c r="O258" s="155">
        <f t="shared" si="40"/>
        <v>2.6397245681040848E-2</v>
      </c>
      <c r="P258" s="162">
        <f t="shared" si="41"/>
        <v>2.0000000000000018E-2</v>
      </c>
    </row>
    <row r="259" spans="1:16">
      <c r="A259" s="319">
        <v>44572</v>
      </c>
      <c r="B259" s="28">
        <v>0.46</v>
      </c>
      <c r="C259" s="29">
        <v>0.9</v>
      </c>
      <c r="D259" s="29">
        <v>1.22</v>
      </c>
      <c r="E259" s="30">
        <v>1.3652537169354129</v>
      </c>
      <c r="F259" s="29">
        <v>1.51</v>
      </c>
      <c r="G259" s="159">
        <f t="shared" si="32"/>
        <v>0</v>
      </c>
      <c r="H259" s="154">
        <f t="shared" si="33"/>
        <v>-2.0000000000000017E-4</v>
      </c>
      <c r="I259" s="154">
        <f t="shared" si="34"/>
        <v>1.0000000000000009E-4</v>
      </c>
      <c r="J259" s="154">
        <f t="shared" si="35"/>
        <v>-5.0133658446709363E-5</v>
      </c>
      <c r="K259" s="160">
        <f t="shared" si="36"/>
        <v>-2.0000000000000017E-4</v>
      </c>
      <c r="L259" s="161">
        <f t="shared" si="37"/>
        <v>0</v>
      </c>
      <c r="M259" s="155">
        <f t="shared" si="38"/>
        <v>-2.1739130434782594E-2</v>
      </c>
      <c r="N259" s="155">
        <f t="shared" si="39"/>
        <v>8.2644628099173278E-3</v>
      </c>
      <c r="O259" s="155">
        <f t="shared" si="40"/>
        <v>-3.6586778648287632E-3</v>
      </c>
      <c r="P259" s="162">
        <f t="shared" si="41"/>
        <v>-1.3071895424836666E-2</v>
      </c>
    </row>
    <row r="260" spans="1:16">
      <c r="A260" s="319">
        <v>44573</v>
      </c>
      <c r="B260" s="28">
        <v>0.48</v>
      </c>
      <c r="C260" s="29">
        <v>0.92</v>
      </c>
      <c r="D260" s="29">
        <v>1.21</v>
      </c>
      <c r="E260" s="30">
        <v>1.3552797364460363</v>
      </c>
      <c r="F260" s="29">
        <v>1.5</v>
      </c>
      <c r="G260" s="159">
        <f t="shared" ref="G260:G323" si="42">(B260-B259)/100</f>
        <v>1.9999999999999963E-4</v>
      </c>
      <c r="H260" s="154">
        <f t="shared" ref="H260:H323" si="43">(C260-C259)/100</f>
        <v>2.0000000000000017E-4</v>
      </c>
      <c r="I260" s="154">
        <f t="shared" ref="I260:I323" si="44">(D260-D259)/100</f>
        <v>-1.0000000000000009E-4</v>
      </c>
      <c r="J260" s="154">
        <f t="shared" ref="J260:J323" si="45">(E260-E259)/100</f>
        <v>-9.9739804893765884E-5</v>
      </c>
      <c r="K260" s="160">
        <f t="shared" ref="K260:K323" si="46">(F260-F259)/100</f>
        <v>-1.0000000000000009E-4</v>
      </c>
      <c r="L260" s="161">
        <f t="shared" ref="L260:L323" si="47">(B260/B259)-1</f>
        <v>4.3478260869565188E-2</v>
      </c>
      <c r="M260" s="155">
        <f t="shared" ref="M260:M323" si="48">(C260/C259)-1</f>
        <v>2.2222222222222143E-2</v>
      </c>
      <c r="N260" s="155">
        <f t="shared" ref="N260:N323" si="49">(D260/D259)-1</f>
        <v>-8.1967213114754189E-3</v>
      </c>
      <c r="O260" s="155">
        <f t="shared" ref="O260:O323" si="50">(E260/E259)-1</f>
        <v>-7.3055875004429671E-3</v>
      </c>
      <c r="P260" s="162">
        <f t="shared" ref="P260:P323" si="51">(F260/F259)-1</f>
        <v>-6.6225165562914245E-3</v>
      </c>
    </row>
    <row r="261" spans="1:16">
      <c r="A261" s="319">
        <v>44574</v>
      </c>
      <c r="B261" s="28">
        <v>0.47</v>
      </c>
      <c r="C261" s="29">
        <v>0.91</v>
      </c>
      <c r="D261" s="29">
        <v>1.18</v>
      </c>
      <c r="E261" s="30">
        <v>1.3252018610264735</v>
      </c>
      <c r="F261" s="29">
        <v>1.47</v>
      </c>
      <c r="G261" s="159">
        <f t="shared" si="42"/>
        <v>-1.0000000000000009E-4</v>
      </c>
      <c r="H261" s="154">
        <f t="shared" si="43"/>
        <v>-1.0000000000000009E-4</v>
      </c>
      <c r="I261" s="154">
        <f t="shared" si="44"/>
        <v>-3.0000000000000024E-4</v>
      </c>
      <c r="J261" s="154">
        <f t="shared" si="45"/>
        <v>-3.0077875419562747E-4</v>
      </c>
      <c r="K261" s="160">
        <f t="shared" si="46"/>
        <v>-3.0000000000000024E-4</v>
      </c>
      <c r="L261" s="161">
        <f t="shared" si="47"/>
        <v>-2.083333333333337E-2</v>
      </c>
      <c r="M261" s="155">
        <f t="shared" si="48"/>
        <v>-1.0869565217391353E-2</v>
      </c>
      <c r="N261" s="155">
        <f t="shared" si="49"/>
        <v>-2.4793388429752095E-2</v>
      </c>
      <c r="O261" s="155">
        <f t="shared" si="50"/>
        <v>-2.2193112322653197E-2</v>
      </c>
      <c r="P261" s="162">
        <f t="shared" si="51"/>
        <v>-2.0000000000000018E-2</v>
      </c>
    </row>
    <row r="262" spans="1:16">
      <c r="A262" s="319">
        <v>44575</v>
      </c>
      <c r="B262" s="28">
        <v>0.51</v>
      </c>
      <c r="C262" s="29">
        <v>0.99</v>
      </c>
      <c r="D262" s="29">
        <v>1.26</v>
      </c>
      <c r="E262" s="30">
        <v>1.4050158281021976</v>
      </c>
      <c r="F262" s="29">
        <v>1.55</v>
      </c>
      <c r="G262" s="159">
        <f t="shared" si="42"/>
        <v>4.0000000000000034E-4</v>
      </c>
      <c r="H262" s="154">
        <f t="shared" si="43"/>
        <v>7.999999999999996E-4</v>
      </c>
      <c r="I262" s="154">
        <f t="shared" si="44"/>
        <v>8.0000000000000069E-4</v>
      </c>
      <c r="J262" s="154">
        <f t="shared" si="45"/>
        <v>7.9813967075724078E-4</v>
      </c>
      <c r="K262" s="160">
        <f t="shared" si="46"/>
        <v>8.0000000000000069E-4</v>
      </c>
      <c r="L262" s="161">
        <f t="shared" si="47"/>
        <v>8.5106382978723527E-2</v>
      </c>
      <c r="M262" s="155">
        <f t="shared" si="48"/>
        <v>8.7912087912087822E-2</v>
      </c>
      <c r="N262" s="155">
        <f t="shared" si="49"/>
        <v>6.7796610169491567E-2</v>
      </c>
      <c r="O262" s="155">
        <f t="shared" si="50"/>
        <v>6.02277807049727E-2</v>
      </c>
      <c r="P262" s="162">
        <f t="shared" si="51"/>
        <v>5.4421768707483054E-2</v>
      </c>
    </row>
    <row r="263" spans="1:16">
      <c r="A263" s="319">
        <v>44579</v>
      </c>
      <c r="B263" s="28">
        <v>0.57999999999999996</v>
      </c>
      <c r="C263" s="29">
        <v>1.06</v>
      </c>
      <c r="D263" s="29">
        <v>1.35</v>
      </c>
      <c r="E263" s="30">
        <v>1.5003375604733762</v>
      </c>
      <c r="F263" s="29">
        <v>1.65</v>
      </c>
      <c r="G263" s="159">
        <f t="shared" si="42"/>
        <v>6.9999999999999956E-4</v>
      </c>
      <c r="H263" s="154">
        <f t="shared" si="43"/>
        <v>7.0000000000000064E-4</v>
      </c>
      <c r="I263" s="154">
        <f t="shared" si="44"/>
        <v>9.0000000000000084E-4</v>
      </c>
      <c r="J263" s="154">
        <f t="shared" si="45"/>
        <v>9.532173237117858E-4</v>
      </c>
      <c r="K263" s="160">
        <f t="shared" si="46"/>
        <v>9.9999999999999872E-4</v>
      </c>
      <c r="L263" s="161">
        <f t="shared" si="47"/>
        <v>0.13725490196078427</v>
      </c>
      <c r="M263" s="155">
        <f t="shared" si="48"/>
        <v>7.0707070707070718E-2</v>
      </c>
      <c r="N263" s="155">
        <f t="shared" si="49"/>
        <v>7.1428571428571397E-2</v>
      </c>
      <c r="O263" s="155">
        <f t="shared" si="50"/>
        <v>6.7843885075610011E-2</v>
      </c>
      <c r="P263" s="162">
        <f t="shared" si="51"/>
        <v>6.4516129032258007E-2</v>
      </c>
    </row>
    <row r="264" spans="1:16">
      <c r="A264" s="319">
        <v>44580</v>
      </c>
      <c r="B264" s="28">
        <v>0.56999999999999995</v>
      </c>
      <c r="C264" s="29">
        <v>1.04</v>
      </c>
      <c r="D264" s="29">
        <v>1.33</v>
      </c>
      <c r="E264" s="30">
        <v>1.4753018874425623</v>
      </c>
      <c r="F264" s="29">
        <v>1.62</v>
      </c>
      <c r="G264" s="159">
        <f t="shared" si="42"/>
        <v>-1.0000000000000009E-4</v>
      </c>
      <c r="H264" s="154">
        <f t="shared" si="43"/>
        <v>-2.0000000000000017E-4</v>
      </c>
      <c r="I264" s="154">
        <f t="shared" si="44"/>
        <v>-2.0000000000000017E-4</v>
      </c>
      <c r="J264" s="154">
        <f t="shared" si="45"/>
        <v>-2.5035673030813886E-4</v>
      </c>
      <c r="K264" s="160">
        <f t="shared" si="46"/>
        <v>-2.9999999999999802E-4</v>
      </c>
      <c r="L264" s="161">
        <f t="shared" si="47"/>
        <v>-1.7241379310344862E-2</v>
      </c>
      <c r="M264" s="155">
        <f t="shared" si="48"/>
        <v>-1.8867924528301883E-2</v>
      </c>
      <c r="N264" s="155">
        <f t="shared" si="49"/>
        <v>-1.4814814814814836E-2</v>
      </c>
      <c r="O264" s="155">
        <f t="shared" si="50"/>
        <v>-1.6686693508436101E-2</v>
      </c>
      <c r="P264" s="162">
        <f t="shared" si="51"/>
        <v>-1.8181818181818077E-2</v>
      </c>
    </row>
    <row r="265" spans="1:16">
      <c r="A265" s="319">
        <v>44581</v>
      </c>
      <c r="B265" s="28">
        <v>0.6</v>
      </c>
      <c r="C265" s="29">
        <v>1.08</v>
      </c>
      <c r="D265" s="29">
        <v>1.34</v>
      </c>
      <c r="E265" s="30">
        <v>1.4800032199142665</v>
      </c>
      <c r="F265" s="29">
        <v>1.62</v>
      </c>
      <c r="G265" s="159">
        <f t="shared" si="42"/>
        <v>3.0000000000000024E-4</v>
      </c>
      <c r="H265" s="154">
        <f t="shared" si="43"/>
        <v>4.0000000000000034E-4</v>
      </c>
      <c r="I265" s="154">
        <f t="shared" si="44"/>
        <v>1.0000000000000009E-4</v>
      </c>
      <c r="J265" s="154">
        <f t="shared" si="45"/>
        <v>4.7013324717042336E-5</v>
      </c>
      <c r="K265" s="160">
        <f t="shared" si="46"/>
        <v>0</v>
      </c>
      <c r="L265" s="161">
        <f t="shared" si="47"/>
        <v>5.2631578947368363E-2</v>
      </c>
      <c r="M265" s="155">
        <f t="shared" si="48"/>
        <v>3.8461538461538547E-2</v>
      </c>
      <c r="N265" s="155">
        <f t="shared" si="49"/>
        <v>7.5187969924812581E-3</v>
      </c>
      <c r="O265" s="155">
        <f t="shared" si="50"/>
        <v>3.1866918301406422E-3</v>
      </c>
      <c r="P265" s="162">
        <f t="shared" si="51"/>
        <v>0</v>
      </c>
    </row>
    <row r="266" spans="1:16">
      <c r="A266" s="319">
        <v>44582</v>
      </c>
      <c r="B266" s="28">
        <v>0.57999999999999996</v>
      </c>
      <c r="C266" s="29">
        <v>1.01</v>
      </c>
      <c r="D266" s="29">
        <v>1.28</v>
      </c>
      <c r="E266" s="30">
        <v>1.4103153311524153</v>
      </c>
      <c r="F266" s="29">
        <v>1.54</v>
      </c>
      <c r="G266" s="159">
        <f t="shared" si="42"/>
        <v>-2.0000000000000017E-4</v>
      </c>
      <c r="H266" s="154">
        <f t="shared" si="43"/>
        <v>-7.0000000000000064E-4</v>
      </c>
      <c r="I266" s="154">
        <f t="shared" si="44"/>
        <v>-6.0000000000000049E-4</v>
      </c>
      <c r="J266" s="154">
        <f t="shared" si="45"/>
        <v>-6.9687888761851282E-4</v>
      </c>
      <c r="K266" s="160">
        <f t="shared" si="46"/>
        <v>-8.0000000000000069E-4</v>
      </c>
      <c r="L266" s="161">
        <f t="shared" si="47"/>
        <v>-3.3333333333333326E-2</v>
      </c>
      <c r="M266" s="155">
        <f t="shared" si="48"/>
        <v>-6.4814814814814881E-2</v>
      </c>
      <c r="N266" s="155">
        <f t="shared" si="49"/>
        <v>-4.4776119402985093E-2</v>
      </c>
      <c r="O266" s="155">
        <f t="shared" si="50"/>
        <v>-4.7086308883765859E-2</v>
      </c>
      <c r="P266" s="162">
        <f t="shared" si="51"/>
        <v>-4.9382716049382713E-2</v>
      </c>
    </row>
    <row r="267" spans="1:16">
      <c r="A267" s="319">
        <v>44585</v>
      </c>
      <c r="B267" s="28">
        <v>0.57999999999999996</v>
      </c>
      <c r="C267" s="29">
        <v>0.99</v>
      </c>
      <c r="D267" s="29">
        <v>1.25</v>
      </c>
      <c r="E267" s="30">
        <v>1.3903862882948628</v>
      </c>
      <c r="F267" s="29">
        <v>1.53</v>
      </c>
      <c r="G267" s="159">
        <f t="shared" si="42"/>
        <v>0</v>
      </c>
      <c r="H267" s="154">
        <f t="shared" si="43"/>
        <v>-2.0000000000000017E-4</v>
      </c>
      <c r="I267" s="154">
        <f t="shared" si="44"/>
        <v>-3.0000000000000024E-4</v>
      </c>
      <c r="J267" s="154">
        <f t="shared" si="45"/>
        <v>-1.9929042857552481E-4</v>
      </c>
      <c r="K267" s="160">
        <f t="shared" si="46"/>
        <v>-1.0000000000000009E-4</v>
      </c>
      <c r="L267" s="161">
        <f t="shared" si="47"/>
        <v>0</v>
      </c>
      <c r="M267" s="155">
        <f t="shared" si="48"/>
        <v>-1.980198019801982E-2</v>
      </c>
      <c r="N267" s="155">
        <f t="shared" si="49"/>
        <v>-2.34375E-2</v>
      </c>
      <c r="O267" s="155">
        <f t="shared" si="50"/>
        <v>-1.4130912723800404E-2</v>
      </c>
      <c r="P267" s="162">
        <f t="shared" si="51"/>
        <v>-6.4935064935065512E-3</v>
      </c>
    </row>
    <row r="268" spans="1:16">
      <c r="A268" s="319">
        <v>44586</v>
      </c>
      <c r="B268" s="28">
        <v>0.65</v>
      </c>
      <c r="C268" s="29">
        <v>1.02</v>
      </c>
      <c r="D268" s="29">
        <v>1.28</v>
      </c>
      <c r="E268" s="30">
        <v>1.420379585402082</v>
      </c>
      <c r="F268" s="29">
        <v>1.56</v>
      </c>
      <c r="G268" s="159">
        <f t="shared" si="42"/>
        <v>7.0000000000000064E-4</v>
      </c>
      <c r="H268" s="154">
        <f t="shared" si="43"/>
        <v>3.0000000000000024E-4</v>
      </c>
      <c r="I268" s="154">
        <f t="shared" si="44"/>
        <v>3.0000000000000024E-4</v>
      </c>
      <c r="J268" s="154">
        <f t="shared" si="45"/>
        <v>2.999329710721921E-4</v>
      </c>
      <c r="K268" s="160">
        <f t="shared" si="46"/>
        <v>3.0000000000000024E-4</v>
      </c>
      <c r="L268" s="161">
        <f t="shared" si="47"/>
        <v>0.12068965517241392</v>
      </c>
      <c r="M268" s="155">
        <f t="shared" si="48"/>
        <v>3.0303030303030276E-2</v>
      </c>
      <c r="N268" s="155">
        <f t="shared" si="49"/>
        <v>2.4000000000000021E-2</v>
      </c>
      <c r="O268" s="155">
        <f t="shared" si="50"/>
        <v>2.1571916639081756E-2</v>
      </c>
      <c r="P268" s="162">
        <f t="shared" si="51"/>
        <v>1.9607843137254832E-2</v>
      </c>
    </row>
    <row r="269" spans="1:16">
      <c r="A269" s="319">
        <v>44587</v>
      </c>
      <c r="B269" s="28">
        <v>0.7</v>
      </c>
      <c r="C269" s="29">
        <v>1.1299999999999999</v>
      </c>
      <c r="D269" s="29">
        <v>1.39</v>
      </c>
      <c r="E269" s="30">
        <v>1.525454617267695</v>
      </c>
      <c r="F269" s="29">
        <v>1.66</v>
      </c>
      <c r="G269" s="159">
        <f t="shared" si="42"/>
        <v>4.9999999999999936E-4</v>
      </c>
      <c r="H269" s="154">
        <f t="shared" si="43"/>
        <v>1.0999999999999988E-3</v>
      </c>
      <c r="I269" s="154">
        <f t="shared" si="44"/>
        <v>1.0999999999999988E-3</v>
      </c>
      <c r="J269" s="154">
        <f t="shared" si="45"/>
        <v>1.0507503186561306E-3</v>
      </c>
      <c r="K269" s="160">
        <f t="shared" si="46"/>
        <v>9.9999999999999872E-4</v>
      </c>
      <c r="L269" s="161">
        <f t="shared" si="47"/>
        <v>7.6923076923076872E-2</v>
      </c>
      <c r="M269" s="155">
        <f t="shared" si="48"/>
        <v>0.1078431372549018</v>
      </c>
      <c r="N269" s="155">
        <f t="shared" si="49"/>
        <v>8.59375E-2</v>
      </c>
      <c r="O269" s="155">
        <f t="shared" si="50"/>
        <v>7.3976726324089137E-2</v>
      </c>
      <c r="P269" s="162">
        <f t="shared" si="51"/>
        <v>6.4102564102564097E-2</v>
      </c>
    </row>
    <row r="270" spans="1:16">
      <c r="A270" s="319">
        <v>44588</v>
      </c>
      <c r="B270" s="28">
        <v>0.75</v>
      </c>
      <c r="C270" s="29">
        <v>1.18</v>
      </c>
      <c r="D270" s="29">
        <v>1.43</v>
      </c>
      <c r="E270" s="30">
        <v>1.5451201703535231</v>
      </c>
      <c r="F270" s="29">
        <v>1.66</v>
      </c>
      <c r="G270" s="159">
        <f t="shared" si="42"/>
        <v>5.0000000000000044E-4</v>
      </c>
      <c r="H270" s="154">
        <f t="shared" si="43"/>
        <v>5.0000000000000044E-4</v>
      </c>
      <c r="I270" s="154">
        <f t="shared" si="44"/>
        <v>4.0000000000000034E-4</v>
      </c>
      <c r="J270" s="154">
        <f t="shared" si="45"/>
        <v>1.9665553085828068E-4</v>
      </c>
      <c r="K270" s="160">
        <f t="shared" si="46"/>
        <v>0</v>
      </c>
      <c r="L270" s="161">
        <f t="shared" si="47"/>
        <v>7.1428571428571397E-2</v>
      </c>
      <c r="M270" s="155">
        <f t="shared" si="48"/>
        <v>4.4247787610619538E-2</v>
      </c>
      <c r="N270" s="155">
        <f t="shared" si="49"/>
        <v>2.877697841726623E-2</v>
      </c>
      <c r="O270" s="155">
        <f t="shared" si="50"/>
        <v>1.2891601535188091E-2</v>
      </c>
      <c r="P270" s="162">
        <f t="shared" si="51"/>
        <v>0</v>
      </c>
    </row>
    <row r="271" spans="1:16">
      <c r="A271" s="319">
        <v>44589</v>
      </c>
      <c r="B271" s="28">
        <v>0.75</v>
      </c>
      <c r="C271" s="29">
        <v>1.1499999999999999</v>
      </c>
      <c r="D271" s="29">
        <v>1.38</v>
      </c>
      <c r="E271" s="30">
        <v>1.4953988523229929</v>
      </c>
      <c r="F271" s="29">
        <v>1.61</v>
      </c>
      <c r="G271" s="159">
        <f t="shared" si="42"/>
        <v>0</v>
      </c>
      <c r="H271" s="154">
        <f t="shared" si="43"/>
        <v>-3.0000000000000024E-4</v>
      </c>
      <c r="I271" s="154">
        <f t="shared" si="44"/>
        <v>-5.0000000000000044E-4</v>
      </c>
      <c r="J271" s="154">
        <f t="shared" si="45"/>
        <v>-4.9721318030530263E-4</v>
      </c>
      <c r="K271" s="160">
        <f t="shared" si="46"/>
        <v>-4.9999999999999828E-4</v>
      </c>
      <c r="L271" s="161">
        <f t="shared" si="47"/>
        <v>0</v>
      </c>
      <c r="M271" s="155">
        <f t="shared" si="48"/>
        <v>-2.5423728813559365E-2</v>
      </c>
      <c r="N271" s="155">
        <f t="shared" si="49"/>
        <v>-3.4965034965035002E-2</v>
      </c>
      <c r="O271" s="155">
        <f t="shared" si="50"/>
        <v>-3.2179579934649372E-2</v>
      </c>
      <c r="P271" s="162">
        <f t="shared" si="51"/>
        <v>-3.0120481927710774E-2</v>
      </c>
    </row>
    <row r="272" spans="1:16">
      <c r="A272" s="319">
        <v>44592</v>
      </c>
      <c r="B272" s="28">
        <v>0.78</v>
      </c>
      <c r="C272" s="29">
        <v>1.18</v>
      </c>
      <c r="D272" s="29">
        <v>1.39</v>
      </c>
      <c r="E272" s="30">
        <v>1.5050842733670273</v>
      </c>
      <c r="F272" s="29">
        <v>1.62</v>
      </c>
      <c r="G272" s="159">
        <f t="shared" si="42"/>
        <v>3.0000000000000024E-4</v>
      </c>
      <c r="H272" s="154">
        <f t="shared" si="43"/>
        <v>3.0000000000000024E-4</v>
      </c>
      <c r="I272" s="154">
        <f t="shared" si="44"/>
        <v>1.0000000000000009E-4</v>
      </c>
      <c r="J272" s="154">
        <f t="shared" si="45"/>
        <v>9.6854210440344707E-5</v>
      </c>
      <c r="K272" s="160">
        <f t="shared" si="46"/>
        <v>1.0000000000000009E-4</v>
      </c>
      <c r="L272" s="161">
        <f t="shared" si="47"/>
        <v>4.0000000000000036E-2</v>
      </c>
      <c r="M272" s="155">
        <f t="shared" si="48"/>
        <v>2.6086956521739202E-2</v>
      </c>
      <c r="N272" s="155">
        <f t="shared" si="49"/>
        <v>7.2463768115942351E-3</v>
      </c>
      <c r="O272" s="155">
        <f t="shared" si="50"/>
        <v>6.4768145495022189E-3</v>
      </c>
      <c r="P272" s="162">
        <f t="shared" si="51"/>
        <v>6.2111801242235032E-3</v>
      </c>
    </row>
    <row r="273" spans="1:16">
      <c r="A273" s="319">
        <v>44593</v>
      </c>
      <c r="B273" s="28">
        <v>0.78</v>
      </c>
      <c r="C273" s="29">
        <v>1.18</v>
      </c>
      <c r="D273" s="29">
        <v>1.39</v>
      </c>
      <c r="E273" s="30">
        <v>1.5103366482472489</v>
      </c>
      <c r="F273" s="29">
        <v>1.63</v>
      </c>
      <c r="G273" s="159">
        <f t="shared" si="42"/>
        <v>0</v>
      </c>
      <c r="H273" s="154">
        <f t="shared" si="43"/>
        <v>0</v>
      </c>
      <c r="I273" s="154">
        <f t="shared" si="44"/>
        <v>0</v>
      </c>
      <c r="J273" s="154">
        <f t="shared" si="45"/>
        <v>5.2523748802215666E-5</v>
      </c>
      <c r="K273" s="160">
        <f t="shared" si="46"/>
        <v>9.9999999999997863E-5</v>
      </c>
      <c r="L273" s="161">
        <f t="shared" si="47"/>
        <v>0</v>
      </c>
      <c r="M273" s="155">
        <f t="shared" si="48"/>
        <v>0</v>
      </c>
      <c r="N273" s="155">
        <f t="shared" si="49"/>
        <v>0</v>
      </c>
      <c r="O273" s="155">
        <f t="shared" si="50"/>
        <v>3.4897546756444964E-3</v>
      </c>
      <c r="P273" s="162">
        <f t="shared" si="51"/>
        <v>6.1728395061726449E-3</v>
      </c>
    </row>
    <row r="274" spans="1:16">
      <c r="A274" s="319">
        <v>44594</v>
      </c>
      <c r="B274" s="28">
        <v>0.76</v>
      </c>
      <c r="C274" s="29">
        <v>1.1599999999999999</v>
      </c>
      <c r="D274" s="29">
        <v>1.38</v>
      </c>
      <c r="E274" s="30">
        <v>1.490169011317735</v>
      </c>
      <c r="F274" s="29">
        <v>1.6</v>
      </c>
      <c r="G274" s="159">
        <f t="shared" si="42"/>
        <v>-2.0000000000000017E-4</v>
      </c>
      <c r="H274" s="154">
        <f t="shared" si="43"/>
        <v>-2.0000000000000017E-4</v>
      </c>
      <c r="I274" s="154">
        <f t="shared" si="44"/>
        <v>-1.0000000000000009E-4</v>
      </c>
      <c r="J274" s="154">
        <f t="shared" si="45"/>
        <v>-2.0167636929513844E-4</v>
      </c>
      <c r="K274" s="160">
        <f t="shared" si="46"/>
        <v>-2.9999999999999802E-4</v>
      </c>
      <c r="L274" s="161">
        <f t="shared" si="47"/>
        <v>-2.5641025641025661E-2</v>
      </c>
      <c r="M274" s="155">
        <f t="shared" si="48"/>
        <v>-1.6949152542372947E-2</v>
      </c>
      <c r="N274" s="155">
        <f t="shared" si="49"/>
        <v>-7.194244604316502E-3</v>
      </c>
      <c r="O274" s="155">
        <f t="shared" si="50"/>
        <v>-1.3353073934157966E-2</v>
      </c>
      <c r="P274" s="162">
        <f t="shared" si="51"/>
        <v>-1.8404907975460016E-2</v>
      </c>
    </row>
    <row r="275" spans="1:16">
      <c r="A275" s="319">
        <v>44595</v>
      </c>
      <c r="B275" s="28">
        <v>0.78</v>
      </c>
      <c r="C275" s="29">
        <v>1.19</v>
      </c>
      <c r="D275" s="29">
        <v>1.42</v>
      </c>
      <c r="E275" s="30">
        <v>1.5402855969891847</v>
      </c>
      <c r="F275" s="29">
        <v>1.66</v>
      </c>
      <c r="G275" s="159">
        <f t="shared" si="42"/>
        <v>2.0000000000000017E-4</v>
      </c>
      <c r="H275" s="154">
        <f t="shared" si="43"/>
        <v>3.0000000000000024E-4</v>
      </c>
      <c r="I275" s="154">
        <f t="shared" si="44"/>
        <v>4.0000000000000034E-4</v>
      </c>
      <c r="J275" s="154">
        <f t="shared" si="45"/>
        <v>5.0116585671449614E-4</v>
      </c>
      <c r="K275" s="160">
        <f t="shared" si="46"/>
        <v>5.9999999999999832E-4</v>
      </c>
      <c r="L275" s="161">
        <f t="shared" si="47"/>
        <v>2.6315789473684292E-2</v>
      </c>
      <c r="M275" s="155">
        <f t="shared" si="48"/>
        <v>2.5862068965517349E-2</v>
      </c>
      <c r="N275" s="155">
        <f t="shared" si="49"/>
        <v>2.898550724637694E-2</v>
      </c>
      <c r="O275" s="155">
        <f t="shared" si="50"/>
        <v>3.3631477564502799E-2</v>
      </c>
      <c r="P275" s="162">
        <f t="shared" si="51"/>
        <v>3.7499999999999867E-2</v>
      </c>
    </row>
    <row r="276" spans="1:16">
      <c r="A276" s="319">
        <v>44596</v>
      </c>
      <c r="B276" s="28">
        <v>0.89</v>
      </c>
      <c r="C276" s="29">
        <v>1.31</v>
      </c>
      <c r="D276" s="29">
        <v>1.55</v>
      </c>
      <c r="E276" s="30">
        <v>1.6654809034614073</v>
      </c>
      <c r="F276" s="29">
        <v>1.78</v>
      </c>
      <c r="G276" s="159">
        <f t="shared" si="42"/>
        <v>1.0999999999999998E-3</v>
      </c>
      <c r="H276" s="154">
        <f t="shared" si="43"/>
        <v>1.200000000000001E-3</v>
      </c>
      <c r="I276" s="154">
        <f t="shared" si="44"/>
        <v>1.3000000000000012E-3</v>
      </c>
      <c r="J276" s="154">
        <f t="shared" si="45"/>
        <v>1.2519530647222266E-3</v>
      </c>
      <c r="K276" s="160">
        <f t="shared" si="46"/>
        <v>1.200000000000001E-3</v>
      </c>
      <c r="L276" s="161">
        <f t="shared" si="47"/>
        <v>0.14102564102564097</v>
      </c>
      <c r="M276" s="155">
        <f t="shared" si="48"/>
        <v>0.10084033613445387</v>
      </c>
      <c r="N276" s="155">
        <f t="shared" si="49"/>
        <v>9.1549295774647987E-2</v>
      </c>
      <c r="O276" s="155">
        <f t="shared" si="50"/>
        <v>8.128057985930881E-2</v>
      </c>
      <c r="P276" s="162">
        <f t="shared" si="51"/>
        <v>7.2289156626506035E-2</v>
      </c>
    </row>
    <row r="277" spans="1:16">
      <c r="A277" s="319">
        <v>44599</v>
      </c>
      <c r="B277" s="28">
        <v>0.88</v>
      </c>
      <c r="C277" s="29">
        <v>1.3</v>
      </c>
      <c r="D277" s="29">
        <v>1.54</v>
      </c>
      <c r="E277" s="30">
        <v>1.6502343195974896</v>
      </c>
      <c r="F277" s="29">
        <v>1.76</v>
      </c>
      <c r="G277" s="159">
        <f t="shared" si="42"/>
        <v>-1.0000000000000009E-4</v>
      </c>
      <c r="H277" s="154">
        <f t="shared" si="43"/>
        <v>-1.0000000000000009E-4</v>
      </c>
      <c r="I277" s="154">
        <f t="shared" si="44"/>
        <v>-1.0000000000000009E-4</v>
      </c>
      <c r="J277" s="154">
        <f t="shared" si="45"/>
        <v>-1.5246583863917751E-4</v>
      </c>
      <c r="K277" s="160">
        <f t="shared" si="46"/>
        <v>-2.0000000000000017E-4</v>
      </c>
      <c r="L277" s="161">
        <f t="shared" si="47"/>
        <v>-1.1235955056179803E-2</v>
      </c>
      <c r="M277" s="155">
        <f t="shared" si="48"/>
        <v>-7.6335877862595547E-3</v>
      </c>
      <c r="N277" s="155">
        <f t="shared" si="49"/>
        <v>-6.4516129032258229E-3</v>
      </c>
      <c r="O277" s="155">
        <f t="shared" si="50"/>
        <v>-9.1544633338217496E-3</v>
      </c>
      <c r="P277" s="162">
        <f t="shared" si="51"/>
        <v>-1.1235955056179803E-2</v>
      </c>
    </row>
    <row r="278" spans="1:16">
      <c r="A278" s="319">
        <v>44600</v>
      </c>
      <c r="B278" s="28">
        <v>0.91</v>
      </c>
      <c r="C278" s="29">
        <v>1.35</v>
      </c>
      <c r="D278" s="29">
        <v>1.59</v>
      </c>
      <c r="E278" s="30">
        <v>1.7003046238631738</v>
      </c>
      <c r="F278" s="29">
        <v>1.81</v>
      </c>
      <c r="G278" s="159">
        <f t="shared" si="42"/>
        <v>3.0000000000000024E-4</v>
      </c>
      <c r="H278" s="154">
        <f t="shared" si="43"/>
        <v>5.0000000000000044E-4</v>
      </c>
      <c r="I278" s="154">
        <f t="shared" si="44"/>
        <v>5.0000000000000044E-4</v>
      </c>
      <c r="J278" s="154">
        <f t="shared" si="45"/>
        <v>5.007030426568426E-4</v>
      </c>
      <c r="K278" s="160">
        <f t="shared" si="46"/>
        <v>5.0000000000000044E-4</v>
      </c>
      <c r="L278" s="161">
        <f t="shared" si="47"/>
        <v>3.4090909090909172E-2</v>
      </c>
      <c r="M278" s="155">
        <f t="shared" si="48"/>
        <v>3.8461538461538547E-2</v>
      </c>
      <c r="N278" s="155">
        <f t="shared" si="49"/>
        <v>3.2467532467532534E-2</v>
      </c>
      <c r="O278" s="155">
        <f t="shared" si="50"/>
        <v>3.0341330119650456E-2</v>
      </c>
      <c r="P278" s="162">
        <f t="shared" si="51"/>
        <v>2.8409090909090828E-2</v>
      </c>
    </row>
    <row r="279" spans="1:16">
      <c r="A279" s="319">
        <v>44601</v>
      </c>
      <c r="B279" s="28">
        <v>0.91</v>
      </c>
      <c r="C279" s="29">
        <v>1.36</v>
      </c>
      <c r="D279" s="29">
        <v>1.61</v>
      </c>
      <c r="E279" s="30">
        <v>1.7150852180526124</v>
      </c>
      <c r="F279" s="29">
        <v>1.82</v>
      </c>
      <c r="G279" s="159">
        <f t="shared" si="42"/>
        <v>0</v>
      </c>
      <c r="H279" s="154">
        <f t="shared" si="43"/>
        <v>1.0000000000000009E-4</v>
      </c>
      <c r="I279" s="154">
        <f t="shared" si="44"/>
        <v>2.0000000000000017E-4</v>
      </c>
      <c r="J279" s="154">
        <f t="shared" si="45"/>
        <v>1.4780594189438555E-4</v>
      </c>
      <c r="K279" s="160">
        <f t="shared" si="46"/>
        <v>1.0000000000000009E-4</v>
      </c>
      <c r="L279" s="161">
        <f t="shared" si="47"/>
        <v>0</v>
      </c>
      <c r="M279" s="155">
        <f t="shared" si="48"/>
        <v>7.4074074074073071E-3</v>
      </c>
      <c r="N279" s="155">
        <f t="shared" si="49"/>
        <v>1.2578616352201255E-2</v>
      </c>
      <c r="O279" s="155">
        <f t="shared" si="50"/>
        <v>8.6929094833938514E-3</v>
      </c>
      <c r="P279" s="162">
        <f t="shared" si="51"/>
        <v>5.5248618784531356E-3</v>
      </c>
    </row>
    <row r="280" spans="1:16">
      <c r="A280" s="319">
        <v>44602</v>
      </c>
      <c r="B280" s="28">
        <v>1.1399999999999999</v>
      </c>
      <c r="C280" s="29">
        <v>1.61</v>
      </c>
      <c r="D280" s="29">
        <v>1.82</v>
      </c>
      <c r="E280" s="30">
        <v>1.8903398542253693</v>
      </c>
      <c r="F280" s="29">
        <v>1.96</v>
      </c>
      <c r="G280" s="159">
        <f t="shared" si="42"/>
        <v>2.2999999999999987E-3</v>
      </c>
      <c r="H280" s="154">
        <f t="shared" si="43"/>
        <v>2.5000000000000001E-3</v>
      </c>
      <c r="I280" s="154">
        <f t="shared" si="44"/>
        <v>2.0999999999999994E-3</v>
      </c>
      <c r="J280" s="154">
        <f t="shared" si="45"/>
        <v>1.7525463617275693E-3</v>
      </c>
      <c r="K280" s="160">
        <f t="shared" si="46"/>
        <v>1.3999999999999991E-3</v>
      </c>
      <c r="L280" s="161">
        <f t="shared" si="47"/>
        <v>0.25274725274725252</v>
      </c>
      <c r="M280" s="155">
        <f t="shared" si="48"/>
        <v>0.18382352941176472</v>
      </c>
      <c r="N280" s="155">
        <f t="shared" si="49"/>
        <v>0.13043478260869557</v>
      </c>
      <c r="O280" s="155">
        <f t="shared" si="50"/>
        <v>0.10218421471310291</v>
      </c>
      <c r="P280" s="162">
        <f t="shared" si="51"/>
        <v>7.6923076923076872E-2</v>
      </c>
    </row>
    <row r="281" spans="1:16">
      <c r="A281" s="319">
        <v>44603</v>
      </c>
      <c r="B281" s="28">
        <v>1.07</v>
      </c>
      <c r="C281" s="29">
        <v>1.5</v>
      </c>
      <c r="D281" s="29">
        <v>1.71</v>
      </c>
      <c r="E281" s="30">
        <v>1.7750699410242248</v>
      </c>
      <c r="F281" s="29">
        <v>1.84</v>
      </c>
      <c r="G281" s="159">
        <f t="shared" si="42"/>
        <v>-6.9999999999999837E-4</v>
      </c>
      <c r="H281" s="154">
        <f t="shared" si="43"/>
        <v>-1.1000000000000009E-3</v>
      </c>
      <c r="I281" s="154">
        <f t="shared" si="44"/>
        <v>-1.1000000000000009E-3</v>
      </c>
      <c r="J281" s="154">
        <f t="shared" si="45"/>
        <v>-1.1526991320114455E-3</v>
      </c>
      <c r="K281" s="160">
        <f t="shared" si="46"/>
        <v>-1.1999999999999988E-3</v>
      </c>
      <c r="L281" s="161">
        <f t="shared" si="47"/>
        <v>-6.1403508771929682E-2</v>
      </c>
      <c r="M281" s="155">
        <f t="shared" si="48"/>
        <v>-6.8322981366459645E-2</v>
      </c>
      <c r="N281" s="155">
        <f t="shared" si="49"/>
        <v>-6.0439560439560447E-2</v>
      </c>
      <c r="O281" s="155">
        <f t="shared" si="50"/>
        <v>-6.0978407106789922E-2</v>
      </c>
      <c r="P281" s="162">
        <f t="shared" si="51"/>
        <v>-6.1224489795918324E-2</v>
      </c>
    </row>
    <row r="282" spans="1:16">
      <c r="A282" s="319">
        <v>44606</v>
      </c>
      <c r="B282" s="28">
        <v>1.1299999999999999</v>
      </c>
      <c r="C282" s="29">
        <v>1.58</v>
      </c>
      <c r="D282" s="29">
        <v>1.8</v>
      </c>
      <c r="E282" s="30">
        <v>1.8503150234546253</v>
      </c>
      <c r="F282" s="29">
        <v>1.9</v>
      </c>
      <c r="G282" s="159">
        <f t="shared" si="42"/>
        <v>5.9999999999999832E-4</v>
      </c>
      <c r="H282" s="154">
        <f t="shared" si="43"/>
        <v>8.0000000000000069E-4</v>
      </c>
      <c r="I282" s="154">
        <f t="shared" si="44"/>
        <v>9.0000000000000084E-4</v>
      </c>
      <c r="J282" s="154">
        <f t="shared" si="45"/>
        <v>7.5245082430400515E-4</v>
      </c>
      <c r="K282" s="160">
        <f t="shared" si="46"/>
        <v>5.9999999999999832E-4</v>
      </c>
      <c r="L282" s="161">
        <f t="shared" si="47"/>
        <v>5.6074766355139971E-2</v>
      </c>
      <c r="M282" s="155">
        <f t="shared" si="48"/>
        <v>5.3333333333333455E-2</v>
      </c>
      <c r="N282" s="155">
        <f t="shared" si="49"/>
        <v>5.2631578947368363E-2</v>
      </c>
      <c r="O282" s="155">
        <f t="shared" si="50"/>
        <v>4.2389925428506503E-2</v>
      </c>
      <c r="P282" s="162">
        <f t="shared" si="51"/>
        <v>3.2608695652173836E-2</v>
      </c>
    </row>
    <row r="283" spans="1:16">
      <c r="A283" s="319">
        <v>44607</v>
      </c>
      <c r="B283" s="28">
        <v>1.1100000000000001</v>
      </c>
      <c r="C283" s="29">
        <v>1.58</v>
      </c>
      <c r="D283" s="29">
        <v>1.8</v>
      </c>
      <c r="E283" s="30">
        <v>1.8704708784831074</v>
      </c>
      <c r="F283" s="29">
        <v>1.94</v>
      </c>
      <c r="G283" s="159">
        <f t="shared" si="42"/>
        <v>-1.9999999999999795E-4</v>
      </c>
      <c r="H283" s="154">
        <f t="shared" si="43"/>
        <v>0</v>
      </c>
      <c r="I283" s="154">
        <f t="shared" si="44"/>
        <v>0</v>
      </c>
      <c r="J283" s="154">
        <f t="shared" si="45"/>
        <v>2.0155855028482163E-4</v>
      </c>
      <c r="K283" s="160">
        <f t="shared" si="46"/>
        <v>4.0000000000000034E-4</v>
      </c>
      <c r="L283" s="161">
        <f t="shared" si="47"/>
        <v>-1.7699115044247593E-2</v>
      </c>
      <c r="M283" s="155">
        <f t="shared" si="48"/>
        <v>0</v>
      </c>
      <c r="N283" s="155">
        <f t="shared" si="49"/>
        <v>0</v>
      </c>
      <c r="O283" s="155">
        <f t="shared" si="50"/>
        <v>1.0893201845624256E-2</v>
      </c>
      <c r="P283" s="162">
        <f t="shared" si="51"/>
        <v>2.1052631578947434E-2</v>
      </c>
    </row>
    <row r="284" spans="1:16">
      <c r="A284" s="319">
        <v>44608</v>
      </c>
      <c r="B284" s="28">
        <v>1.0900000000000001</v>
      </c>
      <c r="C284" s="29">
        <v>1.52</v>
      </c>
      <c r="D284" s="29">
        <v>1.75</v>
      </c>
      <c r="E284" s="30">
        <v>1.8253471887596262</v>
      </c>
      <c r="F284" s="29">
        <v>1.9</v>
      </c>
      <c r="G284" s="159">
        <f t="shared" si="42"/>
        <v>-2.0000000000000017E-4</v>
      </c>
      <c r="H284" s="154">
        <f t="shared" si="43"/>
        <v>-6.0000000000000049E-4</v>
      </c>
      <c r="I284" s="154">
        <f t="shared" si="44"/>
        <v>-5.0000000000000044E-4</v>
      </c>
      <c r="J284" s="154">
        <f t="shared" si="45"/>
        <v>-4.5123689723481242E-4</v>
      </c>
      <c r="K284" s="160">
        <f t="shared" si="46"/>
        <v>-4.0000000000000034E-4</v>
      </c>
      <c r="L284" s="161">
        <f t="shared" si="47"/>
        <v>-1.8018018018018056E-2</v>
      </c>
      <c r="M284" s="155">
        <f t="shared" si="48"/>
        <v>-3.7974683544303778E-2</v>
      </c>
      <c r="N284" s="155">
        <f t="shared" si="49"/>
        <v>-2.777777777777779E-2</v>
      </c>
      <c r="O284" s="155">
        <f t="shared" si="50"/>
        <v>-2.4124240715297951E-2</v>
      </c>
      <c r="P284" s="162">
        <f t="shared" si="51"/>
        <v>-2.0618556701030966E-2</v>
      </c>
    </row>
    <row r="285" spans="1:16">
      <c r="A285" s="319">
        <v>44609</v>
      </c>
      <c r="B285" s="28">
        <v>1.05</v>
      </c>
      <c r="C285" s="29">
        <v>1.49</v>
      </c>
      <c r="D285" s="29">
        <v>1.7</v>
      </c>
      <c r="E285" s="30">
        <v>1.7751196951522843</v>
      </c>
      <c r="F285" s="29">
        <v>1.85</v>
      </c>
      <c r="G285" s="159">
        <f t="shared" si="42"/>
        <v>-4.0000000000000034E-4</v>
      </c>
      <c r="H285" s="154">
        <f t="shared" si="43"/>
        <v>-3.0000000000000024E-4</v>
      </c>
      <c r="I285" s="154">
        <f t="shared" si="44"/>
        <v>-5.0000000000000044E-4</v>
      </c>
      <c r="J285" s="154">
        <f t="shared" si="45"/>
        <v>-5.0227493607341912E-4</v>
      </c>
      <c r="K285" s="160">
        <f t="shared" si="46"/>
        <v>-4.9999999999999828E-4</v>
      </c>
      <c r="L285" s="161">
        <f t="shared" si="47"/>
        <v>-3.669724770642202E-2</v>
      </c>
      <c r="M285" s="155">
        <f t="shared" si="48"/>
        <v>-1.9736842105263164E-2</v>
      </c>
      <c r="N285" s="155">
        <f t="shared" si="49"/>
        <v>-2.8571428571428581E-2</v>
      </c>
      <c r="O285" s="155">
        <f t="shared" si="50"/>
        <v>-2.751667952082737E-2</v>
      </c>
      <c r="P285" s="162">
        <f t="shared" si="51"/>
        <v>-2.631578947368407E-2</v>
      </c>
    </row>
    <row r="286" spans="1:16">
      <c r="A286" s="319">
        <v>44610</v>
      </c>
      <c r="B286" s="28">
        <v>1.03</v>
      </c>
      <c r="C286" s="29">
        <v>1.47</v>
      </c>
      <c r="D286" s="29">
        <v>1.68</v>
      </c>
      <c r="E286" s="30">
        <v>1.7501545066800301</v>
      </c>
      <c r="F286" s="29">
        <v>1.82</v>
      </c>
      <c r="G286" s="159">
        <f t="shared" si="42"/>
        <v>-2.0000000000000017E-4</v>
      </c>
      <c r="H286" s="154">
        <f t="shared" si="43"/>
        <v>-2.0000000000000017E-4</v>
      </c>
      <c r="I286" s="154">
        <f t="shared" si="44"/>
        <v>-2.0000000000000017E-4</v>
      </c>
      <c r="J286" s="154">
        <f t="shared" si="45"/>
        <v>-2.4965188472254152E-4</v>
      </c>
      <c r="K286" s="160">
        <f t="shared" si="46"/>
        <v>-3.0000000000000024E-4</v>
      </c>
      <c r="L286" s="161">
        <f t="shared" si="47"/>
        <v>-1.9047619047619091E-2</v>
      </c>
      <c r="M286" s="155">
        <f t="shared" si="48"/>
        <v>-1.3422818791946289E-2</v>
      </c>
      <c r="N286" s="155">
        <f t="shared" si="49"/>
        <v>-1.1764705882352899E-2</v>
      </c>
      <c r="O286" s="155">
        <f t="shared" si="50"/>
        <v>-1.4063946527342441E-2</v>
      </c>
      <c r="P286" s="162">
        <f t="shared" si="51"/>
        <v>-1.6216216216216273E-2</v>
      </c>
    </row>
    <row r="287" spans="1:16">
      <c r="A287" s="319">
        <v>44614</v>
      </c>
      <c r="B287" s="28">
        <v>1.17</v>
      </c>
      <c r="C287" s="29">
        <v>1.56</v>
      </c>
      <c r="D287" s="29">
        <v>1.74</v>
      </c>
      <c r="E287" s="30">
        <v>1.7954157480983592</v>
      </c>
      <c r="F287" s="29">
        <v>1.85</v>
      </c>
      <c r="G287" s="159">
        <f t="shared" si="42"/>
        <v>1.3999999999999991E-3</v>
      </c>
      <c r="H287" s="154">
        <f t="shared" si="43"/>
        <v>9.0000000000000084E-4</v>
      </c>
      <c r="I287" s="154">
        <f t="shared" si="44"/>
        <v>6.0000000000000049E-4</v>
      </c>
      <c r="J287" s="154">
        <f t="shared" si="45"/>
        <v>4.5261241418329099E-4</v>
      </c>
      <c r="K287" s="160">
        <f t="shared" si="46"/>
        <v>3.0000000000000024E-4</v>
      </c>
      <c r="L287" s="161">
        <f t="shared" si="47"/>
        <v>0.13592233009708732</v>
      </c>
      <c r="M287" s="155">
        <f t="shared" si="48"/>
        <v>6.1224489795918435E-2</v>
      </c>
      <c r="N287" s="155">
        <f t="shared" si="49"/>
        <v>3.5714285714285809E-2</v>
      </c>
      <c r="O287" s="155">
        <f t="shared" si="50"/>
        <v>2.5861283244179356E-2</v>
      </c>
      <c r="P287" s="162">
        <f t="shared" si="51"/>
        <v>1.6483516483516425E-2</v>
      </c>
    </row>
    <row r="288" spans="1:16">
      <c r="A288" s="319">
        <v>44615</v>
      </c>
      <c r="B288" s="28">
        <v>1.1599999999999999</v>
      </c>
      <c r="C288" s="29">
        <v>1.58</v>
      </c>
      <c r="D288" s="29">
        <v>1.78</v>
      </c>
      <c r="E288" s="30">
        <v>1.8351171672009585</v>
      </c>
      <c r="F288" s="29">
        <v>1.89</v>
      </c>
      <c r="G288" s="159">
        <f t="shared" si="42"/>
        <v>-1.0000000000000009E-4</v>
      </c>
      <c r="H288" s="154">
        <f t="shared" si="43"/>
        <v>2.0000000000000017E-4</v>
      </c>
      <c r="I288" s="154">
        <f t="shared" si="44"/>
        <v>4.0000000000000034E-4</v>
      </c>
      <c r="J288" s="154">
        <f t="shared" si="45"/>
        <v>3.9701419102599277E-4</v>
      </c>
      <c r="K288" s="160">
        <f t="shared" si="46"/>
        <v>3.9999999999999812E-4</v>
      </c>
      <c r="L288" s="161">
        <f t="shared" si="47"/>
        <v>-8.5470085470085166E-3</v>
      </c>
      <c r="M288" s="155">
        <f t="shared" si="48"/>
        <v>1.2820512820512775E-2</v>
      </c>
      <c r="N288" s="155">
        <f t="shared" si="49"/>
        <v>2.2988505747126409E-2</v>
      </c>
      <c r="O288" s="155">
        <f t="shared" si="50"/>
        <v>2.2112660616155022E-2</v>
      </c>
      <c r="P288" s="162">
        <f t="shared" si="51"/>
        <v>2.1621621621621623E-2</v>
      </c>
    </row>
    <row r="289" spans="1:16">
      <c r="A289" s="319">
        <v>44616</v>
      </c>
      <c r="B289" s="28">
        <v>1.08</v>
      </c>
      <c r="C289" s="29">
        <v>1.54</v>
      </c>
      <c r="D289" s="29">
        <v>1.73</v>
      </c>
      <c r="E289" s="30">
        <v>1.785235041166219</v>
      </c>
      <c r="F289" s="29">
        <v>1.84</v>
      </c>
      <c r="G289" s="159">
        <f t="shared" si="42"/>
        <v>-7.9999999999999852E-4</v>
      </c>
      <c r="H289" s="154">
        <f t="shared" si="43"/>
        <v>-4.0000000000000034E-4</v>
      </c>
      <c r="I289" s="154">
        <f t="shared" si="44"/>
        <v>-5.0000000000000044E-4</v>
      </c>
      <c r="J289" s="154">
        <f t="shared" si="45"/>
        <v>-4.988212603473951E-4</v>
      </c>
      <c r="K289" s="160">
        <f t="shared" si="46"/>
        <v>-4.9999999999999828E-4</v>
      </c>
      <c r="L289" s="161">
        <f t="shared" si="47"/>
        <v>-6.8965517241379226E-2</v>
      </c>
      <c r="M289" s="155">
        <f t="shared" si="48"/>
        <v>-2.5316455696202556E-2</v>
      </c>
      <c r="N289" s="155">
        <f t="shared" si="49"/>
        <v>-2.8089887640449507E-2</v>
      </c>
      <c r="O289" s="155">
        <f t="shared" si="50"/>
        <v>-2.7181984303935813E-2</v>
      </c>
      <c r="P289" s="162">
        <f t="shared" si="51"/>
        <v>-2.6455026455026398E-2</v>
      </c>
    </row>
    <row r="290" spans="1:16">
      <c r="A290" s="319">
        <v>44617</v>
      </c>
      <c r="B290" s="28">
        <v>1.1299999999999999</v>
      </c>
      <c r="C290" s="29">
        <v>1.55</v>
      </c>
      <c r="D290" s="29">
        <v>1.76</v>
      </c>
      <c r="E290" s="30">
        <v>1.8101501224221308</v>
      </c>
      <c r="F290" s="29">
        <v>1.86</v>
      </c>
      <c r="G290" s="159">
        <f t="shared" si="42"/>
        <v>4.9999999999999828E-4</v>
      </c>
      <c r="H290" s="154">
        <f t="shared" si="43"/>
        <v>1.0000000000000009E-4</v>
      </c>
      <c r="I290" s="154">
        <f t="shared" si="44"/>
        <v>3.0000000000000024E-4</v>
      </c>
      <c r="J290" s="154">
        <f t="shared" si="45"/>
        <v>2.4915081255911798E-4</v>
      </c>
      <c r="K290" s="160">
        <f t="shared" si="46"/>
        <v>2.0000000000000017E-4</v>
      </c>
      <c r="L290" s="161">
        <f t="shared" si="47"/>
        <v>4.6296296296296058E-2</v>
      </c>
      <c r="M290" s="155">
        <f t="shared" si="48"/>
        <v>6.4935064935065512E-3</v>
      </c>
      <c r="N290" s="155">
        <f t="shared" si="49"/>
        <v>1.7341040462427681E-2</v>
      </c>
      <c r="O290" s="155">
        <f t="shared" si="50"/>
        <v>1.3956191023247966E-2</v>
      </c>
      <c r="P290" s="162">
        <f t="shared" si="51"/>
        <v>1.0869565217391353E-2</v>
      </c>
    </row>
    <row r="291" spans="1:16">
      <c r="A291" s="319">
        <v>44620</v>
      </c>
      <c r="B291" s="28">
        <v>1.01</v>
      </c>
      <c r="C291" s="29">
        <v>1.44</v>
      </c>
      <c r="D291" s="29">
        <v>1.62</v>
      </c>
      <c r="E291" s="30">
        <v>1.6651730620587211</v>
      </c>
      <c r="F291" s="29">
        <v>1.71</v>
      </c>
      <c r="G291" s="159">
        <f t="shared" si="42"/>
        <v>-1.1999999999999988E-3</v>
      </c>
      <c r="H291" s="154">
        <f t="shared" si="43"/>
        <v>-1.1000000000000009E-3</v>
      </c>
      <c r="I291" s="154">
        <f t="shared" si="44"/>
        <v>-1.3999999999999991E-3</v>
      </c>
      <c r="J291" s="154">
        <f t="shared" si="45"/>
        <v>-1.4497706036340973E-3</v>
      </c>
      <c r="K291" s="160">
        <f t="shared" si="46"/>
        <v>-1.5000000000000013E-3</v>
      </c>
      <c r="L291" s="161">
        <f t="shared" si="47"/>
        <v>-0.10619469026548667</v>
      </c>
      <c r="M291" s="155">
        <f t="shared" si="48"/>
        <v>-7.0967741935483941E-2</v>
      </c>
      <c r="N291" s="155">
        <f t="shared" si="49"/>
        <v>-7.9545454545454475E-2</v>
      </c>
      <c r="O291" s="155">
        <f t="shared" si="50"/>
        <v>-8.0091180597451461E-2</v>
      </c>
      <c r="P291" s="162">
        <f t="shared" si="51"/>
        <v>-8.064516129032262E-2</v>
      </c>
    </row>
    <row r="292" spans="1:16">
      <c r="A292" s="319">
        <v>44621</v>
      </c>
      <c r="B292" s="28">
        <v>0.91</v>
      </c>
      <c r="C292" s="29">
        <v>1.31</v>
      </c>
      <c r="D292" s="29">
        <v>1.47</v>
      </c>
      <c r="E292" s="30">
        <v>1.5150452950105056</v>
      </c>
      <c r="F292" s="29">
        <v>1.56</v>
      </c>
      <c r="G292" s="159">
        <f t="shared" si="42"/>
        <v>-9.999999999999998E-4</v>
      </c>
      <c r="H292" s="154">
        <f t="shared" si="43"/>
        <v>-1.2999999999999989E-3</v>
      </c>
      <c r="I292" s="154">
        <f t="shared" si="44"/>
        <v>-1.5000000000000013E-3</v>
      </c>
      <c r="J292" s="154">
        <f t="shared" si="45"/>
        <v>-1.5012776704821551E-3</v>
      </c>
      <c r="K292" s="160">
        <f t="shared" si="46"/>
        <v>-1.4999999999999992E-3</v>
      </c>
      <c r="L292" s="161">
        <f t="shared" si="47"/>
        <v>-9.9009900990098987E-2</v>
      </c>
      <c r="M292" s="155">
        <f t="shared" si="48"/>
        <v>-9.0277777777777679E-2</v>
      </c>
      <c r="N292" s="155">
        <f t="shared" si="49"/>
        <v>-9.2592592592592671E-2</v>
      </c>
      <c r="O292" s="155">
        <f t="shared" si="50"/>
        <v>-9.0157455983948309E-2</v>
      </c>
      <c r="P292" s="162">
        <f t="shared" si="51"/>
        <v>-8.7719298245613975E-2</v>
      </c>
    </row>
    <row r="293" spans="1:16">
      <c r="A293" s="319">
        <v>44622</v>
      </c>
      <c r="B293" s="28">
        <v>1.06</v>
      </c>
      <c r="C293" s="29">
        <v>1.5</v>
      </c>
      <c r="D293" s="29">
        <v>1.67</v>
      </c>
      <c r="E293" s="30">
        <v>1.705137049995803</v>
      </c>
      <c r="F293" s="29">
        <v>1.74</v>
      </c>
      <c r="G293" s="159">
        <f t="shared" si="42"/>
        <v>1.5000000000000002E-3</v>
      </c>
      <c r="H293" s="154">
        <f t="shared" si="43"/>
        <v>1.8999999999999996E-3</v>
      </c>
      <c r="I293" s="154">
        <f t="shared" si="44"/>
        <v>1.9999999999999996E-3</v>
      </c>
      <c r="J293" s="154">
        <f t="shared" si="45"/>
        <v>1.9009175498529739E-3</v>
      </c>
      <c r="K293" s="160">
        <f t="shared" si="46"/>
        <v>1.7999999999999993E-3</v>
      </c>
      <c r="L293" s="161">
        <f t="shared" si="47"/>
        <v>0.16483516483516492</v>
      </c>
      <c r="M293" s="155">
        <f t="shared" si="48"/>
        <v>0.14503816793893121</v>
      </c>
      <c r="N293" s="155">
        <f t="shared" si="49"/>
        <v>0.13605442176870741</v>
      </c>
      <c r="O293" s="155">
        <f t="shared" si="50"/>
        <v>0.12546935435615425</v>
      </c>
      <c r="P293" s="162">
        <f t="shared" si="51"/>
        <v>0.11538461538461542</v>
      </c>
    </row>
    <row r="294" spans="1:16">
      <c r="A294" s="319">
        <v>44623</v>
      </c>
      <c r="B294" s="28">
        <v>1.08</v>
      </c>
      <c r="C294" s="29">
        <v>1.53</v>
      </c>
      <c r="D294" s="29">
        <v>1.69</v>
      </c>
      <c r="E294" s="30">
        <v>1.7153279975673394</v>
      </c>
      <c r="F294" s="29">
        <v>1.74</v>
      </c>
      <c r="G294" s="159">
        <f t="shared" si="42"/>
        <v>2.0000000000000017E-4</v>
      </c>
      <c r="H294" s="154">
        <f t="shared" si="43"/>
        <v>3.0000000000000024E-4</v>
      </c>
      <c r="I294" s="154">
        <f t="shared" si="44"/>
        <v>2.0000000000000017E-4</v>
      </c>
      <c r="J294" s="154">
        <f t="shared" si="45"/>
        <v>1.019094757153649E-4</v>
      </c>
      <c r="K294" s="160">
        <f t="shared" si="46"/>
        <v>0</v>
      </c>
      <c r="L294" s="161">
        <f t="shared" si="47"/>
        <v>1.8867924528301883E-2</v>
      </c>
      <c r="M294" s="155">
        <f t="shared" si="48"/>
        <v>2.0000000000000018E-2</v>
      </c>
      <c r="N294" s="155">
        <f t="shared" si="49"/>
        <v>1.1976047904191711E-2</v>
      </c>
      <c r="O294" s="155">
        <f t="shared" si="50"/>
        <v>5.9766149422191273E-3</v>
      </c>
      <c r="P294" s="162">
        <f t="shared" si="51"/>
        <v>0</v>
      </c>
    </row>
    <row r="295" spans="1:16">
      <c r="A295" s="319">
        <v>44624</v>
      </c>
      <c r="B295" s="28">
        <v>1.05</v>
      </c>
      <c r="C295" s="29">
        <v>1.5</v>
      </c>
      <c r="D295" s="29">
        <v>1.62</v>
      </c>
      <c r="E295" s="30">
        <v>1.6352718262967776</v>
      </c>
      <c r="F295" s="29">
        <v>1.65</v>
      </c>
      <c r="G295" s="159">
        <f t="shared" si="42"/>
        <v>-3.0000000000000024E-4</v>
      </c>
      <c r="H295" s="154">
        <f t="shared" si="43"/>
        <v>-3.0000000000000024E-4</v>
      </c>
      <c r="I295" s="154">
        <f t="shared" si="44"/>
        <v>-6.9999999999999837E-4</v>
      </c>
      <c r="J295" s="154">
        <f t="shared" si="45"/>
        <v>-8.0056171270561857E-4</v>
      </c>
      <c r="K295" s="160">
        <f t="shared" si="46"/>
        <v>-9.0000000000000084E-4</v>
      </c>
      <c r="L295" s="161">
        <f t="shared" si="47"/>
        <v>-2.777777777777779E-2</v>
      </c>
      <c r="M295" s="155">
        <f t="shared" si="48"/>
        <v>-1.9607843137254943E-2</v>
      </c>
      <c r="N295" s="155">
        <f t="shared" si="49"/>
        <v>-4.1420118343195145E-2</v>
      </c>
      <c r="O295" s="155">
        <f t="shared" si="50"/>
        <v>-4.6671057304548569E-2</v>
      </c>
      <c r="P295" s="162">
        <f t="shared" si="51"/>
        <v>-5.1724137931034475E-2</v>
      </c>
    </row>
    <row r="296" spans="1:16">
      <c r="A296" s="319">
        <v>44627</v>
      </c>
      <c r="B296" s="28">
        <v>1.07</v>
      </c>
      <c r="C296" s="29">
        <v>1.55</v>
      </c>
      <c r="D296" s="29">
        <v>1.68</v>
      </c>
      <c r="E296" s="30">
        <v>1.6954785890022757</v>
      </c>
      <c r="F296" s="29">
        <v>1.71</v>
      </c>
      <c r="G296" s="159">
        <f t="shared" si="42"/>
        <v>2.0000000000000017E-4</v>
      </c>
      <c r="H296" s="154">
        <f t="shared" si="43"/>
        <v>5.0000000000000044E-4</v>
      </c>
      <c r="I296" s="154">
        <f t="shared" si="44"/>
        <v>5.9999999999999832E-4</v>
      </c>
      <c r="J296" s="154">
        <f t="shared" si="45"/>
        <v>6.0206762705498071E-4</v>
      </c>
      <c r="K296" s="160">
        <f t="shared" si="46"/>
        <v>6.0000000000000049E-4</v>
      </c>
      <c r="L296" s="161">
        <f t="shared" si="47"/>
        <v>1.904761904761898E-2</v>
      </c>
      <c r="M296" s="155">
        <f t="shared" si="48"/>
        <v>3.3333333333333437E-2</v>
      </c>
      <c r="N296" s="155">
        <f t="shared" si="49"/>
        <v>3.7037037037036979E-2</v>
      </c>
      <c r="O296" s="155">
        <f t="shared" si="50"/>
        <v>3.6817586982979877E-2</v>
      </c>
      <c r="P296" s="162">
        <f t="shared" si="51"/>
        <v>3.6363636363636376E-2</v>
      </c>
    </row>
    <row r="297" spans="1:16">
      <c r="A297" s="319">
        <v>44628</v>
      </c>
      <c r="B297" s="28">
        <v>1.1200000000000001</v>
      </c>
      <c r="C297" s="29">
        <v>1.63</v>
      </c>
      <c r="D297" s="29">
        <v>1.78</v>
      </c>
      <c r="E297" s="30">
        <v>1.7903959529516118</v>
      </c>
      <c r="F297" s="29">
        <v>1.8</v>
      </c>
      <c r="G297" s="159">
        <f t="shared" si="42"/>
        <v>5.0000000000000044E-4</v>
      </c>
      <c r="H297" s="154">
        <f t="shared" si="43"/>
        <v>7.9999999999999852E-4</v>
      </c>
      <c r="I297" s="154">
        <f t="shared" si="44"/>
        <v>1.0000000000000009E-3</v>
      </c>
      <c r="J297" s="154">
        <f t="shared" si="45"/>
        <v>9.4917363949336146E-4</v>
      </c>
      <c r="K297" s="160">
        <f t="shared" si="46"/>
        <v>9.0000000000000084E-4</v>
      </c>
      <c r="L297" s="161">
        <f t="shared" si="47"/>
        <v>4.6728971962616939E-2</v>
      </c>
      <c r="M297" s="155">
        <f t="shared" si="48"/>
        <v>5.1612903225806361E-2</v>
      </c>
      <c r="N297" s="155">
        <f t="shared" si="49"/>
        <v>5.9523809523809534E-2</v>
      </c>
      <c r="O297" s="155">
        <f t="shared" si="50"/>
        <v>5.5982637920064526E-2</v>
      </c>
      <c r="P297" s="162">
        <f t="shared" si="51"/>
        <v>5.2631578947368363E-2</v>
      </c>
    </row>
    <row r="298" spans="1:16">
      <c r="A298" s="319">
        <v>44629</v>
      </c>
      <c r="B298" s="28">
        <v>1.1499999999999999</v>
      </c>
      <c r="C298" s="29">
        <v>1.68</v>
      </c>
      <c r="D298" s="29">
        <v>1.83</v>
      </c>
      <c r="E298" s="30">
        <v>1.8500298448890318</v>
      </c>
      <c r="F298" s="29">
        <v>1.87</v>
      </c>
      <c r="G298" s="159">
        <f t="shared" si="42"/>
        <v>2.9999999999999802E-4</v>
      </c>
      <c r="H298" s="154">
        <f t="shared" si="43"/>
        <v>5.0000000000000044E-4</v>
      </c>
      <c r="I298" s="154">
        <f t="shared" si="44"/>
        <v>5.0000000000000044E-4</v>
      </c>
      <c r="J298" s="154">
        <f t="shared" si="45"/>
        <v>5.9633891937419968E-4</v>
      </c>
      <c r="K298" s="160">
        <f t="shared" si="46"/>
        <v>7.0000000000000064E-4</v>
      </c>
      <c r="L298" s="161">
        <f t="shared" si="47"/>
        <v>2.6785714285714191E-2</v>
      </c>
      <c r="M298" s="155">
        <f t="shared" si="48"/>
        <v>3.0674846625766916E-2</v>
      </c>
      <c r="N298" s="155">
        <f t="shared" si="49"/>
        <v>2.8089887640449396E-2</v>
      </c>
      <c r="O298" s="155">
        <f t="shared" si="50"/>
        <v>3.3307655683151305E-2</v>
      </c>
      <c r="P298" s="162">
        <f t="shared" si="51"/>
        <v>3.8888888888888973E-2</v>
      </c>
    </row>
    <row r="299" spans="1:16">
      <c r="A299" s="319">
        <v>44630</v>
      </c>
      <c r="B299" s="28">
        <v>1.19</v>
      </c>
      <c r="C299" s="29">
        <v>1.72</v>
      </c>
      <c r="D299" s="29">
        <v>1.88</v>
      </c>
      <c r="E299" s="30">
        <v>1.9001825537382937</v>
      </c>
      <c r="F299" s="29">
        <v>1.92</v>
      </c>
      <c r="G299" s="159">
        <f t="shared" si="42"/>
        <v>4.0000000000000034E-4</v>
      </c>
      <c r="H299" s="154">
        <f t="shared" si="43"/>
        <v>4.0000000000000034E-4</v>
      </c>
      <c r="I299" s="154">
        <f t="shared" si="44"/>
        <v>4.9999999999999828E-4</v>
      </c>
      <c r="J299" s="154">
        <f t="shared" si="45"/>
        <v>5.0152708849261925E-4</v>
      </c>
      <c r="K299" s="160">
        <f t="shared" si="46"/>
        <v>4.9999999999999828E-4</v>
      </c>
      <c r="L299" s="161">
        <f t="shared" si="47"/>
        <v>3.4782608695652195E-2</v>
      </c>
      <c r="M299" s="155">
        <f t="shared" si="48"/>
        <v>2.3809523809523725E-2</v>
      </c>
      <c r="N299" s="155">
        <f t="shared" si="49"/>
        <v>2.7322404371584508E-2</v>
      </c>
      <c r="O299" s="155">
        <f t="shared" si="50"/>
        <v>2.7109135016289532E-2</v>
      </c>
      <c r="P299" s="162">
        <f t="shared" si="51"/>
        <v>2.6737967914438387E-2</v>
      </c>
    </row>
    <row r="300" spans="1:16">
      <c r="A300" s="319">
        <v>44631</v>
      </c>
      <c r="B300" s="28">
        <v>1.22</v>
      </c>
      <c r="C300" s="29">
        <v>1.75</v>
      </c>
      <c r="D300" s="29">
        <v>1.91</v>
      </c>
      <c r="E300" s="30">
        <v>1.93520293623504</v>
      </c>
      <c r="F300" s="29">
        <v>1.96</v>
      </c>
      <c r="G300" s="159">
        <f t="shared" si="42"/>
        <v>3.0000000000000024E-4</v>
      </c>
      <c r="H300" s="154">
        <f t="shared" si="43"/>
        <v>3.0000000000000024E-4</v>
      </c>
      <c r="I300" s="154">
        <f t="shared" si="44"/>
        <v>3.0000000000000024E-4</v>
      </c>
      <c r="J300" s="154">
        <f t="shared" si="45"/>
        <v>3.5020382496746326E-4</v>
      </c>
      <c r="K300" s="160">
        <f t="shared" si="46"/>
        <v>4.0000000000000034E-4</v>
      </c>
      <c r="L300" s="161">
        <f t="shared" si="47"/>
        <v>2.5210084033613578E-2</v>
      </c>
      <c r="M300" s="155">
        <f t="shared" si="48"/>
        <v>1.744186046511631E-2</v>
      </c>
      <c r="N300" s="155">
        <f t="shared" si="49"/>
        <v>1.5957446808510634E-2</v>
      </c>
      <c r="O300" s="155">
        <f t="shared" si="50"/>
        <v>1.8430009489272203E-2</v>
      </c>
      <c r="P300" s="162">
        <f t="shared" si="51"/>
        <v>2.0833333333333259E-2</v>
      </c>
    </row>
    <row r="301" spans="1:16">
      <c r="A301" s="319">
        <v>44634</v>
      </c>
      <c r="B301" s="28">
        <v>1.28</v>
      </c>
      <c r="C301" s="29">
        <v>1.87</v>
      </c>
      <c r="D301" s="29">
        <v>2.04</v>
      </c>
      <c r="E301" s="30">
        <v>2.0702651975702477</v>
      </c>
      <c r="F301" s="29">
        <v>2.1</v>
      </c>
      <c r="G301" s="159">
        <f t="shared" si="42"/>
        <v>6.0000000000000049E-4</v>
      </c>
      <c r="H301" s="154">
        <f t="shared" si="43"/>
        <v>1.200000000000001E-3</v>
      </c>
      <c r="I301" s="154">
        <f t="shared" si="44"/>
        <v>1.3000000000000012E-3</v>
      </c>
      <c r="J301" s="154">
        <f t="shared" si="45"/>
        <v>1.3506226133520771E-3</v>
      </c>
      <c r="K301" s="160">
        <f t="shared" si="46"/>
        <v>1.4000000000000013E-3</v>
      </c>
      <c r="L301" s="161">
        <f t="shared" si="47"/>
        <v>4.9180327868852514E-2</v>
      </c>
      <c r="M301" s="155">
        <f t="shared" si="48"/>
        <v>6.8571428571428727E-2</v>
      </c>
      <c r="N301" s="155">
        <f t="shared" si="49"/>
        <v>6.8062827225130906E-2</v>
      </c>
      <c r="O301" s="155">
        <f t="shared" si="50"/>
        <v>6.979229868159087E-2</v>
      </c>
      <c r="P301" s="162">
        <f t="shared" si="51"/>
        <v>7.1428571428571397E-2</v>
      </c>
    </row>
    <row r="302" spans="1:16">
      <c r="A302" s="319">
        <v>44635</v>
      </c>
      <c r="B302" s="28">
        <v>1.28</v>
      </c>
      <c r="C302" s="29">
        <v>1.85</v>
      </c>
      <c r="D302" s="29">
        <v>2.04</v>
      </c>
      <c r="E302" s="30">
        <v>2.0701646725431906</v>
      </c>
      <c r="F302" s="29">
        <v>2.1</v>
      </c>
      <c r="G302" s="159">
        <f t="shared" si="42"/>
        <v>0</v>
      </c>
      <c r="H302" s="154">
        <f t="shared" si="43"/>
        <v>-2.0000000000000017E-4</v>
      </c>
      <c r="I302" s="154">
        <f t="shared" si="44"/>
        <v>0</v>
      </c>
      <c r="J302" s="154">
        <f t="shared" si="45"/>
        <v>-1.0052502705715227E-6</v>
      </c>
      <c r="K302" s="160">
        <f t="shared" si="46"/>
        <v>0</v>
      </c>
      <c r="L302" s="161">
        <f t="shared" si="47"/>
        <v>0</v>
      </c>
      <c r="M302" s="155">
        <f t="shared" si="48"/>
        <v>-1.0695187165775444E-2</v>
      </c>
      <c r="N302" s="155">
        <f t="shared" si="49"/>
        <v>0</v>
      </c>
      <c r="O302" s="155">
        <f t="shared" si="50"/>
        <v>-4.8556594186677238E-5</v>
      </c>
      <c r="P302" s="162">
        <f t="shared" si="51"/>
        <v>0</v>
      </c>
    </row>
    <row r="303" spans="1:16">
      <c r="A303" s="319">
        <v>44636</v>
      </c>
      <c r="B303" s="28">
        <v>1.35</v>
      </c>
      <c r="C303" s="29">
        <v>1.95</v>
      </c>
      <c r="D303" s="29">
        <v>2.14</v>
      </c>
      <c r="E303" s="30">
        <v>2.1602641418125335</v>
      </c>
      <c r="F303" s="29">
        <v>2.1800000000000002</v>
      </c>
      <c r="G303" s="159">
        <f t="shared" si="42"/>
        <v>7.0000000000000064E-4</v>
      </c>
      <c r="H303" s="154">
        <f t="shared" si="43"/>
        <v>9.9999999999999872E-4</v>
      </c>
      <c r="I303" s="154">
        <f t="shared" si="44"/>
        <v>1.0000000000000009E-3</v>
      </c>
      <c r="J303" s="154">
        <f t="shared" si="45"/>
        <v>9.0099469269342867E-4</v>
      </c>
      <c r="K303" s="160">
        <f t="shared" si="46"/>
        <v>8.0000000000000069E-4</v>
      </c>
      <c r="L303" s="161">
        <f t="shared" si="47"/>
        <v>5.46875E-2</v>
      </c>
      <c r="M303" s="155">
        <f t="shared" si="48"/>
        <v>5.4054054054053946E-2</v>
      </c>
      <c r="N303" s="155">
        <f t="shared" si="49"/>
        <v>4.9019607843137303E-2</v>
      </c>
      <c r="O303" s="155">
        <f t="shared" si="50"/>
        <v>4.3522851328853918E-2</v>
      </c>
      <c r="P303" s="162">
        <f t="shared" si="51"/>
        <v>3.8095238095238182E-2</v>
      </c>
    </row>
    <row r="304" spans="1:16">
      <c r="A304" s="319">
        <v>44637</v>
      </c>
      <c r="B304" s="28">
        <v>1.3</v>
      </c>
      <c r="C304" s="29">
        <v>1.94</v>
      </c>
      <c r="D304" s="29">
        <v>2.14</v>
      </c>
      <c r="E304" s="30">
        <v>2.1553111487090866</v>
      </c>
      <c r="F304" s="29">
        <v>2.17</v>
      </c>
      <c r="G304" s="159">
        <f t="shared" si="42"/>
        <v>-5.0000000000000044E-4</v>
      </c>
      <c r="H304" s="154">
        <f t="shared" si="43"/>
        <v>-1.0000000000000009E-4</v>
      </c>
      <c r="I304" s="154">
        <f t="shared" si="44"/>
        <v>0</v>
      </c>
      <c r="J304" s="154">
        <f t="shared" si="45"/>
        <v>-4.9529931034468786E-5</v>
      </c>
      <c r="K304" s="160">
        <f t="shared" si="46"/>
        <v>-1.0000000000000231E-4</v>
      </c>
      <c r="L304" s="161">
        <f t="shared" si="47"/>
        <v>-3.703703703703709E-2</v>
      </c>
      <c r="M304" s="155">
        <f t="shared" si="48"/>
        <v>-5.12820512820511E-3</v>
      </c>
      <c r="N304" s="155">
        <f t="shared" si="49"/>
        <v>0</v>
      </c>
      <c r="O304" s="155">
        <f t="shared" si="50"/>
        <v>-2.2927719844904049E-3</v>
      </c>
      <c r="P304" s="162">
        <f t="shared" si="51"/>
        <v>-4.5871559633028358E-3</v>
      </c>
    </row>
    <row r="305" spans="1:16">
      <c r="A305" s="319">
        <v>44638</v>
      </c>
      <c r="B305" s="28">
        <v>1.29</v>
      </c>
      <c r="C305" s="29">
        <v>1.97</v>
      </c>
      <c r="D305" s="29">
        <v>2.15</v>
      </c>
      <c r="E305" s="30">
        <v>2.1452418939261877</v>
      </c>
      <c r="F305" s="29">
        <v>2.14</v>
      </c>
      <c r="G305" s="159">
        <f t="shared" si="42"/>
        <v>-1.0000000000000009E-4</v>
      </c>
      <c r="H305" s="154">
        <f t="shared" si="43"/>
        <v>3.0000000000000024E-4</v>
      </c>
      <c r="I305" s="154">
        <f t="shared" si="44"/>
        <v>9.9999999999997863E-5</v>
      </c>
      <c r="J305" s="154">
        <f t="shared" si="45"/>
        <v>-1.0069254782898884E-4</v>
      </c>
      <c r="K305" s="160">
        <f t="shared" si="46"/>
        <v>-2.9999999999999802E-4</v>
      </c>
      <c r="L305" s="161">
        <f t="shared" si="47"/>
        <v>-7.692307692307665E-3</v>
      </c>
      <c r="M305" s="155">
        <f t="shared" si="48"/>
        <v>1.5463917525773141E-2</v>
      </c>
      <c r="N305" s="155">
        <f t="shared" si="49"/>
        <v>4.6728971962615162E-3</v>
      </c>
      <c r="O305" s="155">
        <f t="shared" si="50"/>
        <v>-4.6718334793237615E-3</v>
      </c>
      <c r="P305" s="162">
        <f t="shared" si="51"/>
        <v>-1.3824884792626668E-2</v>
      </c>
    </row>
    <row r="306" spans="1:16">
      <c r="A306" s="319">
        <v>44641</v>
      </c>
      <c r="B306" s="28">
        <v>1.4</v>
      </c>
      <c r="C306" s="29">
        <v>2.14</v>
      </c>
      <c r="D306" s="29">
        <v>2.34</v>
      </c>
      <c r="E306" s="30">
        <v>2.3350901395604984</v>
      </c>
      <c r="F306" s="29">
        <v>2.33</v>
      </c>
      <c r="G306" s="159">
        <f t="shared" si="42"/>
        <v>1.0999999999999988E-3</v>
      </c>
      <c r="H306" s="154">
        <f t="shared" si="43"/>
        <v>1.7000000000000014E-3</v>
      </c>
      <c r="I306" s="154">
        <f t="shared" si="44"/>
        <v>1.8999999999999996E-3</v>
      </c>
      <c r="J306" s="154">
        <f t="shared" si="45"/>
        <v>1.8984824563431069E-3</v>
      </c>
      <c r="K306" s="160">
        <f t="shared" si="46"/>
        <v>1.8999999999999996E-3</v>
      </c>
      <c r="L306" s="161">
        <f t="shared" si="47"/>
        <v>8.5271317829457294E-2</v>
      </c>
      <c r="M306" s="155">
        <f t="shared" si="48"/>
        <v>8.629441624365497E-2</v>
      </c>
      <c r="N306" s="155">
        <f t="shared" si="49"/>
        <v>8.8372093023255882E-2</v>
      </c>
      <c r="O306" s="155">
        <f t="shared" si="50"/>
        <v>8.84973606807824E-2</v>
      </c>
      <c r="P306" s="162">
        <f t="shared" si="51"/>
        <v>8.8785046728971917E-2</v>
      </c>
    </row>
    <row r="307" spans="1:16">
      <c r="A307" s="319">
        <v>44642</v>
      </c>
      <c r="B307" s="28">
        <v>1.59</v>
      </c>
      <c r="C307" s="29">
        <v>2.1800000000000002</v>
      </c>
      <c r="D307" s="29">
        <v>2.38</v>
      </c>
      <c r="E307" s="30">
        <v>2.3852384417461874</v>
      </c>
      <c r="F307" s="29">
        <v>2.39</v>
      </c>
      <c r="G307" s="159">
        <f t="shared" si="42"/>
        <v>1.9000000000000017E-3</v>
      </c>
      <c r="H307" s="154">
        <f t="shared" si="43"/>
        <v>4.0000000000000034E-4</v>
      </c>
      <c r="I307" s="154">
        <f t="shared" si="44"/>
        <v>4.0000000000000034E-4</v>
      </c>
      <c r="J307" s="154">
        <f t="shared" si="45"/>
        <v>5.0148302185688994E-4</v>
      </c>
      <c r="K307" s="160">
        <f t="shared" si="46"/>
        <v>6.0000000000000049E-4</v>
      </c>
      <c r="L307" s="161">
        <f t="shared" si="47"/>
        <v>0.1357142857142859</v>
      </c>
      <c r="M307" s="155">
        <f t="shared" si="48"/>
        <v>1.8691588785046731E-2</v>
      </c>
      <c r="N307" s="155">
        <f t="shared" si="49"/>
        <v>1.7094017094017033E-2</v>
      </c>
      <c r="O307" s="155">
        <f t="shared" si="50"/>
        <v>2.1475959893834107E-2</v>
      </c>
      <c r="P307" s="162">
        <f t="shared" si="51"/>
        <v>2.5751072961373467E-2</v>
      </c>
    </row>
    <row r="308" spans="1:16">
      <c r="A308" s="319">
        <v>44643</v>
      </c>
      <c r="B308" s="28">
        <v>1.52</v>
      </c>
      <c r="C308" s="29">
        <v>2.13</v>
      </c>
      <c r="D308" s="29">
        <v>2.3199999999999998</v>
      </c>
      <c r="E308" s="30">
        <v>2.3300558630275421</v>
      </c>
      <c r="F308" s="29">
        <v>2.34</v>
      </c>
      <c r="G308" s="159">
        <f t="shared" si="42"/>
        <v>-7.0000000000000064E-4</v>
      </c>
      <c r="H308" s="154">
        <f t="shared" si="43"/>
        <v>-5.0000000000000261E-4</v>
      </c>
      <c r="I308" s="154">
        <f t="shared" si="44"/>
        <v>-6.0000000000000049E-4</v>
      </c>
      <c r="J308" s="154">
        <f t="shared" si="45"/>
        <v>-5.5182578718645289E-4</v>
      </c>
      <c r="K308" s="160">
        <f t="shared" si="46"/>
        <v>-5.0000000000000261E-4</v>
      </c>
      <c r="L308" s="161">
        <f t="shared" si="47"/>
        <v>-4.4025157232704393E-2</v>
      </c>
      <c r="M308" s="155">
        <f t="shared" si="48"/>
        <v>-2.2935779816513846E-2</v>
      </c>
      <c r="N308" s="155">
        <f t="shared" si="49"/>
        <v>-2.5210084033613467E-2</v>
      </c>
      <c r="O308" s="155">
        <f t="shared" si="50"/>
        <v>-2.3135036628978312E-2</v>
      </c>
      <c r="P308" s="162">
        <f t="shared" si="51"/>
        <v>-2.0920502092050319E-2</v>
      </c>
    </row>
    <row r="309" spans="1:16">
      <c r="A309" s="319">
        <v>44644</v>
      </c>
      <c r="B309" s="28">
        <v>1.55</v>
      </c>
      <c r="C309" s="29">
        <v>2.13</v>
      </c>
      <c r="D309" s="29">
        <v>2.35</v>
      </c>
      <c r="E309" s="30">
        <v>2.3603835642739046</v>
      </c>
      <c r="F309" s="29">
        <v>2.37</v>
      </c>
      <c r="G309" s="159">
        <f t="shared" si="42"/>
        <v>3.0000000000000024E-4</v>
      </c>
      <c r="H309" s="154">
        <f t="shared" si="43"/>
        <v>0</v>
      </c>
      <c r="I309" s="154">
        <f t="shared" si="44"/>
        <v>3.0000000000000247E-4</v>
      </c>
      <c r="J309" s="154">
        <f t="shared" si="45"/>
        <v>3.0327701246362526E-4</v>
      </c>
      <c r="K309" s="160">
        <f t="shared" si="46"/>
        <v>3.0000000000000247E-4</v>
      </c>
      <c r="L309" s="161">
        <f t="shared" si="47"/>
        <v>1.9736842105263275E-2</v>
      </c>
      <c r="M309" s="155">
        <f t="shared" si="48"/>
        <v>0</v>
      </c>
      <c r="N309" s="155">
        <f t="shared" si="49"/>
        <v>1.2931034482758674E-2</v>
      </c>
      <c r="O309" s="155">
        <f t="shared" si="50"/>
        <v>1.3015868729840951E-2</v>
      </c>
      <c r="P309" s="162">
        <f t="shared" si="51"/>
        <v>1.2820512820512997E-2</v>
      </c>
    </row>
    <row r="310" spans="1:16">
      <c r="A310" s="319">
        <v>44645</v>
      </c>
      <c r="B310" s="28">
        <v>1.67</v>
      </c>
      <c r="C310" s="29">
        <v>2.2999999999999998</v>
      </c>
      <c r="D310" s="29">
        <v>2.5099999999999998</v>
      </c>
      <c r="E310" s="30">
        <v>2.5304566946034495</v>
      </c>
      <c r="F310" s="29">
        <v>2.5499999999999998</v>
      </c>
      <c r="G310" s="159">
        <f t="shared" si="42"/>
        <v>1.1999999999999988E-3</v>
      </c>
      <c r="H310" s="154">
        <f t="shared" si="43"/>
        <v>1.6999999999999993E-3</v>
      </c>
      <c r="I310" s="154">
        <f t="shared" si="44"/>
        <v>1.599999999999997E-3</v>
      </c>
      <c r="J310" s="154">
        <f t="shared" si="45"/>
        <v>1.7007313032954485E-3</v>
      </c>
      <c r="K310" s="160">
        <f t="shared" si="46"/>
        <v>1.7999999999999971E-3</v>
      </c>
      <c r="L310" s="161">
        <f t="shared" si="47"/>
        <v>7.7419354838709653E-2</v>
      </c>
      <c r="M310" s="155">
        <f t="shared" si="48"/>
        <v>7.9812206572769995E-2</v>
      </c>
      <c r="N310" s="155">
        <f t="shared" si="49"/>
        <v>6.80851063829786E-2</v>
      </c>
      <c r="O310" s="155">
        <f t="shared" si="50"/>
        <v>7.2053175129552338E-2</v>
      </c>
      <c r="P310" s="162">
        <f t="shared" si="51"/>
        <v>7.5949367088607556E-2</v>
      </c>
    </row>
    <row r="311" spans="1:16">
      <c r="A311" s="319">
        <v>44648</v>
      </c>
      <c r="B311" s="28">
        <v>1.69</v>
      </c>
      <c r="C311" s="29">
        <v>2.35</v>
      </c>
      <c r="D311" s="29">
        <v>2.5499999999999998</v>
      </c>
      <c r="E311" s="30">
        <v>2.5454196155024507</v>
      </c>
      <c r="F311" s="29">
        <v>2.54</v>
      </c>
      <c r="G311" s="159">
        <f t="shared" si="42"/>
        <v>2.0000000000000017E-4</v>
      </c>
      <c r="H311" s="154">
        <f t="shared" si="43"/>
        <v>5.0000000000000261E-4</v>
      </c>
      <c r="I311" s="154">
        <f t="shared" si="44"/>
        <v>4.0000000000000034E-4</v>
      </c>
      <c r="J311" s="154">
        <f t="shared" si="45"/>
        <v>1.4962920899001198E-4</v>
      </c>
      <c r="K311" s="160">
        <f t="shared" si="46"/>
        <v>-9.9999999999997863E-5</v>
      </c>
      <c r="L311" s="161">
        <f t="shared" si="47"/>
        <v>1.1976047904191711E-2</v>
      </c>
      <c r="M311" s="155">
        <f t="shared" si="48"/>
        <v>2.1739130434782705E-2</v>
      </c>
      <c r="N311" s="155">
        <f t="shared" si="49"/>
        <v>1.5936254980079667E-2</v>
      </c>
      <c r="O311" s="155">
        <f t="shared" si="50"/>
        <v>5.9131305945332446E-3</v>
      </c>
      <c r="P311" s="162">
        <f t="shared" si="51"/>
        <v>-3.9215686274508554E-3</v>
      </c>
    </row>
    <row r="312" spans="1:16">
      <c r="A312" s="319">
        <v>44649</v>
      </c>
      <c r="B312" s="28">
        <v>1.67</v>
      </c>
      <c r="C312" s="29">
        <v>2.35</v>
      </c>
      <c r="D312" s="29">
        <v>2.54</v>
      </c>
      <c r="E312" s="30">
        <v>2.5150064864781019</v>
      </c>
      <c r="F312" s="29">
        <v>2.4900000000000002</v>
      </c>
      <c r="G312" s="159">
        <f t="shared" si="42"/>
        <v>-2.0000000000000017E-4</v>
      </c>
      <c r="H312" s="154">
        <f t="shared" si="43"/>
        <v>0</v>
      </c>
      <c r="I312" s="154">
        <f t="shared" si="44"/>
        <v>-9.9999999999997863E-5</v>
      </c>
      <c r="J312" s="154">
        <f t="shared" si="45"/>
        <v>-3.0413129024348785E-4</v>
      </c>
      <c r="K312" s="160">
        <f t="shared" si="46"/>
        <v>-4.9999999999999828E-4</v>
      </c>
      <c r="L312" s="161">
        <f t="shared" si="47"/>
        <v>-1.1834319526627279E-2</v>
      </c>
      <c r="M312" s="155">
        <f t="shared" si="48"/>
        <v>0</v>
      </c>
      <c r="N312" s="155">
        <f t="shared" si="49"/>
        <v>-3.9215686274508554E-3</v>
      </c>
      <c r="O312" s="155">
        <f t="shared" si="50"/>
        <v>-1.1948178932511877E-2</v>
      </c>
      <c r="P312" s="162">
        <f t="shared" si="51"/>
        <v>-1.9685039370078705E-2</v>
      </c>
    </row>
    <row r="313" spans="1:16">
      <c r="A313" s="319">
        <v>44650</v>
      </c>
      <c r="B313" s="28">
        <v>1.64</v>
      </c>
      <c r="C313" s="29">
        <v>2.31</v>
      </c>
      <c r="D313" s="29">
        <v>2.4900000000000002</v>
      </c>
      <c r="E313" s="30">
        <v>2.4651055810624398</v>
      </c>
      <c r="F313" s="29">
        <v>2.44</v>
      </c>
      <c r="G313" s="159">
        <f t="shared" si="42"/>
        <v>-3.0000000000000024E-4</v>
      </c>
      <c r="H313" s="154">
        <f t="shared" si="43"/>
        <v>-4.0000000000000034E-4</v>
      </c>
      <c r="I313" s="154">
        <f t="shared" si="44"/>
        <v>-4.9999999999999828E-4</v>
      </c>
      <c r="J313" s="154">
        <f t="shared" si="45"/>
        <v>-4.9900905415662051E-4</v>
      </c>
      <c r="K313" s="160">
        <f t="shared" si="46"/>
        <v>-5.0000000000000261E-4</v>
      </c>
      <c r="L313" s="161">
        <f t="shared" si="47"/>
        <v>-1.7964071856287456E-2</v>
      </c>
      <c r="M313" s="155">
        <f t="shared" si="48"/>
        <v>-1.7021276595744705E-2</v>
      </c>
      <c r="N313" s="155">
        <f t="shared" si="49"/>
        <v>-1.9685039370078705E-2</v>
      </c>
      <c r="O313" s="155">
        <f t="shared" si="50"/>
        <v>-1.9841263107651441E-2</v>
      </c>
      <c r="P313" s="162">
        <f t="shared" si="51"/>
        <v>-2.0080321285140701E-2</v>
      </c>
    </row>
    <row r="314" spans="1:16">
      <c r="A314" s="319">
        <v>44651</v>
      </c>
      <c r="B314" s="28">
        <v>1.63</v>
      </c>
      <c r="C314" s="29">
        <v>2.2799999999999998</v>
      </c>
      <c r="D314" s="29">
        <v>2.4500000000000002</v>
      </c>
      <c r="E314" s="30">
        <v>2.4353934556955101</v>
      </c>
      <c r="F314" s="29">
        <v>2.42</v>
      </c>
      <c r="G314" s="159">
        <f t="shared" si="42"/>
        <v>-1.0000000000000009E-4</v>
      </c>
      <c r="H314" s="154">
        <f t="shared" si="43"/>
        <v>-3.0000000000000247E-4</v>
      </c>
      <c r="I314" s="154">
        <f t="shared" si="44"/>
        <v>-4.0000000000000034E-4</v>
      </c>
      <c r="J314" s="154">
        <f t="shared" si="45"/>
        <v>-2.9712125366929685E-4</v>
      </c>
      <c r="K314" s="160">
        <f t="shared" si="46"/>
        <v>-2.0000000000000017E-4</v>
      </c>
      <c r="L314" s="161">
        <f t="shared" si="47"/>
        <v>-6.0975609756097615E-3</v>
      </c>
      <c r="M314" s="155">
        <f t="shared" si="48"/>
        <v>-1.2987012987013102E-2</v>
      </c>
      <c r="N314" s="155">
        <f t="shared" si="49"/>
        <v>-1.6064257028112428E-2</v>
      </c>
      <c r="O314" s="155">
        <f t="shared" si="50"/>
        <v>-1.2053084295936767E-2</v>
      </c>
      <c r="P314" s="162">
        <f t="shared" si="51"/>
        <v>-8.1967213114754189E-3</v>
      </c>
    </row>
    <row r="315" spans="1:16">
      <c r="A315" s="319">
        <v>44652</v>
      </c>
      <c r="B315" s="28">
        <v>1.72</v>
      </c>
      <c r="C315" s="29">
        <v>2.44</v>
      </c>
      <c r="D315" s="29">
        <v>2.61</v>
      </c>
      <c r="E315" s="30">
        <v>2.5803957701917715</v>
      </c>
      <c r="F315" s="29">
        <v>2.5499999999999998</v>
      </c>
      <c r="G315" s="159">
        <f t="shared" si="42"/>
        <v>9.0000000000000084E-4</v>
      </c>
      <c r="H315" s="154">
        <f t="shared" si="43"/>
        <v>1.6000000000000014E-3</v>
      </c>
      <c r="I315" s="154">
        <f t="shared" si="44"/>
        <v>1.599999999999997E-3</v>
      </c>
      <c r="J315" s="154">
        <f t="shared" si="45"/>
        <v>1.4500231449626132E-3</v>
      </c>
      <c r="K315" s="160">
        <f t="shared" si="46"/>
        <v>1.2999999999999989E-3</v>
      </c>
      <c r="L315" s="161">
        <f t="shared" si="47"/>
        <v>5.5214723926380493E-2</v>
      </c>
      <c r="M315" s="155">
        <f t="shared" si="48"/>
        <v>7.0175438596491224E-2</v>
      </c>
      <c r="N315" s="155">
        <f t="shared" si="49"/>
        <v>6.5306122448979487E-2</v>
      </c>
      <c r="O315" s="155">
        <f t="shared" si="50"/>
        <v>5.953958452058461E-2</v>
      </c>
      <c r="P315" s="162">
        <f t="shared" si="51"/>
        <v>5.3719008264462742E-2</v>
      </c>
    </row>
    <row r="316" spans="1:16">
      <c r="A316" s="319">
        <v>44655</v>
      </c>
      <c r="B316" s="28">
        <v>1.72</v>
      </c>
      <c r="C316" s="29">
        <v>2.4300000000000002</v>
      </c>
      <c r="D316" s="29">
        <v>2.61</v>
      </c>
      <c r="E316" s="30">
        <v>2.5851751635619773</v>
      </c>
      <c r="F316" s="29">
        <v>2.56</v>
      </c>
      <c r="G316" s="159">
        <f t="shared" si="42"/>
        <v>0</v>
      </c>
      <c r="H316" s="154">
        <f t="shared" si="43"/>
        <v>-9.9999999999997863E-5</v>
      </c>
      <c r="I316" s="154">
        <f t="shared" si="44"/>
        <v>0</v>
      </c>
      <c r="J316" s="154">
        <f t="shared" si="45"/>
        <v>4.7793933702058312E-5</v>
      </c>
      <c r="K316" s="160">
        <f t="shared" si="46"/>
        <v>1.0000000000000231E-4</v>
      </c>
      <c r="L316" s="161">
        <f t="shared" si="47"/>
        <v>0</v>
      </c>
      <c r="M316" s="155">
        <f t="shared" si="48"/>
        <v>-4.098360655737654E-3</v>
      </c>
      <c r="N316" s="155">
        <f t="shared" si="49"/>
        <v>0</v>
      </c>
      <c r="O316" s="155">
        <f t="shared" si="50"/>
        <v>1.8521939252174047E-3</v>
      </c>
      <c r="P316" s="162">
        <f t="shared" si="51"/>
        <v>3.9215686274509665E-3</v>
      </c>
    </row>
    <row r="317" spans="1:16">
      <c r="A317" s="319">
        <v>44656</v>
      </c>
      <c r="B317" s="28">
        <v>1.77</v>
      </c>
      <c r="C317" s="29">
        <v>2.5099999999999998</v>
      </c>
      <c r="D317" s="29">
        <v>2.69</v>
      </c>
      <c r="E317" s="30">
        <v>2.6902706950680368</v>
      </c>
      <c r="F317" s="29">
        <v>2.69</v>
      </c>
      <c r="G317" s="159">
        <f t="shared" si="42"/>
        <v>5.0000000000000044E-4</v>
      </c>
      <c r="H317" s="154">
        <f t="shared" si="43"/>
        <v>7.9999999999999624E-4</v>
      </c>
      <c r="I317" s="154">
        <f t="shared" si="44"/>
        <v>8.0000000000000069E-4</v>
      </c>
      <c r="J317" s="154">
        <f t="shared" si="45"/>
        <v>1.0509553150605956E-3</v>
      </c>
      <c r="K317" s="160">
        <f t="shared" si="46"/>
        <v>1.2999999999999989E-3</v>
      </c>
      <c r="L317" s="161">
        <f t="shared" si="47"/>
        <v>2.9069767441860517E-2</v>
      </c>
      <c r="M317" s="155">
        <f t="shared" si="48"/>
        <v>3.2921810699588328E-2</v>
      </c>
      <c r="N317" s="155">
        <f t="shared" si="49"/>
        <v>3.0651340996168619E-2</v>
      </c>
      <c r="O317" s="155">
        <f t="shared" si="50"/>
        <v>4.0653156887541009E-2</v>
      </c>
      <c r="P317" s="162">
        <f t="shared" si="51"/>
        <v>5.078125E-2</v>
      </c>
    </row>
    <row r="318" spans="1:16">
      <c r="A318" s="319">
        <v>44657</v>
      </c>
      <c r="B318" s="28">
        <v>1.79</v>
      </c>
      <c r="C318" s="29">
        <v>2.5</v>
      </c>
      <c r="D318" s="29">
        <v>2.67</v>
      </c>
      <c r="E318" s="30">
        <v>2.6852063817558647</v>
      </c>
      <c r="F318" s="29">
        <v>2.7</v>
      </c>
      <c r="G318" s="159">
        <f t="shared" si="42"/>
        <v>2.0000000000000017E-4</v>
      </c>
      <c r="H318" s="154">
        <f t="shared" si="43"/>
        <v>-9.9999999999997863E-5</v>
      </c>
      <c r="I318" s="154">
        <f t="shared" si="44"/>
        <v>-2.0000000000000017E-4</v>
      </c>
      <c r="J318" s="154">
        <f t="shared" si="45"/>
        <v>-5.0643133121721636E-5</v>
      </c>
      <c r="K318" s="160">
        <f t="shared" si="46"/>
        <v>1.0000000000000231E-4</v>
      </c>
      <c r="L318" s="161">
        <f t="shared" si="47"/>
        <v>1.1299435028248705E-2</v>
      </c>
      <c r="M318" s="155">
        <f t="shared" si="48"/>
        <v>-3.9840637450198058E-3</v>
      </c>
      <c r="N318" s="155">
        <f t="shared" si="49"/>
        <v>-7.4349442379182396E-3</v>
      </c>
      <c r="O318" s="155">
        <f t="shared" si="50"/>
        <v>-1.8824549222710152E-3</v>
      </c>
      <c r="P318" s="162">
        <f t="shared" si="51"/>
        <v>3.7174721189592308E-3</v>
      </c>
    </row>
    <row r="319" spans="1:16">
      <c r="A319" s="319">
        <v>44658</v>
      </c>
      <c r="B319" s="28">
        <v>1.78</v>
      </c>
      <c r="C319" s="29">
        <v>2.4700000000000002</v>
      </c>
      <c r="D319" s="29">
        <v>2.66</v>
      </c>
      <c r="E319" s="30">
        <v>2.6802725980083189</v>
      </c>
      <c r="F319" s="29">
        <v>2.7</v>
      </c>
      <c r="G319" s="159">
        <f t="shared" si="42"/>
        <v>-1.0000000000000009E-4</v>
      </c>
      <c r="H319" s="154">
        <f t="shared" si="43"/>
        <v>-2.9999999999999802E-4</v>
      </c>
      <c r="I319" s="154">
        <f t="shared" si="44"/>
        <v>-9.9999999999997863E-5</v>
      </c>
      <c r="J319" s="154">
        <f t="shared" si="45"/>
        <v>-4.9337837475458277E-5</v>
      </c>
      <c r="K319" s="160">
        <f t="shared" si="46"/>
        <v>0</v>
      </c>
      <c r="L319" s="161">
        <f t="shared" si="47"/>
        <v>-5.5865921787709993E-3</v>
      </c>
      <c r="M319" s="155">
        <f t="shared" si="48"/>
        <v>-1.19999999999999E-2</v>
      </c>
      <c r="N319" s="155">
        <f t="shared" si="49"/>
        <v>-3.7453183520598232E-3</v>
      </c>
      <c r="O319" s="155">
        <f t="shared" si="50"/>
        <v>-1.8373946155749721E-3</v>
      </c>
      <c r="P319" s="162">
        <f t="shared" si="51"/>
        <v>0</v>
      </c>
    </row>
    <row r="320" spans="1:16">
      <c r="A320" s="319">
        <v>44659</v>
      </c>
      <c r="B320" s="28">
        <v>1.81</v>
      </c>
      <c r="C320" s="29">
        <v>2.5299999999999998</v>
      </c>
      <c r="D320" s="29">
        <v>2.73</v>
      </c>
      <c r="E320" s="30">
        <v>2.7453689678497049</v>
      </c>
      <c r="F320" s="29">
        <v>2.76</v>
      </c>
      <c r="G320" s="159">
        <f t="shared" si="42"/>
        <v>3.0000000000000024E-4</v>
      </c>
      <c r="H320" s="154">
        <f t="shared" si="43"/>
        <v>5.9999999999999604E-4</v>
      </c>
      <c r="I320" s="154">
        <f t="shared" si="44"/>
        <v>6.9999999999999837E-4</v>
      </c>
      <c r="J320" s="154">
        <f t="shared" si="45"/>
        <v>6.5096369841386001E-4</v>
      </c>
      <c r="K320" s="160">
        <f t="shared" si="46"/>
        <v>5.9999999999999604E-4</v>
      </c>
      <c r="L320" s="161">
        <f t="shared" si="47"/>
        <v>1.6853932584269593E-2</v>
      </c>
      <c r="M320" s="155">
        <f t="shared" si="48"/>
        <v>2.4291497975708287E-2</v>
      </c>
      <c r="N320" s="155">
        <f t="shared" si="49"/>
        <v>2.631578947368407E-2</v>
      </c>
      <c r="O320" s="155">
        <f t="shared" si="50"/>
        <v>2.4287219848368569E-2</v>
      </c>
      <c r="P320" s="162">
        <f t="shared" si="51"/>
        <v>2.2222222222222143E-2</v>
      </c>
    </row>
    <row r="321" spans="1:16">
      <c r="A321" s="319">
        <v>44662</v>
      </c>
      <c r="B321" s="28">
        <v>1.85</v>
      </c>
      <c r="C321" s="29">
        <v>2.5</v>
      </c>
      <c r="D321" s="29">
        <v>2.73</v>
      </c>
      <c r="E321" s="30">
        <v>2.7603608305430907</v>
      </c>
      <c r="F321" s="29">
        <v>2.79</v>
      </c>
      <c r="G321" s="159">
        <f t="shared" si="42"/>
        <v>4.0000000000000034E-4</v>
      </c>
      <c r="H321" s="154">
        <f t="shared" si="43"/>
        <v>-2.9999999999999802E-4</v>
      </c>
      <c r="I321" s="154">
        <f t="shared" si="44"/>
        <v>0</v>
      </c>
      <c r="J321" s="154">
        <f t="shared" si="45"/>
        <v>1.4991862693385815E-4</v>
      </c>
      <c r="K321" s="160">
        <f t="shared" si="46"/>
        <v>3.0000000000000247E-4</v>
      </c>
      <c r="L321" s="161">
        <f t="shared" si="47"/>
        <v>2.2099447513812098E-2</v>
      </c>
      <c r="M321" s="155">
        <f t="shared" si="48"/>
        <v>-1.1857707509881354E-2</v>
      </c>
      <c r="N321" s="155">
        <f t="shared" si="49"/>
        <v>0</v>
      </c>
      <c r="O321" s="155">
        <f t="shared" si="50"/>
        <v>5.4607824554555595E-3</v>
      </c>
      <c r="P321" s="162">
        <f t="shared" si="51"/>
        <v>1.0869565217391353E-2</v>
      </c>
    </row>
    <row r="322" spans="1:16">
      <c r="A322" s="319">
        <v>44663</v>
      </c>
      <c r="B322" s="28">
        <v>1.77</v>
      </c>
      <c r="C322" s="29">
        <v>2.39</v>
      </c>
      <c r="D322" s="29">
        <v>2.58</v>
      </c>
      <c r="E322" s="30">
        <v>2.6203165448326677</v>
      </c>
      <c r="F322" s="29">
        <v>2.66</v>
      </c>
      <c r="G322" s="159">
        <f t="shared" si="42"/>
        <v>-8.0000000000000069E-4</v>
      </c>
      <c r="H322" s="154">
        <f t="shared" si="43"/>
        <v>-1.0999999999999988E-3</v>
      </c>
      <c r="I322" s="154">
        <f t="shared" si="44"/>
        <v>-1.4999999999999992E-3</v>
      </c>
      <c r="J322" s="154">
        <f t="shared" si="45"/>
        <v>-1.4004428571042294E-3</v>
      </c>
      <c r="K322" s="160">
        <f t="shared" si="46"/>
        <v>-1.2999999999999989E-3</v>
      </c>
      <c r="L322" s="161">
        <f t="shared" si="47"/>
        <v>-4.3243243243243246E-2</v>
      </c>
      <c r="M322" s="155">
        <f t="shared" si="48"/>
        <v>-4.3999999999999928E-2</v>
      </c>
      <c r="N322" s="155">
        <f t="shared" si="49"/>
        <v>-5.4945054945054861E-2</v>
      </c>
      <c r="O322" s="155">
        <f t="shared" si="50"/>
        <v>-5.0734050476607395E-2</v>
      </c>
      <c r="P322" s="162">
        <f t="shared" si="51"/>
        <v>-4.6594982078853042E-2</v>
      </c>
    </row>
    <row r="323" spans="1:16">
      <c r="A323" s="319">
        <v>44664</v>
      </c>
      <c r="B323" s="28">
        <v>1.78</v>
      </c>
      <c r="C323" s="29">
        <v>2.37</v>
      </c>
      <c r="D323" s="29">
        <v>2.57</v>
      </c>
      <c r="E323" s="30">
        <v>2.6150729988339028</v>
      </c>
      <c r="F323" s="29">
        <v>2.66</v>
      </c>
      <c r="G323" s="159">
        <f t="shared" si="42"/>
        <v>1.0000000000000009E-4</v>
      </c>
      <c r="H323" s="154">
        <f t="shared" si="43"/>
        <v>-2.0000000000000017E-4</v>
      </c>
      <c r="I323" s="154">
        <f t="shared" si="44"/>
        <v>-1.0000000000000231E-4</v>
      </c>
      <c r="J323" s="154">
        <f t="shared" si="45"/>
        <v>-5.2435459987649758E-5</v>
      </c>
      <c r="K323" s="160">
        <f t="shared" si="46"/>
        <v>0</v>
      </c>
      <c r="L323" s="161">
        <f t="shared" si="47"/>
        <v>5.6497175141243527E-3</v>
      </c>
      <c r="M323" s="155">
        <f t="shared" si="48"/>
        <v>-8.3682008368201055E-3</v>
      </c>
      <c r="N323" s="155">
        <f t="shared" si="49"/>
        <v>-3.8759689922481799E-3</v>
      </c>
      <c r="O323" s="155">
        <f t="shared" si="50"/>
        <v>-2.0011116630566095E-3</v>
      </c>
      <c r="P323" s="162">
        <f t="shared" si="51"/>
        <v>0</v>
      </c>
    </row>
    <row r="324" spans="1:16">
      <c r="A324" s="319">
        <v>44665</v>
      </c>
      <c r="B324" s="28">
        <v>1.84</v>
      </c>
      <c r="C324" s="29">
        <v>2.4700000000000002</v>
      </c>
      <c r="D324" s="29">
        <v>2.67</v>
      </c>
      <c r="E324" s="30">
        <v>2.7302697574004089</v>
      </c>
      <c r="F324" s="29">
        <v>2.79</v>
      </c>
      <c r="G324" s="159">
        <f t="shared" ref="G324:G387" si="52">(B324-B323)/100</f>
        <v>6.0000000000000049E-4</v>
      </c>
      <c r="H324" s="154">
        <f t="shared" ref="H324:H387" si="53">(C324-C323)/100</f>
        <v>1.0000000000000009E-3</v>
      </c>
      <c r="I324" s="154">
        <f t="shared" ref="I324:I387" si="54">(D324-D323)/100</f>
        <v>1.0000000000000009E-3</v>
      </c>
      <c r="J324" s="154">
        <f t="shared" ref="J324:J387" si="55">(E324-E323)/100</f>
        <v>1.1519675856650612E-3</v>
      </c>
      <c r="K324" s="160">
        <f t="shared" ref="K324:K387" si="56">(F324-F323)/100</f>
        <v>1.2999999999999989E-3</v>
      </c>
      <c r="L324" s="161">
        <f t="shared" ref="L324:L387" si="57">(B324/B323)-1</f>
        <v>3.3707865168539408E-2</v>
      </c>
      <c r="M324" s="155">
        <f t="shared" ref="M324:M387" si="58">(C324/C323)-1</f>
        <v>4.2194092827004148E-2</v>
      </c>
      <c r="N324" s="155">
        <f t="shared" ref="N324:N387" si="59">(D324/D323)-1</f>
        <v>3.8910505836575959E-2</v>
      </c>
      <c r="O324" s="155">
        <f t="shared" ref="O324:O387" si="60">(E324/E323)-1</f>
        <v>4.405106802673342E-2</v>
      </c>
      <c r="P324" s="162">
        <f t="shared" ref="P324:P387" si="61">(F324/F323)-1</f>
        <v>4.8872180451127845E-2</v>
      </c>
    </row>
    <row r="325" spans="1:16">
      <c r="A325" s="319">
        <v>44669</v>
      </c>
      <c r="B325" s="28">
        <v>1.84</v>
      </c>
      <c r="C325" s="29">
        <v>2.46</v>
      </c>
      <c r="D325" s="29">
        <v>2.68</v>
      </c>
      <c r="E325" s="30">
        <v>2.7351304319237162</v>
      </c>
      <c r="F325" s="29">
        <v>2.79</v>
      </c>
      <c r="G325" s="159">
        <f t="shared" si="52"/>
        <v>0</v>
      </c>
      <c r="H325" s="154">
        <f t="shared" si="53"/>
        <v>-1.0000000000000231E-4</v>
      </c>
      <c r="I325" s="154">
        <f t="shared" si="54"/>
        <v>1.0000000000000231E-4</v>
      </c>
      <c r="J325" s="154">
        <f t="shared" si="55"/>
        <v>4.8606745233072953E-5</v>
      </c>
      <c r="K325" s="160">
        <f t="shared" si="56"/>
        <v>0</v>
      </c>
      <c r="L325" s="161">
        <f t="shared" si="57"/>
        <v>0</v>
      </c>
      <c r="M325" s="155">
        <f t="shared" si="58"/>
        <v>-4.0485829959514552E-3</v>
      </c>
      <c r="N325" s="155">
        <f t="shared" si="59"/>
        <v>3.7453183520599342E-3</v>
      </c>
      <c r="O325" s="155">
        <f t="shared" si="60"/>
        <v>1.7802909438280334E-3</v>
      </c>
      <c r="P325" s="162">
        <f t="shared" si="61"/>
        <v>0</v>
      </c>
    </row>
    <row r="326" spans="1:16">
      <c r="A326" s="319">
        <v>44670</v>
      </c>
      <c r="B326" s="28">
        <v>1.94</v>
      </c>
      <c r="C326" s="29">
        <v>2.61</v>
      </c>
      <c r="D326" s="29">
        <v>2.81</v>
      </c>
      <c r="E326" s="30">
        <v>2.8604128151907657</v>
      </c>
      <c r="F326" s="29">
        <v>2.91</v>
      </c>
      <c r="G326" s="159">
        <f t="shared" si="52"/>
        <v>9.9999999999999872E-4</v>
      </c>
      <c r="H326" s="154">
        <f t="shared" si="53"/>
        <v>1.4999999999999992E-3</v>
      </c>
      <c r="I326" s="154">
        <f t="shared" si="54"/>
        <v>1.2999999999999989E-3</v>
      </c>
      <c r="J326" s="154">
        <f t="shared" si="55"/>
        <v>1.2528238326704954E-3</v>
      </c>
      <c r="K326" s="160">
        <f t="shared" si="56"/>
        <v>1.200000000000001E-3</v>
      </c>
      <c r="L326" s="161">
        <f t="shared" si="57"/>
        <v>5.4347826086956541E-2</v>
      </c>
      <c r="M326" s="155">
        <f t="shared" si="58"/>
        <v>6.0975609756097615E-2</v>
      </c>
      <c r="N326" s="155">
        <f t="shared" si="59"/>
        <v>4.8507462686567138E-2</v>
      </c>
      <c r="O326" s="155">
        <f t="shared" si="60"/>
        <v>4.5804902685731896E-2</v>
      </c>
      <c r="P326" s="162">
        <f t="shared" si="61"/>
        <v>4.3010752688172005E-2</v>
      </c>
    </row>
    <row r="327" spans="1:16">
      <c r="A327" s="319">
        <v>44671</v>
      </c>
      <c r="B327" s="28">
        <v>1.93</v>
      </c>
      <c r="C327" s="29">
        <v>2.6</v>
      </c>
      <c r="D327" s="29">
        <v>2.79</v>
      </c>
      <c r="E327" s="30">
        <v>2.8303483778524758</v>
      </c>
      <c r="F327" s="29">
        <v>2.87</v>
      </c>
      <c r="G327" s="159">
        <f t="shared" si="52"/>
        <v>-1.0000000000000009E-4</v>
      </c>
      <c r="H327" s="154">
        <f t="shared" si="53"/>
        <v>-9.9999999999997863E-5</v>
      </c>
      <c r="I327" s="154">
        <f t="shared" si="54"/>
        <v>-2.0000000000000017E-4</v>
      </c>
      <c r="J327" s="154">
        <f t="shared" si="55"/>
        <v>-3.0064437338289896E-4</v>
      </c>
      <c r="K327" s="160">
        <f t="shared" si="56"/>
        <v>-4.0000000000000034E-4</v>
      </c>
      <c r="L327" s="161">
        <f t="shared" si="57"/>
        <v>-5.1546391752577136E-3</v>
      </c>
      <c r="M327" s="155">
        <f t="shared" si="58"/>
        <v>-3.8314176245209941E-3</v>
      </c>
      <c r="N327" s="155">
        <f t="shared" si="59"/>
        <v>-7.1174377224199059E-3</v>
      </c>
      <c r="O327" s="155">
        <f t="shared" si="60"/>
        <v>-1.0510523928094262E-2</v>
      </c>
      <c r="P327" s="162">
        <f t="shared" si="61"/>
        <v>-1.3745704467354014E-2</v>
      </c>
    </row>
    <row r="328" spans="1:16">
      <c r="A328" s="319">
        <v>44672</v>
      </c>
      <c r="B328" s="28">
        <v>2.0099999999999998</v>
      </c>
      <c r="C328" s="29">
        <v>2.68</v>
      </c>
      <c r="D328" s="29">
        <v>2.87</v>
      </c>
      <c r="E328" s="30">
        <v>2.9151891804932935</v>
      </c>
      <c r="F328" s="29">
        <v>2.96</v>
      </c>
      <c r="G328" s="159">
        <f t="shared" si="52"/>
        <v>7.9999999999999852E-4</v>
      </c>
      <c r="H328" s="154">
        <f t="shared" si="53"/>
        <v>8.0000000000000069E-4</v>
      </c>
      <c r="I328" s="154">
        <f t="shared" si="54"/>
        <v>8.0000000000000069E-4</v>
      </c>
      <c r="J328" s="154">
        <f t="shared" si="55"/>
        <v>8.4840802640817614E-4</v>
      </c>
      <c r="K328" s="160">
        <f t="shared" si="56"/>
        <v>8.9999999999999857E-4</v>
      </c>
      <c r="L328" s="161">
        <f t="shared" si="57"/>
        <v>4.1450777202072464E-2</v>
      </c>
      <c r="M328" s="155">
        <f t="shared" si="58"/>
        <v>3.0769230769230882E-2</v>
      </c>
      <c r="N328" s="155">
        <f t="shared" si="59"/>
        <v>2.8673835125448077E-2</v>
      </c>
      <c r="O328" s="155">
        <f t="shared" si="60"/>
        <v>2.9975392183060778E-2</v>
      </c>
      <c r="P328" s="162">
        <f t="shared" si="61"/>
        <v>3.1358885017421567E-2</v>
      </c>
    </row>
    <row r="329" spans="1:16">
      <c r="A329" s="319">
        <v>44673</v>
      </c>
      <c r="B329" s="28">
        <v>2.06</v>
      </c>
      <c r="C329" s="29">
        <v>2.72</v>
      </c>
      <c r="D329" s="29">
        <v>2.88</v>
      </c>
      <c r="E329" s="30">
        <v>2.9102558627031891</v>
      </c>
      <c r="F329" s="29">
        <v>2.94</v>
      </c>
      <c r="G329" s="159">
        <f t="shared" si="52"/>
        <v>5.0000000000000261E-4</v>
      </c>
      <c r="H329" s="154">
        <f t="shared" si="53"/>
        <v>4.0000000000000034E-4</v>
      </c>
      <c r="I329" s="154">
        <f t="shared" si="54"/>
        <v>9.9999999999997863E-5</v>
      </c>
      <c r="J329" s="154">
        <f t="shared" si="55"/>
        <v>-4.9333177901043083E-5</v>
      </c>
      <c r="K329" s="160">
        <f t="shared" si="56"/>
        <v>-2.0000000000000017E-4</v>
      </c>
      <c r="L329" s="161">
        <f t="shared" si="57"/>
        <v>2.4875621890547484E-2</v>
      </c>
      <c r="M329" s="155">
        <f t="shared" si="58"/>
        <v>1.4925373134328401E-2</v>
      </c>
      <c r="N329" s="155">
        <f t="shared" si="59"/>
        <v>3.4843205574912606E-3</v>
      </c>
      <c r="O329" s="155">
        <f t="shared" si="60"/>
        <v>-1.6922804952471671E-3</v>
      </c>
      <c r="P329" s="162">
        <f t="shared" si="61"/>
        <v>-6.7567567567567988E-3</v>
      </c>
    </row>
    <row r="330" spans="1:16">
      <c r="A330" s="319">
        <v>44676</v>
      </c>
      <c r="B330" s="28">
        <v>2.0299999999999998</v>
      </c>
      <c r="C330" s="29">
        <v>2.63</v>
      </c>
      <c r="D330" s="29">
        <v>2.79</v>
      </c>
      <c r="E330" s="30">
        <v>2.8153401283206168</v>
      </c>
      <c r="F330" s="29">
        <v>2.84</v>
      </c>
      <c r="G330" s="159">
        <f t="shared" si="52"/>
        <v>-3.0000000000000247E-4</v>
      </c>
      <c r="H330" s="154">
        <f t="shared" si="53"/>
        <v>-9.0000000000000301E-4</v>
      </c>
      <c r="I330" s="154">
        <f t="shared" si="54"/>
        <v>-8.9999999999999857E-4</v>
      </c>
      <c r="J330" s="154">
        <f t="shared" si="55"/>
        <v>-9.4915734382572392E-4</v>
      </c>
      <c r="K330" s="160">
        <f t="shared" si="56"/>
        <v>-1.0000000000000009E-3</v>
      </c>
      <c r="L330" s="161">
        <f t="shared" si="57"/>
        <v>-1.4563106796116609E-2</v>
      </c>
      <c r="M330" s="155">
        <f t="shared" si="58"/>
        <v>-3.3088235294117752E-2</v>
      </c>
      <c r="N330" s="155">
        <f t="shared" si="59"/>
        <v>-3.125E-2</v>
      </c>
      <c r="O330" s="155">
        <f t="shared" si="60"/>
        <v>-3.2614223236856588E-2</v>
      </c>
      <c r="P330" s="162">
        <f t="shared" si="61"/>
        <v>-3.4013605442176909E-2</v>
      </c>
    </row>
    <row r="331" spans="1:16">
      <c r="A331" s="319">
        <v>44677</v>
      </c>
      <c r="B331" s="28">
        <v>1.99</v>
      </c>
      <c r="C331" s="29">
        <v>2.54</v>
      </c>
      <c r="D331" s="29">
        <v>2.72</v>
      </c>
      <c r="E331" s="30">
        <v>2.7554683979105383</v>
      </c>
      <c r="F331" s="29">
        <v>2.79</v>
      </c>
      <c r="G331" s="159">
        <f t="shared" si="52"/>
        <v>-3.9999999999999812E-4</v>
      </c>
      <c r="H331" s="154">
        <f t="shared" si="53"/>
        <v>-8.9999999999999857E-4</v>
      </c>
      <c r="I331" s="154">
        <f t="shared" si="54"/>
        <v>-6.9999999999999837E-4</v>
      </c>
      <c r="J331" s="154">
        <f t="shared" si="55"/>
        <v>-5.9871730410078429E-4</v>
      </c>
      <c r="K331" s="160">
        <f t="shared" si="56"/>
        <v>-4.9999999999999828E-4</v>
      </c>
      <c r="L331" s="161">
        <f t="shared" si="57"/>
        <v>-1.9704433497536811E-2</v>
      </c>
      <c r="M331" s="155">
        <f t="shared" si="58"/>
        <v>-3.4220532319391594E-2</v>
      </c>
      <c r="N331" s="155">
        <f t="shared" si="59"/>
        <v>-2.5089605734766929E-2</v>
      </c>
      <c r="O331" s="155">
        <f t="shared" si="60"/>
        <v>-2.1266251209864473E-2</v>
      </c>
      <c r="P331" s="162">
        <f t="shared" si="61"/>
        <v>-1.7605633802816878E-2</v>
      </c>
    </row>
    <row r="332" spans="1:16">
      <c r="A332" s="319">
        <v>44678</v>
      </c>
      <c r="B332" s="28">
        <v>1.97</v>
      </c>
      <c r="C332" s="29">
        <v>2.58</v>
      </c>
      <c r="D332" s="29">
        <v>2.75</v>
      </c>
      <c r="E332" s="30">
        <v>2.7804297855348072</v>
      </c>
      <c r="F332" s="29">
        <v>2.81</v>
      </c>
      <c r="G332" s="159">
        <f t="shared" si="52"/>
        <v>-2.0000000000000017E-4</v>
      </c>
      <c r="H332" s="154">
        <f t="shared" si="53"/>
        <v>4.0000000000000034E-4</v>
      </c>
      <c r="I332" s="154">
        <f t="shared" si="54"/>
        <v>2.9999999999999802E-4</v>
      </c>
      <c r="J332" s="154">
        <f t="shared" si="55"/>
        <v>2.4961387624268918E-4</v>
      </c>
      <c r="K332" s="160">
        <f t="shared" si="56"/>
        <v>2.0000000000000017E-4</v>
      </c>
      <c r="L332" s="161">
        <f t="shared" si="57"/>
        <v>-1.0050251256281451E-2</v>
      </c>
      <c r="M332" s="155">
        <f t="shared" si="58"/>
        <v>1.5748031496062964E-2</v>
      </c>
      <c r="N332" s="155">
        <f t="shared" si="59"/>
        <v>1.1029411764705843E-2</v>
      </c>
      <c r="O332" s="155">
        <f t="shared" si="60"/>
        <v>9.0588546191265884E-3</v>
      </c>
      <c r="P332" s="162">
        <f t="shared" si="61"/>
        <v>7.1684587813620748E-3</v>
      </c>
    </row>
    <row r="333" spans="1:16">
      <c r="A333" s="319">
        <v>44679</v>
      </c>
      <c r="B333" s="28">
        <v>2.04</v>
      </c>
      <c r="C333" s="29">
        <v>2.63</v>
      </c>
      <c r="D333" s="29">
        <v>2.8</v>
      </c>
      <c r="E333" s="30">
        <v>2.8303853149158837</v>
      </c>
      <c r="F333" s="29">
        <v>2.86</v>
      </c>
      <c r="G333" s="159">
        <f t="shared" si="52"/>
        <v>7.0000000000000064E-4</v>
      </c>
      <c r="H333" s="154">
        <f t="shared" si="53"/>
        <v>4.9999999999999828E-4</v>
      </c>
      <c r="I333" s="154">
        <f t="shared" si="54"/>
        <v>4.9999999999999828E-4</v>
      </c>
      <c r="J333" s="154">
        <f t="shared" si="55"/>
        <v>4.9955529381076505E-4</v>
      </c>
      <c r="K333" s="160">
        <f t="shared" si="56"/>
        <v>4.9999999999999828E-4</v>
      </c>
      <c r="L333" s="161">
        <f t="shared" si="57"/>
        <v>3.5532994923857864E-2</v>
      </c>
      <c r="M333" s="155">
        <f t="shared" si="58"/>
        <v>1.9379844961240345E-2</v>
      </c>
      <c r="N333" s="155">
        <f t="shared" si="59"/>
        <v>1.8181818181818077E-2</v>
      </c>
      <c r="O333" s="155">
        <f t="shared" si="60"/>
        <v>1.7966837228176047E-2</v>
      </c>
      <c r="P333" s="162">
        <f t="shared" si="61"/>
        <v>1.7793594306049654E-2</v>
      </c>
    </row>
    <row r="334" spans="1:16">
      <c r="A334" s="319">
        <v>44680</v>
      </c>
      <c r="B334" s="28">
        <v>2.1</v>
      </c>
      <c r="C334" s="29">
        <v>2.7</v>
      </c>
      <c r="D334" s="29">
        <v>2.87</v>
      </c>
      <c r="E334" s="30">
        <v>2.8951789197334135</v>
      </c>
      <c r="F334" s="29">
        <v>2.92</v>
      </c>
      <c r="G334" s="159">
        <f t="shared" si="52"/>
        <v>6.0000000000000049E-4</v>
      </c>
      <c r="H334" s="154">
        <f t="shared" si="53"/>
        <v>7.0000000000000281E-4</v>
      </c>
      <c r="I334" s="154">
        <f t="shared" si="54"/>
        <v>7.0000000000000281E-4</v>
      </c>
      <c r="J334" s="154">
        <f t="shared" si="55"/>
        <v>6.4793604817529719E-4</v>
      </c>
      <c r="K334" s="160">
        <f t="shared" si="56"/>
        <v>6.0000000000000049E-4</v>
      </c>
      <c r="L334" s="161">
        <f t="shared" si="57"/>
        <v>2.941176470588247E-2</v>
      </c>
      <c r="M334" s="155">
        <f t="shared" si="58"/>
        <v>2.6615969581749166E-2</v>
      </c>
      <c r="N334" s="155">
        <f t="shared" si="59"/>
        <v>2.5000000000000133E-2</v>
      </c>
      <c r="O334" s="155">
        <f t="shared" si="60"/>
        <v>2.2892149869515377E-2</v>
      </c>
      <c r="P334" s="162">
        <f t="shared" si="61"/>
        <v>2.0979020979021046E-2</v>
      </c>
    </row>
    <row r="335" spans="1:16">
      <c r="A335" s="319">
        <v>44683</v>
      </c>
      <c r="B335" s="28">
        <v>2.1</v>
      </c>
      <c r="C335" s="29">
        <v>2.73</v>
      </c>
      <c r="D335" s="29">
        <v>2.93</v>
      </c>
      <c r="E335" s="30">
        <v>2.9703478083607924</v>
      </c>
      <c r="F335" s="29">
        <v>3.01</v>
      </c>
      <c r="G335" s="159">
        <f t="shared" si="52"/>
        <v>0</v>
      </c>
      <c r="H335" s="154">
        <f t="shared" si="53"/>
        <v>2.9999999999999802E-4</v>
      </c>
      <c r="I335" s="154">
        <f t="shared" si="54"/>
        <v>6.0000000000000049E-4</v>
      </c>
      <c r="J335" s="154">
        <f t="shared" si="55"/>
        <v>7.516888862737892E-4</v>
      </c>
      <c r="K335" s="160">
        <f t="shared" si="56"/>
        <v>8.9999999999999857E-4</v>
      </c>
      <c r="L335" s="161">
        <f t="shared" si="57"/>
        <v>0</v>
      </c>
      <c r="M335" s="155">
        <f t="shared" si="58"/>
        <v>1.1111111111111072E-2</v>
      </c>
      <c r="N335" s="155">
        <f t="shared" si="59"/>
        <v>2.0905923344947785E-2</v>
      </c>
      <c r="O335" s="155">
        <f t="shared" si="60"/>
        <v>2.5963469171121467E-2</v>
      </c>
      <c r="P335" s="162">
        <f t="shared" si="61"/>
        <v>3.082191780821919E-2</v>
      </c>
    </row>
    <row r="336" spans="1:16">
      <c r="A336" s="319">
        <v>44684</v>
      </c>
      <c r="B336" s="28">
        <v>2.16</v>
      </c>
      <c r="C336" s="29">
        <v>2.78</v>
      </c>
      <c r="D336" s="29">
        <v>2.95</v>
      </c>
      <c r="E336" s="30">
        <v>2.9803915415675153</v>
      </c>
      <c r="F336" s="29">
        <v>3.01</v>
      </c>
      <c r="G336" s="159">
        <f t="shared" si="52"/>
        <v>6.0000000000000049E-4</v>
      </c>
      <c r="H336" s="154">
        <f t="shared" si="53"/>
        <v>4.9999999999999828E-4</v>
      </c>
      <c r="I336" s="154">
        <f t="shared" si="54"/>
        <v>2.0000000000000017E-4</v>
      </c>
      <c r="J336" s="154">
        <f t="shared" si="55"/>
        <v>1.0043733206722916E-4</v>
      </c>
      <c r="K336" s="160">
        <f t="shared" si="56"/>
        <v>0</v>
      </c>
      <c r="L336" s="161">
        <f t="shared" si="57"/>
        <v>2.8571428571428692E-2</v>
      </c>
      <c r="M336" s="155">
        <f t="shared" si="58"/>
        <v>1.831501831501825E-2</v>
      </c>
      <c r="N336" s="155">
        <f t="shared" si="59"/>
        <v>6.8259385665530026E-3</v>
      </c>
      <c r="O336" s="155">
        <f t="shared" si="60"/>
        <v>3.3813323740918833E-3</v>
      </c>
      <c r="P336" s="162">
        <f t="shared" si="61"/>
        <v>0</v>
      </c>
    </row>
    <row r="337" spans="1:16">
      <c r="A337" s="319">
        <v>44685</v>
      </c>
      <c r="B337" s="28">
        <v>2.0699999999999998</v>
      </c>
      <c r="C337" s="29">
        <v>2.66</v>
      </c>
      <c r="D337" s="29">
        <v>2.85</v>
      </c>
      <c r="E337" s="30">
        <v>2.8901693424859412</v>
      </c>
      <c r="F337" s="29">
        <v>2.93</v>
      </c>
      <c r="G337" s="159">
        <f t="shared" si="52"/>
        <v>-9.0000000000000301E-4</v>
      </c>
      <c r="H337" s="154">
        <f t="shared" si="53"/>
        <v>-1.1999999999999966E-3</v>
      </c>
      <c r="I337" s="154">
        <f t="shared" si="54"/>
        <v>-1.0000000000000009E-3</v>
      </c>
      <c r="J337" s="154">
        <f t="shared" si="55"/>
        <v>-9.0222199081574144E-4</v>
      </c>
      <c r="K337" s="160">
        <f t="shared" si="56"/>
        <v>-7.9999999999999624E-4</v>
      </c>
      <c r="L337" s="161">
        <f t="shared" si="57"/>
        <v>-4.1666666666666852E-2</v>
      </c>
      <c r="M337" s="155">
        <f t="shared" si="58"/>
        <v>-4.3165467625899123E-2</v>
      </c>
      <c r="N337" s="155">
        <f t="shared" si="59"/>
        <v>-3.3898305084745783E-2</v>
      </c>
      <c r="O337" s="155">
        <f t="shared" si="60"/>
        <v>-3.0271928309836271E-2</v>
      </c>
      <c r="P337" s="162">
        <f t="shared" si="61"/>
        <v>-2.6578073089700838E-2</v>
      </c>
    </row>
    <row r="338" spans="1:16">
      <c r="A338" s="319">
        <v>44686</v>
      </c>
      <c r="B338" s="28">
        <v>2.08</v>
      </c>
      <c r="C338" s="29">
        <v>2.71</v>
      </c>
      <c r="D338" s="29">
        <v>2.91</v>
      </c>
      <c r="E338" s="30">
        <v>2.9603619995699892</v>
      </c>
      <c r="F338" s="29">
        <v>3.01</v>
      </c>
      <c r="G338" s="159">
        <f t="shared" si="52"/>
        <v>1.0000000000000231E-4</v>
      </c>
      <c r="H338" s="154">
        <f t="shared" si="53"/>
        <v>4.9999999999999828E-4</v>
      </c>
      <c r="I338" s="154">
        <f t="shared" si="54"/>
        <v>6.0000000000000049E-4</v>
      </c>
      <c r="J338" s="154">
        <f t="shared" si="55"/>
        <v>7.0192657084048096E-4</v>
      </c>
      <c r="K338" s="160">
        <f t="shared" si="56"/>
        <v>7.9999999999999624E-4</v>
      </c>
      <c r="L338" s="161">
        <f t="shared" si="57"/>
        <v>4.8309178743961567E-3</v>
      </c>
      <c r="M338" s="155">
        <f t="shared" si="58"/>
        <v>1.8796992481203034E-2</v>
      </c>
      <c r="N338" s="155">
        <f t="shared" si="59"/>
        <v>2.1052631578947434E-2</v>
      </c>
      <c r="O338" s="155">
        <f t="shared" si="60"/>
        <v>2.4286693534598447E-2</v>
      </c>
      <c r="P338" s="162">
        <f t="shared" si="61"/>
        <v>2.7303754266211566E-2</v>
      </c>
    </row>
    <row r="339" spans="1:16">
      <c r="A339" s="319">
        <v>44687</v>
      </c>
      <c r="B339" s="28">
        <v>2.08</v>
      </c>
      <c r="C339" s="29">
        <v>2.72</v>
      </c>
      <c r="D339" s="29">
        <v>2.94</v>
      </c>
      <c r="E339" s="30">
        <v>3.0001191525182431</v>
      </c>
      <c r="F339" s="29">
        <v>3.06</v>
      </c>
      <c r="G339" s="159">
        <f t="shared" si="52"/>
        <v>0</v>
      </c>
      <c r="H339" s="154">
        <f t="shared" si="53"/>
        <v>1.0000000000000231E-4</v>
      </c>
      <c r="I339" s="154">
        <f t="shared" si="54"/>
        <v>2.9999999999999802E-4</v>
      </c>
      <c r="J339" s="154">
        <f t="shared" si="55"/>
        <v>3.9757152948253881E-4</v>
      </c>
      <c r="K339" s="160">
        <f t="shared" si="56"/>
        <v>5.0000000000000261E-4</v>
      </c>
      <c r="L339" s="161">
        <f t="shared" si="57"/>
        <v>0</v>
      </c>
      <c r="M339" s="155">
        <f t="shared" si="58"/>
        <v>3.6900369003691758E-3</v>
      </c>
      <c r="N339" s="155">
        <f t="shared" si="59"/>
        <v>1.0309278350515427E-2</v>
      </c>
      <c r="O339" s="155">
        <f t="shared" si="60"/>
        <v>1.3429828160890001E-2</v>
      </c>
      <c r="P339" s="162">
        <f t="shared" si="61"/>
        <v>1.6611295681063121E-2</v>
      </c>
    </row>
    <row r="340" spans="1:16">
      <c r="A340" s="319">
        <v>44690</v>
      </c>
      <c r="B340" s="28">
        <v>1.99</v>
      </c>
      <c r="C340" s="29">
        <v>2.61</v>
      </c>
      <c r="D340" s="29">
        <v>2.81</v>
      </c>
      <c r="E340" s="30">
        <v>2.8804128362399557</v>
      </c>
      <c r="F340" s="29">
        <v>2.95</v>
      </c>
      <c r="G340" s="159">
        <f t="shared" si="52"/>
        <v>-9.0000000000000084E-4</v>
      </c>
      <c r="H340" s="154">
        <f t="shared" si="53"/>
        <v>-1.1000000000000031E-3</v>
      </c>
      <c r="I340" s="154">
        <f t="shared" si="54"/>
        <v>-1.2999999999999989E-3</v>
      </c>
      <c r="J340" s="154">
        <f t="shared" si="55"/>
        <v>-1.1970631627828744E-3</v>
      </c>
      <c r="K340" s="160">
        <f t="shared" si="56"/>
        <v>-1.0999999999999988E-3</v>
      </c>
      <c r="L340" s="161">
        <f t="shared" si="57"/>
        <v>-4.3269230769230838E-2</v>
      </c>
      <c r="M340" s="155">
        <f t="shared" si="58"/>
        <v>-4.0441176470588314E-2</v>
      </c>
      <c r="N340" s="155">
        <f t="shared" si="59"/>
        <v>-4.421768707482987E-2</v>
      </c>
      <c r="O340" s="155">
        <f t="shared" si="60"/>
        <v>-3.9900520676923179E-2</v>
      </c>
      <c r="P340" s="162">
        <f t="shared" si="61"/>
        <v>-3.5947712418300637E-2</v>
      </c>
    </row>
    <row r="341" spans="1:16">
      <c r="A341" s="319">
        <v>44691</v>
      </c>
      <c r="B341" s="28">
        <v>2.0099999999999998</v>
      </c>
      <c r="C341" s="29">
        <v>2.62</v>
      </c>
      <c r="D341" s="29">
        <v>2.81</v>
      </c>
      <c r="E341" s="30">
        <v>2.860489386326722</v>
      </c>
      <c r="F341" s="29">
        <v>2.91</v>
      </c>
      <c r="G341" s="159">
        <f t="shared" si="52"/>
        <v>1.9999999999999795E-4</v>
      </c>
      <c r="H341" s="154">
        <f t="shared" si="53"/>
        <v>1.0000000000000231E-4</v>
      </c>
      <c r="I341" s="154">
        <f t="shared" si="54"/>
        <v>0</v>
      </c>
      <c r="J341" s="154">
        <f t="shared" si="55"/>
        <v>-1.9923449913233693E-4</v>
      </c>
      <c r="K341" s="160">
        <f t="shared" si="56"/>
        <v>-4.0000000000000034E-4</v>
      </c>
      <c r="L341" s="161">
        <f t="shared" si="57"/>
        <v>1.0050251256281229E-2</v>
      </c>
      <c r="M341" s="155">
        <f t="shared" si="58"/>
        <v>3.8314176245211051E-3</v>
      </c>
      <c r="N341" s="155">
        <f t="shared" si="59"/>
        <v>0</v>
      </c>
      <c r="O341" s="155">
        <f t="shared" si="60"/>
        <v>-6.9168730476987239E-3</v>
      </c>
      <c r="P341" s="162">
        <f t="shared" si="61"/>
        <v>-1.3559322033898313E-2</v>
      </c>
    </row>
    <row r="342" spans="1:16">
      <c r="A342" s="319">
        <v>44692</v>
      </c>
      <c r="B342" s="28">
        <v>1.99</v>
      </c>
      <c r="C342" s="29">
        <v>2.66</v>
      </c>
      <c r="D342" s="29">
        <v>2.81</v>
      </c>
      <c r="E342" s="30">
        <v>2.8503879704199937</v>
      </c>
      <c r="F342" s="29">
        <v>2.89</v>
      </c>
      <c r="G342" s="159">
        <f t="shared" si="52"/>
        <v>-1.9999999999999795E-4</v>
      </c>
      <c r="H342" s="154">
        <f t="shared" si="53"/>
        <v>4.0000000000000034E-4</v>
      </c>
      <c r="I342" s="154">
        <f t="shared" si="54"/>
        <v>0</v>
      </c>
      <c r="J342" s="154">
        <f t="shared" si="55"/>
        <v>-1.0101415906728306E-4</v>
      </c>
      <c r="K342" s="160">
        <f t="shared" si="56"/>
        <v>-2.0000000000000017E-4</v>
      </c>
      <c r="L342" s="161">
        <f t="shared" si="57"/>
        <v>-9.9502487562188602E-3</v>
      </c>
      <c r="M342" s="155">
        <f t="shared" si="58"/>
        <v>1.5267175572519109E-2</v>
      </c>
      <c r="N342" s="155">
        <f t="shared" si="59"/>
        <v>0</v>
      </c>
      <c r="O342" s="155">
        <f t="shared" si="60"/>
        <v>-3.5313593383753394E-3</v>
      </c>
      <c r="P342" s="162">
        <f t="shared" si="61"/>
        <v>-6.8728522336769515E-3</v>
      </c>
    </row>
    <row r="343" spans="1:16">
      <c r="A343" s="319">
        <v>44693</v>
      </c>
      <c r="B343" s="28">
        <v>1.96</v>
      </c>
      <c r="C343" s="29">
        <v>2.56</v>
      </c>
      <c r="D343" s="29">
        <v>2.73</v>
      </c>
      <c r="E343" s="30">
        <v>2.7703036839922417</v>
      </c>
      <c r="F343" s="29">
        <v>2.81</v>
      </c>
      <c r="G343" s="159">
        <f t="shared" si="52"/>
        <v>-3.0000000000000024E-4</v>
      </c>
      <c r="H343" s="154">
        <f t="shared" si="53"/>
        <v>-1.0000000000000009E-3</v>
      </c>
      <c r="I343" s="154">
        <f t="shared" si="54"/>
        <v>-8.0000000000000069E-4</v>
      </c>
      <c r="J343" s="154">
        <f t="shared" si="55"/>
        <v>-8.0084286427752006E-4</v>
      </c>
      <c r="K343" s="160">
        <f t="shared" si="56"/>
        <v>-8.0000000000000069E-4</v>
      </c>
      <c r="L343" s="161">
        <f t="shared" si="57"/>
        <v>-1.5075376884422176E-2</v>
      </c>
      <c r="M343" s="155">
        <f t="shared" si="58"/>
        <v>-3.7593984962406068E-2</v>
      </c>
      <c r="N343" s="155">
        <f t="shared" si="59"/>
        <v>-2.8469750889679735E-2</v>
      </c>
      <c r="O343" s="155">
        <f t="shared" si="60"/>
        <v>-2.8095924926301086E-2</v>
      </c>
      <c r="P343" s="162">
        <f t="shared" si="61"/>
        <v>-2.7681660899653959E-2</v>
      </c>
    </row>
    <row r="344" spans="1:16">
      <c r="A344" s="319">
        <v>44694</v>
      </c>
      <c r="B344" s="28">
        <v>2.04</v>
      </c>
      <c r="C344" s="29">
        <v>2.61</v>
      </c>
      <c r="D344" s="29">
        <v>2.79</v>
      </c>
      <c r="E344" s="30">
        <v>2.8404505113719707</v>
      </c>
      <c r="F344" s="29">
        <v>2.89</v>
      </c>
      <c r="G344" s="159">
        <f t="shared" si="52"/>
        <v>8.0000000000000069E-4</v>
      </c>
      <c r="H344" s="154">
        <f t="shared" si="53"/>
        <v>4.9999999999999828E-4</v>
      </c>
      <c r="I344" s="154">
        <f t="shared" si="54"/>
        <v>6.0000000000000049E-4</v>
      </c>
      <c r="J344" s="154">
        <f t="shared" si="55"/>
        <v>7.0146827379728998E-4</v>
      </c>
      <c r="K344" s="160">
        <f t="shared" si="56"/>
        <v>8.0000000000000069E-4</v>
      </c>
      <c r="L344" s="161">
        <f t="shared" si="57"/>
        <v>4.081632653061229E-2</v>
      </c>
      <c r="M344" s="155">
        <f t="shared" si="58"/>
        <v>1.953125E-2</v>
      </c>
      <c r="N344" s="155">
        <f t="shared" si="59"/>
        <v>2.19780219780219E-2</v>
      </c>
      <c r="O344" s="155">
        <f t="shared" si="60"/>
        <v>2.5320988375773013E-2</v>
      </c>
      <c r="P344" s="162">
        <f t="shared" si="61"/>
        <v>2.8469750889679846E-2</v>
      </c>
    </row>
    <row r="345" spans="1:16">
      <c r="A345" s="319">
        <v>44697</v>
      </c>
      <c r="B345" s="28">
        <v>2.0699999999999998</v>
      </c>
      <c r="C345" s="29">
        <v>2.58</v>
      </c>
      <c r="D345" s="29">
        <v>2.75</v>
      </c>
      <c r="E345" s="30">
        <v>2.7900695156299076</v>
      </c>
      <c r="F345" s="29">
        <v>2.83</v>
      </c>
      <c r="G345" s="159">
        <f t="shared" si="52"/>
        <v>2.9999999999999802E-4</v>
      </c>
      <c r="H345" s="154">
        <f t="shared" si="53"/>
        <v>-2.9999999999999802E-4</v>
      </c>
      <c r="I345" s="154">
        <f t="shared" si="54"/>
        <v>-4.0000000000000034E-4</v>
      </c>
      <c r="J345" s="154">
        <f t="shared" si="55"/>
        <v>-5.0380995742063119E-4</v>
      </c>
      <c r="K345" s="160">
        <f t="shared" si="56"/>
        <v>-6.0000000000000049E-4</v>
      </c>
      <c r="L345" s="161">
        <f t="shared" si="57"/>
        <v>1.4705882352941124E-2</v>
      </c>
      <c r="M345" s="155">
        <f t="shared" si="58"/>
        <v>-1.1494252873563093E-2</v>
      </c>
      <c r="N345" s="155">
        <f t="shared" si="59"/>
        <v>-1.4336917562724039E-2</v>
      </c>
      <c r="O345" s="155">
        <f t="shared" si="60"/>
        <v>-1.7736973603433293E-2</v>
      </c>
      <c r="P345" s="162">
        <f t="shared" si="61"/>
        <v>-2.0761245674740469E-2</v>
      </c>
    </row>
    <row r="346" spans="1:16">
      <c r="A346" s="319">
        <v>44698</v>
      </c>
      <c r="B346" s="28">
        <v>2.16</v>
      </c>
      <c r="C346" s="29">
        <v>2.71</v>
      </c>
      <c r="D346" s="29">
        <v>2.89</v>
      </c>
      <c r="E346" s="30">
        <v>2.9254678031412071</v>
      </c>
      <c r="F346" s="29">
        <v>2.96</v>
      </c>
      <c r="G346" s="159">
        <f t="shared" si="52"/>
        <v>9.0000000000000301E-4</v>
      </c>
      <c r="H346" s="154">
        <f t="shared" si="53"/>
        <v>1.2999999999999989E-3</v>
      </c>
      <c r="I346" s="154">
        <f t="shared" si="54"/>
        <v>1.4000000000000013E-3</v>
      </c>
      <c r="J346" s="154">
        <f t="shared" si="55"/>
        <v>1.3539828751129956E-3</v>
      </c>
      <c r="K346" s="160">
        <f t="shared" si="56"/>
        <v>1.2999999999999989E-3</v>
      </c>
      <c r="L346" s="161">
        <f t="shared" si="57"/>
        <v>4.347826086956541E-2</v>
      </c>
      <c r="M346" s="155">
        <f t="shared" si="58"/>
        <v>5.0387596899224674E-2</v>
      </c>
      <c r="N346" s="155">
        <f t="shared" si="59"/>
        <v>5.0909090909091015E-2</v>
      </c>
      <c r="O346" s="155">
        <f t="shared" si="60"/>
        <v>4.8528643015093742E-2</v>
      </c>
      <c r="P346" s="162">
        <f t="shared" si="61"/>
        <v>4.5936395759717197E-2</v>
      </c>
    </row>
    <row r="347" spans="1:16">
      <c r="A347" s="319">
        <v>44699</v>
      </c>
      <c r="B347" s="28">
        <v>2.16</v>
      </c>
      <c r="C347" s="29">
        <v>2.68</v>
      </c>
      <c r="D347" s="29">
        <v>2.84</v>
      </c>
      <c r="E347" s="30">
        <v>2.8654435864648224</v>
      </c>
      <c r="F347" s="29">
        <v>2.89</v>
      </c>
      <c r="G347" s="159">
        <f t="shared" si="52"/>
        <v>0</v>
      </c>
      <c r="H347" s="154">
        <f t="shared" si="53"/>
        <v>-2.9999999999999802E-4</v>
      </c>
      <c r="I347" s="154">
        <f t="shared" si="54"/>
        <v>-5.0000000000000261E-4</v>
      </c>
      <c r="J347" s="154">
        <f t="shared" si="55"/>
        <v>-6.0024216676384694E-4</v>
      </c>
      <c r="K347" s="160">
        <f t="shared" si="56"/>
        <v>-6.9999999999999837E-4</v>
      </c>
      <c r="L347" s="161">
        <f t="shared" si="57"/>
        <v>0</v>
      </c>
      <c r="M347" s="155">
        <f t="shared" si="58"/>
        <v>-1.1070110701106972E-2</v>
      </c>
      <c r="N347" s="155">
        <f t="shared" si="59"/>
        <v>-1.730103806228378E-2</v>
      </c>
      <c r="O347" s="155">
        <f t="shared" si="60"/>
        <v>-2.0517818248395714E-2</v>
      </c>
      <c r="P347" s="162">
        <f t="shared" si="61"/>
        <v>-2.3648648648648574E-2</v>
      </c>
    </row>
    <row r="348" spans="1:16">
      <c r="A348" s="319">
        <v>44700</v>
      </c>
      <c r="B348" s="28">
        <v>2.11</v>
      </c>
      <c r="C348" s="29">
        <v>2.63</v>
      </c>
      <c r="D348" s="29">
        <v>2.78</v>
      </c>
      <c r="E348" s="30">
        <v>2.8100955186148315</v>
      </c>
      <c r="F348" s="29">
        <v>2.84</v>
      </c>
      <c r="G348" s="159">
        <f t="shared" si="52"/>
        <v>-5.0000000000000261E-4</v>
      </c>
      <c r="H348" s="154">
        <f t="shared" si="53"/>
        <v>-5.0000000000000261E-4</v>
      </c>
      <c r="I348" s="154">
        <f t="shared" si="54"/>
        <v>-6.0000000000000049E-4</v>
      </c>
      <c r="J348" s="154">
        <f t="shared" si="55"/>
        <v>-5.5348067849990911E-4</v>
      </c>
      <c r="K348" s="160">
        <f t="shared" si="56"/>
        <v>-5.0000000000000261E-4</v>
      </c>
      <c r="L348" s="161">
        <f t="shared" si="57"/>
        <v>-2.3148148148148251E-2</v>
      </c>
      <c r="M348" s="155">
        <f t="shared" si="58"/>
        <v>-1.8656716417910557E-2</v>
      </c>
      <c r="N348" s="155">
        <f t="shared" si="59"/>
        <v>-2.1126760563380254E-2</v>
      </c>
      <c r="O348" s="155">
        <f t="shared" si="60"/>
        <v>-1.9315706688986078E-2</v>
      </c>
      <c r="P348" s="162">
        <f t="shared" si="61"/>
        <v>-1.730103806228378E-2</v>
      </c>
    </row>
    <row r="349" spans="1:16">
      <c r="A349" s="319">
        <v>44701</v>
      </c>
      <c r="B349" s="28">
        <v>2.0699999999999998</v>
      </c>
      <c r="C349" s="29">
        <v>2.6</v>
      </c>
      <c r="D349" s="29">
        <v>2.73</v>
      </c>
      <c r="E349" s="30">
        <v>2.7651733674706085</v>
      </c>
      <c r="F349" s="29">
        <v>2.8</v>
      </c>
      <c r="G349" s="159">
        <f t="shared" si="52"/>
        <v>-4.0000000000000034E-4</v>
      </c>
      <c r="H349" s="154">
        <f t="shared" si="53"/>
        <v>-2.9999999999999802E-4</v>
      </c>
      <c r="I349" s="154">
        <f t="shared" si="54"/>
        <v>-4.9999999999999828E-4</v>
      </c>
      <c r="J349" s="154">
        <f t="shared" si="55"/>
        <v>-4.4922151144223045E-4</v>
      </c>
      <c r="K349" s="160">
        <f t="shared" si="56"/>
        <v>-4.0000000000000034E-4</v>
      </c>
      <c r="L349" s="161">
        <f t="shared" si="57"/>
        <v>-1.8957345971563955E-2</v>
      </c>
      <c r="M349" s="155">
        <f t="shared" si="58"/>
        <v>-1.1406844106463754E-2</v>
      </c>
      <c r="N349" s="155">
        <f t="shared" si="59"/>
        <v>-1.7985611510791255E-2</v>
      </c>
      <c r="O349" s="155">
        <f t="shared" si="60"/>
        <v>-1.5985987254399925E-2</v>
      </c>
      <c r="P349" s="162">
        <f t="shared" si="61"/>
        <v>-1.4084507042253502E-2</v>
      </c>
    </row>
    <row r="350" spans="1:16">
      <c r="A350" s="319">
        <v>44704</v>
      </c>
      <c r="B350" s="28">
        <v>2.09</v>
      </c>
      <c r="C350" s="29">
        <v>2.65</v>
      </c>
      <c r="D350" s="29">
        <v>2.8</v>
      </c>
      <c r="E350" s="30">
        <v>2.8403994243895418</v>
      </c>
      <c r="F350" s="29">
        <v>2.88</v>
      </c>
      <c r="G350" s="159">
        <f t="shared" si="52"/>
        <v>2.0000000000000017E-4</v>
      </c>
      <c r="H350" s="154">
        <f t="shared" si="53"/>
        <v>4.9999999999999828E-4</v>
      </c>
      <c r="I350" s="154">
        <f t="shared" si="54"/>
        <v>6.9999999999999837E-4</v>
      </c>
      <c r="J350" s="154">
        <f t="shared" si="55"/>
        <v>7.5226056918933362E-4</v>
      </c>
      <c r="K350" s="160">
        <f t="shared" si="56"/>
        <v>8.0000000000000069E-4</v>
      </c>
      <c r="L350" s="161">
        <f t="shared" si="57"/>
        <v>9.6618357487923134E-3</v>
      </c>
      <c r="M350" s="155">
        <f t="shared" si="58"/>
        <v>1.9230769230769162E-2</v>
      </c>
      <c r="N350" s="155">
        <f t="shared" si="59"/>
        <v>2.564102564102555E-2</v>
      </c>
      <c r="O350" s="155">
        <f t="shared" si="60"/>
        <v>2.7204824769357927E-2</v>
      </c>
      <c r="P350" s="162">
        <f t="shared" si="61"/>
        <v>2.8571428571428692E-2</v>
      </c>
    </row>
    <row r="351" spans="1:16">
      <c r="A351" s="319">
        <v>44705</v>
      </c>
      <c r="B351" s="28">
        <v>2.02</v>
      </c>
      <c r="C351" s="29">
        <v>2.5</v>
      </c>
      <c r="D351" s="29">
        <v>2.66</v>
      </c>
      <c r="E351" s="30">
        <v>2.7103105718463461</v>
      </c>
      <c r="F351" s="29">
        <v>2.76</v>
      </c>
      <c r="G351" s="159">
        <f t="shared" si="52"/>
        <v>-6.9999999999999837E-4</v>
      </c>
      <c r="H351" s="154">
        <f t="shared" si="53"/>
        <v>-1.4999999999999992E-3</v>
      </c>
      <c r="I351" s="154">
        <f t="shared" si="54"/>
        <v>-1.3999999999999967E-3</v>
      </c>
      <c r="J351" s="154">
        <f t="shared" si="55"/>
        <v>-1.300888525431958E-3</v>
      </c>
      <c r="K351" s="160">
        <f t="shared" si="56"/>
        <v>-1.200000000000001E-3</v>
      </c>
      <c r="L351" s="161">
        <f t="shared" si="57"/>
        <v>-3.349282296650713E-2</v>
      </c>
      <c r="M351" s="155">
        <f t="shared" si="58"/>
        <v>-5.6603773584905648E-2</v>
      </c>
      <c r="N351" s="155">
        <f t="shared" si="59"/>
        <v>-4.9999999999999933E-2</v>
      </c>
      <c r="O351" s="155">
        <f t="shared" si="60"/>
        <v>-4.579949264394545E-2</v>
      </c>
      <c r="P351" s="162">
        <f t="shared" si="61"/>
        <v>-4.1666666666666741E-2</v>
      </c>
    </row>
    <row r="352" spans="1:16">
      <c r="A352" s="319">
        <v>44706</v>
      </c>
      <c r="B352" s="28">
        <v>2.0099999999999998</v>
      </c>
      <c r="C352" s="29">
        <v>2.48</v>
      </c>
      <c r="D352" s="29">
        <v>2.63</v>
      </c>
      <c r="E352" s="30">
        <v>2.6704619076761698</v>
      </c>
      <c r="F352" s="29">
        <v>2.71</v>
      </c>
      <c r="G352" s="159">
        <f t="shared" si="52"/>
        <v>-1.0000000000000231E-4</v>
      </c>
      <c r="H352" s="154">
        <f t="shared" si="53"/>
        <v>-2.0000000000000017E-4</v>
      </c>
      <c r="I352" s="154">
        <f t="shared" si="54"/>
        <v>-3.0000000000000247E-4</v>
      </c>
      <c r="J352" s="154">
        <f t="shared" si="55"/>
        <v>-3.9848664170176294E-4</v>
      </c>
      <c r="K352" s="160">
        <f t="shared" si="56"/>
        <v>-4.9999999999999828E-4</v>
      </c>
      <c r="L352" s="161">
        <f t="shared" si="57"/>
        <v>-4.9504950495050659E-3</v>
      </c>
      <c r="M352" s="155">
        <f t="shared" si="58"/>
        <v>-8.0000000000000071E-3</v>
      </c>
      <c r="N352" s="155">
        <f t="shared" si="59"/>
        <v>-1.1278195488721887E-2</v>
      </c>
      <c r="O352" s="155">
        <f t="shared" si="60"/>
        <v>-1.4702619169961073E-2</v>
      </c>
      <c r="P352" s="162">
        <f t="shared" si="61"/>
        <v>-1.8115942028985477E-2</v>
      </c>
    </row>
    <row r="353" spans="1:16">
      <c r="A353" s="319">
        <v>44707</v>
      </c>
      <c r="B353" s="28">
        <v>1.99</v>
      </c>
      <c r="C353" s="29">
        <v>2.46</v>
      </c>
      <c r="D353" s="29">
        <v>2.63</v>
      </c>
      <c r="E353" s="30">
        <v>2.6651618627889127</v>
      </c>
      <c r="F353" s="29">
        <v>2.7</v>
      </c>
      <c r="G353" s="159">
        <f t="shared" si="52"/>
        <v>-1.9999999999999795E-4</v>
      </c>
      <c r="H353" s="154">
        <f t="shared" si="53"/>
        <v>-2.0000000000000017E-4</v>
      </c>
      <c r="I353" s="154">
        <f t="shared" si="54"/>
        <v>0</v>
      </c>
      <c r="J353" s="154">
        <f t="shared" si="55"/>
        <v>-5.3000448872571051E-5</v>
      </c>
      <c r="K353" s="160">
        <f t="shared" si="56"/>
        <v>-9.9999999999997863E-5</v>
      </c>
      <c r="L353" s="161">
        <f t="shared" si="57"/>
        <v>-9.9502487562188602E-3</v>
      </c>
      <c r="M353" s="155">
        <f t="shared" si="58"/>
        <v>-8.0645161290322509E-3</v>
      </c>
      <c r="N353" s="155">
        <f t="shared" si="59"/>
        <v>0</v>
      </c>
      <c r="O353" s="155">
        <f t="shared" si="60"/>
        <v>-1.9846921882773483E-3</v>
      </c>
      <c r="P353" s="162">
        <f t="shared" si="61"/>
        <v>-3.6900369003689537E-3</v>
      </c>
    </row>
    <row r="354" spans="1:16">
      <c r="A354" s="319">
        <v>44708</v>
      </c>
      <c r="B354" s="28">
        <v>2.0099999999999998</v>
      </c>
      <c r="C354" s="29">
        <v>2.4700000000000002</v>
      </c>
      <c r="D354" s="29">
        <v>2.64</v>
      </c>
      <c r="E354" s="30">
        <v>2.6750488294518902</v>
      </c>
      <c r="F354" s="29">
        <v>2.71</v>
      </c>
      <c r="G354" s="159">
        <f t="shared" si="52"/>
        <v>1.9999999999999795E-4</v>
      </c>
      <c r="H354" s="154">
        <f t="shared" si="53"/>
        <v>1.0000000000000231E-4</v>
      </c>
      <c r="I354" s="154">
        <f t="shared" si="54"/>
        <v>1.0000000000000231E-4</v>
      </c>
      <c r="J354" s="154">
        <f t="shared" si="55"/>
        <v>9.8869666629775027E-5</v>
      </c>
      <c r="K354" s="160">
        <f t="shared" si="56"/>
        <v>9.9999999999997863E-5</v>
      </c>
      <c r="L354" s="161">
        <f t="shared" si="57"/>
        <v>1.0050251256281229E-2</v>
      </c>
      <c r="M354" s="155">
        <f t="shared" si="58"/>
        <v>4.0650406504065817E-3</v>
      </c>
      <c r="N354" s="155">
        <f t="shared" si="59"/>
        <v>3.8022813688214363E-3</v>
      </c>
      <c r="O354" s="155">
        <f t="shared" si="60"/>
        <v>3.7097058910453562E-3</v>
      </c>
      <c r="P354" s="162">
        <f t="shared" si="61"/>
        <v>3.7037037037035425E-3</v>
      </c>
    </row>
    <row r="355" spans="1:16">
      <c r="A355" s="319">
        <v>44712</v>
      </c>
      <c r="B355" s="28">
        <v>2.08</v>
      </c>
      <c r="C355" s="29">
        <v>2.5299999999999998</v>
      </c>
      <c r="D355" s="29">
        <v>2.71</v>
      </c>
      <c r="E355" s="30">
        <v>2.7604869176971172</v>
      </c>
      <c r="F355" s="29">
        <v>2.81</v>
      </c>
      <c r="G355" s="159">
        <f t="shared" si="52"/>
        <v>7.0000000000000281E-4</v>
      </c>
      <c r="H355" s="154">
        <f t="shared" si="53"/>
        <v>5.9999999999999604E-4</v>
      </c>
      <c r="I355" s="154">
        <f t="shared" si="54"/>
        <v>6.9999999999999837E-4</v>
      </c>
      <c r="J355" s="154">
        <f t="shared" si="55"/>
        <v>8.5438088245227029E-4</v>
      </c>
      <c r="K355" s="160">
        <f t="shared" si="56"/>
        <v>1.0000000000000009E-3</v>
      </c>
      <c r="L355" s="161">
        <f t="shared" si="57"/>
        <v>3.4825870646766344E-2</v>
      </c>
      <c r="M355" s="155">
        <f t="shared" si="58"/>
        <v>2.4291497975708287E-2</v>
      </c>
      <c r="N355" s="155">
        <f t="shared" si="59"/>
        <v>2.6515151515151381E-2</v>
      </c>
      <c r="O355" s="155">
        <f t="shared" si="60"/>
        <v>3.1938889228699807E-2</v>
      </c>
      <c r="P355" s="162">
        <f t="shared" si="61"/>
        <v>3.6900369003689981E-2</v>
      </c>
    </row>
    <row r="356" spans="1:16">
      <c r="A356" s="319">
        <v>44713</v>
      </c>
      <c r="B356" s="28">
        <v>2.16</v>
      </c>
      <c r="C356" s="29">
        <v>2.66</v>
      </c>
      <c r="D356" s="29">
        <v>2.84</v>
      </c>
      <c r="E356" s="30">
        <v>2.89042706968364</v>
      </c>
      <c r="F356" s="29">
        <v>2.94</v>
      </c>
      <c r="G356" s="159">
        <f t="shared" si="52"/>
        <v>8.0000000000000069E-4</v>
      </c>
      <c r="H356" s="154">
        <f t="shared" si="53"/>
        <v>1.3000000000000034E-3</v>
      </c>
      <c r="I356" s="154">
        <f t="shared" si="54"/>
        <v>1.2999999999999989E-3</v>
      </c>
      <c r="J356" s="154">
        <f t="shared" si="55"/>
        <v>1.2994015198652287E-3</v>
      </c>
      <c r="K356" s="160">
        <f t="shared" si="56"/>
        <v>1.2999999999999989E-3</v>
      </c>
      <c r="L356" s="161">
        <f t="shared" si="57"/>
        <v>3.8461538461538547E-2</v>
      </c>
      <c r="M356" s="155">
        <f t="shared" si="58"/>
        <v>5.1383399209486313E-2</v>
      </c>
      <c r="N356" s="155">
        <f t="shared" si="59"/>
        <v>4.7970479704797064E-2</v>
      </c>
      <c r="O356" s="155">
        <f t="shared" si="60"/>
        <v>4.7071460891009442E-2</v>
      </c>
      <c r="P356" s="162">
        <f t="shared" si="61"/>
        <v>4.6263345195729499E-2</v>
      </c>
    </row>
    <row r="357" spans="1:16">
      <c r="A357" s="319">
        <v>44714</v>
      </c>
      <c r="B357" s="28">
        <v>2.15</v>
      </c>
      <c r="C357" s="29">
        <v>2.65</v>
      </c>
      <c r="D357" s="29">
        <v>2.83</v>
      </c>
      <c r="E357" s="30">
        <v>2.8751183404613267</v>
      </c>
      <c r="F357" s="29">
        <v>2.92</v>
      </c>
      <c r="G357" s="159">
        <f t="shared" si="52"/>
        <v>-1.0000000000000231E-4</v>
      </c>
      <c r="H357" s="154">
        <f t="shared" si="53"/>
        <v>-1.0000000000000231E-4</v>
      </c>
      <c r="I357" s="154">
        <f t="shared" si="54"/>
        <v>-9.9999999999997863E-5</v>
      </c>
      <c r="J357" s="154">
        <f t="shared" si="55"/>
        <v>-1.53087292223133E-4</v>
      </c>
      <c r="K357" s="160">
        <f t="shared" si="56"/>
        <v>-2.0000000000000017E-4</v>
      </c>
      <c r="L357" s="161">
        <f t="shared" si="57"/>
        <v>-4.6296296296297612E-3</v>
      </c>
      <c r="M357" s="155">
        <f t="shared" si="58"/>
        <v>-3.7593984962407401E-3</v>
      </c>
      <c r="N357" s="155">
        <f t="shared" si="59"/>
        <v>-3.5211267605632646E-3</v>
      </c>
      <c r="O357" s="155">
        <f t="shared" si="60"/>
        <v>-5.2963554704007487E-3</v>
      </c>
      <c r="P357" s="162">
        <f t="shared" si="61"/>
        <v>-6.8027210884353817E-3</v>
      </c>
    </row>
    <row r="358" spans="1:16">
      <c r="A358" s="319">
        <v>44715</v>
      </c>
      <c r="B358" s="28">
        <v>2.1800000000000002</v>
      </c>
      <c r="C358" s="29">
        <v>2.66</v>
      </c>
      <c r="D358" s="29">
        <v>2.87</v>
      </c>
      <c r="E358" s="30">
        <v>2.9104321851004666</v>
      </c>
      <c r="F358" s="29">
        <v>2.95</v>
      </c>
      <c r="G358" s="159">
        <f t="shared" si="52"/>
        <v>3.0000000000000247E-4</v>
      </c>
      <c r="H358" s="154">
        <f t="shared" si="53"/>
        <v>1.0000000000000231E-4</v>
      </c>
      <c r="I358" s="154">
        <f t="shared" si="54"/>
        <v>4.0000000000000034E-4</v>
      </c>
      <c r="J358" s="154">
        <f t="shared" si="55"/>
        <v>3.5313844639139891E-4</v>
      </c>
      <c r="K358" s="160">
        <f t="shared" si="56"/>
        <v>3.0000000000000247E-4</v>
      </c>
      <c r="L358" s="161">
        <f t="shared" si="57"/>
        <v>1.3953488372093092E-2</v>
      </c>
      <c r="M358" s="155">
        <f t="shared" si="58"/>
        <v>3.7735849056603765E-3</v>
      </c>
      <c r="N358" s="155">
        <f t="shared" si="59"/>
        <v>1.4134275618374659E-2</v>
      </c>
      <c r="O358" s="155">
        <f t="shared" si="60"/>
        <v>1.2282570822275574E-2</v>
      </c>
      <c r="P358" s="162">
        <f t="shared" si="61"/>
        <v>1.0273972602739878E-2</v>
      </c>
    </row>
    <row r="359" spans="1:16">
      <c r="A359" s="319">
        <v>44718</v>
      </c>
      <c r="B359" s="28">
        <v>2.23</v>
      </c>
      <c r="C359" s="29">
        <v>2.73</v>
      </c>
      <c r="D359" s="29">
        <v>2.94</v>
      </c>
      <c r="E359" s="30">
        <v>2.9850786492547114</v>
      </c>
      <c r="F359" s="29">
        <v>3.03</v>
      </c>
      <c r="G359" s="159">
        <f t="shared" si="52"/>
        <v>4.9999999999999828E-4</v>
      </c>
      <c r="H359" s="154">
        <f t="shared" si="53"/>
        <v>6.9999999999999837E-4</v>
      </c>
      <c r="I359" s="154">
        <f t="shared" si="54"/>
        <v>6.9999999999999837E-4</v>
      </c>
      <c r="J359" s="154">
        <f t="shared" si="55"/>
        <v>7.4646464154244803E-4</v>
      </c>
      <c r="K359" s="160">
        <f t="shared" si="56"/>
        <v>7.9999999999999624E-4</v>
      </c>
      <c r="L359" s="161">
        <f t="shared" si="57"/>
        <v>2.2935779816513735E-2</v>
      </c>
      <c r="M359" s="155">
        <f t="shared" si="58"/>
        <v>2.631578947368407E-2</v>
      </c>
      <c r="N359" s="155">
        <f t="shared" si="59"/>
        <v>2.4390243902439046E-2</v>
      </c>
      <c r="O359" s="155">
        <f t="shared" si="60"/>
        <v>2.5647896740692566E-2</v>
      </c>
      <c r="P359" s="162">
        <f t="shared" si="61"/>
        <v>2.7118644067796405E-2</v>
      </c>
    </row>
    <row r="360" spans="1:16">
      <c r="A360" s="319">
        <v>44719</v>
      </c>
      <c r="B360" s="28">
        <v>2.2599999999999998</v>
      </c>
      <c r="C360" s="29">
        <v>2.75</v>
      </c>
      <c r="D360" s="29">
        <v>2.91</v>
      </c>
      <c r="E360" s="30">
        <v>2.9504497237264515</v>
      </c>
      <c r="F360" s="29">
        <v>2.99</v>
      </c>
      <c r="G360" s="159">
        <f t="shared" si="52"/>
        <v>2.9999999999999802E-4</v>
      </c>
      <c r="H360" s="154">
        <f t="shared" si="53"/>
        <v>2.0000000000000017E-4</v>
      </c>
      <c r="I360" s="154">
        <f t="shared" si="54"/>
        <v>-2.9999999999999802E-4</v>
      </c>
      <c r="J360" s="154">
        <f t="shared" si="55"/>
        <v>-3.4628925528259915E-4</v>
      </c>
      <c r="K360" s="160">
        <f t="shared" si="56"/>
        <v>-3.999999999999959E-4</v>
      </c>
      <c r="L360" s="161">
        <f t="shared" si="57"/>
        <v>1.3452914798206095E-2</v>
      </c>
      <c r="M360" s="155">
        <f t="shared" si="58"/>
        <v>7.3260073260073E-3</v>
      </c>
      <c r="N360" s="155">
        <f t="shared" si="59"/>
        <v>-1.0204081632652962E-2</v>
      </c>
      <c r="O360" s="155">
        <f t="shared" si="60"/>
        <v>-1.1600674420054524E-2</v>
      </c>
      <c r="P360" s="162">
        <f t="shared" si="61"/>
        <v>-1.3201320132013028E-2</v>
      </c>
    </row>
    <row r="361" spans="1:16">
      <c r="A361" s="319">
        <v>44720</v>
      </c>
      <c r="B361" s="28">
        <v>2.29</v>
      </c>
      <c r="C361" s="29">
        <v>2.78</v>
      </c>
      <c r="D361" s="29">
        <v>2.94</v>
      </c>
      <c r="E361" s="30">
        <v>2.9853054785600537</v>
      </c>
      <c r="F361" s="29">
        <v>3.03</v>
      </c>
      <c r="G361" s="159">
        <f t="shared" si="52"/>
        <v>3.0000000000000247E-4</v>
      </c>
      <c r="H361" s="154">
        <f t="shared" si="53"/>
        <v>2.9999999999999802E-4</v>
      </c>
      <c r="I361" s="154">
        <f t="shared" si="54"/>
        <v>2.9999999999999802E-4</v>
      </c>
      <c r="J361" s="154">
        <f t="shared" si="55"/>
        <v>3.4855754833602149E-4</v>
      </c>
      <c r="K361" s="160">
        <f t="shared" si="56"/>
        <v>3.999999999999959E-4</v>
      </c>
      <c r="L361" s="161">
        <f t="shared" si="57"/>
        <v>1.3274336283185972E-2</v>
      </c>
      <c r="M361" s="155">
        <f t="shared" si="58"/>
        <v>1.0909090909090757E-2</v>
      </c>
      <c r="N361" s="155">
        <f t="shared" si="59"/>
        <v>1.0309278350515427E-2</v>
      </c>
      <c r="O361" s="155">
        <f t="shared" si="60"/>
        <v>1.1813709128240646E-2</v>
      </c>
      <c r="P361" s="162">
        <f t="shared" si="61"/>
        <v>1.3377926421404451E-2</v>
      </c>
    </row>
    <row r="362" spans="1:16">
      <c r="A362" s="319">
        <v>44721</v>
      </c>
      <c r="B362" s="28">
        <v>2.35</v>
      </c>
      <c r="C362" s="29">
        <v>2.83</v>
      </c>
      <c r="D362" s="29">
        <v>2.99</v>
      </c>
      <c r="E362" s="30">
        <v>3.0302586236602584</v>
      </c>
      <c r="F362" s="29">
        <v>3.07</v>
      </c>
      <c r="G362" s="159">
        <f t="shared" si="52"/>
        <v>6.0000000000000049E-4</v>
      </c>
      <c r="H362" s="154">
        <f t="shared" si="53"/>
        <v>5.0000000000000261E-4</v>
      </c>
      <c r="I362" s="154">
        <f t="shared" si="54"/>
        <v>5.0000000000000261E-4</v>
      </c>
      <c r="J362" s="154">
        <f t="shared" si="55"/>
        <v>4.4953145100204759E-4</v>
      </c>
      <c r="K362" s="160">
        <f t="shared" si="56"/>
        <v>4.0000000000000034E-4</v>
      </c>
      <c r="L362" s="161">
        <f t="shared" si="57"/>
        <v>2.6200873362445476E-2</v>
      </c>
      <c r="M362" s="155">
        <f t="shared" si="58"/>
        <v>1.7985611510791477E-2</v>
      </c>
      <c r="N362" s="155">
        <f t="shared" si="59"/>
        <v>1.7006802721088565E-2</v>
      </c>
      <c r="O362" s="155">
        <f t="shared" si="60"/>
        <v>1.5058139082599897E-2</v>
      </c>
      <c r="P362" s="162">
        <f t="shared" si="61"/>
        <v>1.3201320132013139E-2</v>
      </c>
    </row>
    <row r="363" spans="1:16">
      <c r="A363" s="319">
        <v>44722</v>
      </c>
      <c r="B363" s="28">
        <v>2.58</v>
      </c>
      <c r="C363" s="29">
        <v>3.06</v>
      </c>
      <c r="D363" s="29">
        <v>3.21</v>
      </c>
      <c r="E363" s="30">
        <v>3.2301535440049109</v>
      </c>
      <c r="F363" s="29">
        <v>3.25</v>
      </c>
      <c r="G363" s="159">
        <f t="shared" si="52"/>
        <v>2.3E-3</v>
      </c>
      <c r="H363" s="154">
        <f t="shared" si="53"/>
        <v>2.3E-3</v>
      </c>
      <c r="I363" s="154">
        <f t="shared" si="54"/>
        <v>2.1999999999999975E-3</v>
      </c>
      <c r="J363" s="154">
        <f t="shared" si="55"/>
        <v>1.9989492034465251E-3</v>
      </c>
      <c r="K363" s="160">
        <f t="shared" si="56"/>
        <v>1.8000000000000017E-3</v>
      </c>
      <c r="L363" s="161">
        <f t="shared" si="57"/>
        <v>9.7872340425531945E-2</v>
      </c>
      <c r="M363" s="155">
        <f t="shared" si="58"/>
        <v>8.1272084805653622E-2</v>
      </c>
      <c r="N363" s="155">
        <f t="shared" si="59"/>
        <v>7.3578595317725703E-2</v>
      </c>
      <c r="O363" s="155">
        <f t="shared" si="60"/>
        <v>6.5966290396427985E-2</v>
      </c>
      <c r="P363" s="162">
        <f t="shared" si="61"/>
        <v>5.8631921824104261E-2</v>
      </c>
    </row>
    <row r="364" spans="1:16">
      <c r="A364" s="319">
        <v>44725</v>
      </c>
      <c r="B364" s="28">
        <v>2.89</v>
      </c>
      <c r="C364" s="29">
        <v>3.4</v>
      </c>
      <c r="D364" s="29">
        <v>3.56</v>
      </c>
      <c r="E364" s="30">
        <v>3.5600448420451611</v>
      </c>
      <c r="F364" s="29">
        <v>3.56</v>
      </c>
      <c r="G364" s="159">
        <f t="shared" si="52"/>
        <v>3.1000000000000003E-3</v>
      </c>
      <c r="H364" s="154">
        <f t="shared" si="53"/>
        <v>3.3999999999999985E-3</v>
      </c>
      <c r="I364" s="154">
        <f t="shared" si="54"/>
        <v>3.5000000000000009E-3</v>
      </c>
      <c r="J364" s="154">
        <f t="shared" si="55"/>
        <v>3.298912980402502E-3</v>
      </c>
      <c r="K364" s="160">
        <f t="shared" si="56"/>
        <v>3.1000000000000003E-3</v>
      </c>
      <c r="L364" s="161">
        <f t="shared" si="57"/>
        <v>0.12015503875968991</v>
      </c>
      <c r="M364" s="155">
        <f t="shared" si="58"/>
        <v>0.11111111111111116</v>
      </c>
      <c r="N364" s="155">
        <f t="shared" si="59"/>
        <v>0.10903426791277271</v>
      </c>
      <c r="O364" s="155">
        <f t="shared" si="60"/>
        <v>0.10212867393022873</v>
      </c>
      <c r="P364" s="162">
        <f t="shared" si="61"/>
        <v>9.5384615384615401E-2</v>
      </c>
    </row>
    <row r="365" spans="1:16">
      <c r="A365" s="319">
        <v>44726</v>
      </c>
      <c r="B365" s="28">
        <v>3.15</v>
      </c>
      <c r="C365" s="29">
        <v>3.45</v>
      </c>
      <c r="D365" s="29">
        <v>3.6</v>
      </c>
      <c r="E365" s="30">
        <v>3.6054840628302123</v>
      </c>
      <c r="F365" s="29">
        <v>3.61</v>
      </c>
      <c r="G365" s="159">
        <f t="shared" si="52"/>
        <v>2.5999999999999977E-3</v>
      </c>
      <c r="H365" s="154">
        <f t="shared" si="53"/>
        <v>5.0000000000000261E-4</v>
      </c>
      <c r="I365" s="154">
        <f t="shared" si="54"/>
        <v>4.0000000000000034E-4</v>
      </c>
      <c r="J365" s="154">
        <f t="shared" si="55"/>
        <v>4.543922078505114E-4</v>
      </c>
      <c r="K365" s="160">
        <f t="shared" si="56"/>
        <v>4.9999999999999828E-4</v>
      </c>
      <c r="L365" s="161">
        <f t="shared" si="57"/>
        <v>8.9965397923875257E-2</v>
      </c>
      <c r="M365" s="155">
        <f t="shared" si="58"/>
        <v>1.4705882352941346E-2</v>
      </c>
      <c r="N365" s="155">
        <f t="shared" si="59"/>
        <v>1.1235955056179803E-2</v>
      </c>
      <c r="O365" s="155">
        <f t="shared" si="60"/>
        <v>1.2763665291066317E-2</v>
      </c>
      <c r="P365" s="162">
        <f t="shared" si="61"/>
        <v>1.4044943820224587E-2</v>
      </c>
    </row>
    <row r="366" spans="1:16">
      <c r="A366" s="319">
        <v>44727</v>
      </c>
      <c r="B366" s="28">
        <v>2.93</v>
      </c>
      <c r="C366" s="29">
        <v>3.2</v>
      </c>
      <c r="D366" s="29">
        <v>3.35</v>
      </c>
      <c r="E366" s="30">
        <v>3.3650660118474982</v>
      </c>
      <c r="F366" s="29">
        <v>3.38</v>
      </c>
      <c r="G366" s="159">
        <f t="shared" si="52"/>
        <v>-2.1999999999999975E-3</v>
      </c>
      <c r="H366" s="154">
        <f t="shared" si="53"/>
        <v>-2.5000000000000001E-3</v>
      </c>
      <c r="I366" s="154">
        <f t="shared" si="54"/>
        <v>-2.5000000000000001E-3</v>
      </c>
      <c r="J366" s="154">
        <f t="shared" si="55"/>
        <v>-2.4041805098271407E-3</v>
      </c>
      <c r="K366" s="160">
        <f t="shared" si="56"/>
        <v>-2.3E-3</v>
      </c>
      <c r="L366" s="161">
        <f t="shared" si="57"/>
        <v>-6.9841269841269815E-2</v>
      </c>
      <c r="M366" s="155">
        <f t="shared" si="58"/>
        <v>-7.2463768115942018E-2</v>
      </c>
      <c r="N366" s="155">
        <f t="shared" si="59"/>
        <v>-6.944444444444442E-2</v>
      </c>
      <c r="O366" s="155">
        <f t="shared" si="60"/>
        <v>-6.6681213061303035E-2</v>
      </c>
      <c r="P366" s="162">
        <f t="shared" si="61"/>
        <v>-6.3711911357340667E-2</v>
      </c>
    </row>
    <row r="367" spans="1:16">
      <c r="A367" s="319">
        <v>44728</v>
      </c>
      <c r="B367" s="28">
        <v>2.88</v>
      </c>
      <c r="C367" s="29">
        <v>3.14</v>
      </c>
      <c r="D367" s="29">
        <v>3.33</v>
      </c>
      <c r="E367" s="30">
        <v>3.3401279034250382</v>
      </c>
      <c r="F367" s="29">
        <v>3.35</v>
      </c>
      <c r="G367" s="159">
        <f t="shared" si="52"/>
        <v>-5.0000000000000261E-4</v>
      </c>
      <c r="H367" s="154">
        <f t="shared" si="53"/>
        <v>-6.0000000000000049E-4</v>
      </c>
      <c r="I367" s="154">
        <f t="shared" si="54"/>
        <v>-2.0000000000000017E-4</v>
      </c>
      <c r="J367" s="154">
        <f t="shared" si="55"/>
        <v>-2.4938108422460024E-4</v>
      </c>
      <c r="K367" s="160">
        <f t="shared" si="56"/>
        <v>-2.9999999999999802E-4</v>
      </c>
      <c r="L367" s="161">
        <f t="shared" si="57"/>
        <v>-1.7064846416382395E-2</v>
      </c>
      <c r="M367" s="155">
        <f t="shared" si="58"/>
        <v>-1.8750000000000044E-2</v>
      </c>
      <c r="N367" s="155">
        <f t="shared" si="59"/>
        <v>-5.9701492537312939E-3</v>
      </c>
      <c r="O367" s="155">
        <f t="shared" si="60"/>
        <v>-7.4108823822949255E-3</v>
      </c>
      <c r="P367" s="162">
        <f t="shared" si="61"/>
        <v>-8.8757396449703485E-3</v>
      </c>
    </row>
    <row r="368" spans="1:16">
      <c r="A368" s="319">
        <v>44729</v>
      </c>
      <c r="B368" s="28">
        <v>2.86</v>
      </c>
      <c r="C368" s="29">
        <v>3.17</v>
      </c>
      <c r="D368" s="29">
        <v>3.35</v>
      </c>
      <c r="E368" s="30">
        <v>3.3453265223303252</v>
      </c>
      <c r="F368" s="29">
        <v>3.34</v>
      </c>
      <c r="G368" s="159">
        <f t="shared" si="52"/>
        <v>-2.0000000000000017E-4</v>
      </c>
      <c r="H368" s="154">
        <f t="shared" si="53"/>
        <v>2.9999999999999802E-4</v>
      </c>
      <c r="I368" s="154">
        <f t="shared" si="54"/>
        <v>2.0000000000000017E-4</v>
      </c>
      <c r="J368" s="154">
        <f t="shared" si="55"/>
        <v>5.198618905287056E-5</v>
      </c>
      <c r="K368" s="160">
        <f t="shared" si="56"/>
        <v>-1.0000000000000231E-4</v>
      </c>
      <c r="L368" s="161">
        <f t="shared" si="57"/>
        <v>-6.9444444444444198E-3</v>
      </c>
      <c r="M368" s="155">
        <f t="shared" si="58"/>
        <v>9.5541401273884219E-3</v>
      </c>
      <c r="N368" s="155">
        <f t="shared" si="59"/>
        <v>6.0060060060060927E-3</v>
      </c>
      <c r="O368" s="155">
        <f t="shared" si="60"/>
        <v>1.5564131241669887E-3</v>
      </c>
      <c r="P368" s="162">
        <f t="shared" si="61"/>
        <v>-2.9850746268657025E-3</v>
      </c>
    </row>
    <row r="369" spans="1:16">
      <c r="A369" s="319">
        <v>44733</v>
      </c>
      <c r="B369" s="28">
        <v>2.92</v>
      </c>
      <c r="C369" s="29">
        <v>3.21</v>
      </c>
      <c r="D369" s="29">
        <v>3.35</v>
      </c>
      <c r="E369" s="30">
        <v>3.3652443855240479</v>
      </c>
      <c r="F369" s="29">
        <v>3.38</v>
      </c>
      <c r="G369" s="159">
        <f t="shared" si="52"/>
        <v>6.0000000000000049E-4</v>
      </c>
      <c r="H369" s="154">
        <f t="shared" si="53"/>
        <v>4.0000000000000034E-4</v>
      </c>
      <c r="I369" s="154">
        <f t="shared" si="54"/>
        <v>0</v>
      </c>
      <c r="J369" s="154">
        <f t="shared" si="55"/>
        <v>1.9917863193722685E-4</v>
      </c>
      <c r="K369" s="160">
        <f t="shared" si="56"/>
        <v>4.0000000000000034E-4</v>
      </c>
      <c r="L369" s="161">
        <f t="shared" si="57"/>
        <v>2.0979020979021046E-2</v>
      </c>
      <c r="M369" s="155">
        <f t="shared" si="58"/>
        <v>1.2618296529968376E-2</v>
      </c>
      <c r="N369" s="155">
        <f t="shared" si="59"/>
        <v>0</v>
      </c>
      <c r="O369" s="155">
        <f t="shared" si="60"/>
        <v>5.9539369507788376E-3</v>
      </c>
      <c r="P369" s="162">
        <f t="shared" si="61"/>
        <v>1.1976047904191711E-2</v>
      </c>
    </row>
    <row r="370" spans="1:16">
      <c r="A370" s="319">
        <v>44734</v>
      </c>
      <c r="B370" s="28">
        <v>2.79</v>
      </c>
      <c r="C370" s="29">
        <v>3.06</v>
      </c>
      <c r="D370" s="29">
        <v>3.2</v>
      </c>
      <c r="E370" s="30">
        <v>3.2104017559095372</v>
      </c>
      <c r="F370" s="29">
        <v>3.22</v>
      </c>
      <c r="G370" s="159">
        <f t="shared" si="52"/>
        <v>-1.2999999999999989E-3</v>
      </c>
      <c r="H370" s="154">
        <f t="shared" si="53"/>
        <v>-1.4999999999999992E-3</v>
      </c>
      <c r="I370" s="154">
        <f t="shared" si="54"/>
        <v>-1.4999999999999992E-3</v>
      </c>
      <c r="J370" s="154">
        <f t="shared" si="55"/>
        <v>-1.5484262961451068E-3</v>
      </c>
      <c r="K370" s="160">
        <f t="shared" si="56"/>
        <v>-1.599999999999997E-3</v>
      </c>
      <c r="L370" s="161">
        <f t="shared" si="57"/>
        <v>-4.4520547945205435E-2</v>
      </c>
      <c r="M370" s="155">
        <f t="shared" si="58"/>
        <v>-4.6728971962616828E-2</v>
      </c>
      <c r="N370" s="155">
        <f t="shared" si="59"/>
        <v>-4.4776119402985093E-2</v>
      </c>
      <c r="O370" s="155">
        <f t="shared" si="60"/>
        <v>-4.6012298625497272E-2</v>
      </c>
      <c r="P370" s="162">
        <f t="shared" si="61"/>
        <v>-4.7337278106508784E-2</v>
      </c>
    </row>
    <row r="371" spans="1:16">
      <c r="A371" s="319">
        <v>44735</v>
      </c>
      <c r="B371" s="28">
        <v>2.78</v>
      </c>
      <c r="C371" s="29">
        <v>3.01</v>
      </c>
      <c r="D371" s="29">
        <v>3.12</v>
      </c>
      <c r="E371" s="30">
        <v>3.1302615331078907</v>
      </c>
      <c r="F371" s="29">
        <v>3.14</v>
      </c>
      <c r="G371" s="159">
        <f t="shared" si="52"/>
        <v>-1.0000000000000231E-4</v>
      </c>
      <c r="H371" s="154">
        <f t="shared" si="53"/>
        <v>-5.0000000000000261E-4</v>
      </c>
      <c r="I371" s="154">
        <f t="shared" si="54"/>
        <v>-8.0000000000000069E-4</v>
      </c>
      <c r="J371" s="154">
        <f t="shared" si="55"/>
        <v>-8.0140222801646562E-4</v>
      </c>
      <c r="K371" s="160">
        <f t="shared" si="56"/>
        <v>-8.0000000000000069E-4</v>
      </c>
      <c r="L371" s="161">
        <f t="shared" si="57"/>
        <v>-3.5842293906810374E-3</v>
      </c>
      <c r="M371" s="155">
        <f t="shared" si="58"/>
        <v>-1.6339869281045805E-2</v>
      </c>
      <c r="N371" s="155">
        <f t="shared" si="59"/>
        <v>-2.5000000000000022E-2</v>
      </c>
      <c r="O371" s="155">
        <f t="shared" si="60"/>
        <v>-2.4962677226963437E-2</v>
      </c>
      <c r="P371" s="162">
        <f t="shared" si="61"/>
        <v>-2.4844720496894457E-2</v>
      </c>
    </row>
    <row r="372" spans="1:16">
      <c r="A372" s="319">
        <v>44736</v>
      </c>
      <c r="B372" s="28">
        <v>2.83</v>
      </c>
      <c r="C372" s="29">
        <v>3.04</v>
      </c>
      <c r="D372" s="29">
        <v>3.13</v>
      </c>
      <c r="E372" s="30">
        <v>3.1553357001751579</v>
      </c>
      <c r="F372" s="29">
        <v>3.18</v>
      </c>
      <c r="G372" s="159">
        <f t="shared" si="52"/>
        <v>5.0000000000000261E-4</v>
      </c>
      <c r="H372" s="154">
        <f t="shared" si="53"/>
        <v>3.0000000000000247E-4</v>
      </c>
      <c r="I372" s="154">
        <f t="shared" si="54"/>
        <v>9.9999999999997863E-5</v>
      </c>
      <c r="J372" s="154">
        <f t="shared" si="55"/>
        <v>2.5074167067267171E-4</v>
      </c>
      <c r="K372" s="160">
        <f t="shared" si="56"/>
        <v>4.0000000000000034E-4</v>
      </c>
      <c r="L372" s="161">
        <f t="shared" si="57"/>
        <v>1.7985611510791477E-2</v>
      </c>
      <c r="M372" s="155">
        <f t="shared" si="58"/>
        <v>9.9667774086380501E-3</v>
      </c>
      <c r="N372" s="155">
        <f t="shared" si="59"/>
        <v>3.2051282051281937E-3</v>
      </c>
      <c r="O372" s="155">
        <f t="shared" si="60"/>
        <v>8.0102466845228815E-3</v>
      </c>
      <c r="P372" s="162">
        <f t="shared" si="61"/>
        <v>1.2738853503184711E-2</v>
      </c>
    </row>
    <row r="373" spans="1:16">
      <c r="A373" s="319">
        <v>44739</v>
      </c>
      <c r="B373" s="28">
        <v>2.89</v>
      </c>
      <c r="C373" s="29">
        <v>3.08</v>
      </c>
      <c r="D373" s="29">
        <v>3.21</v>
      </c>
      <c r="E373" s="30">
        <v>3.2253687245331362</v>
      </c>
      <c r="F373" s="29">
        <v>3.24</v>
      </c>
      <c r="G373" s="159">
        <f t="shared" si="52"/>
        <v>6.0000000000000049E-4</v>
      </c>
      <c r="H373" s="154">
        <f t="shared" si="53"/>
        <v>4.0000000000000034E-4</v>
      </c>
      <c r="I373" s="154">
        <f t="shared" si="54"/>
        <v>8.0000000000000069E-4</v>
      </c>
      <c r="J373" s="154">
        <f t="shared" si="55"/>
        <v>7.0033024357978317E-4</v>
      </c>
      <c r="K373" s="160">
        <f t="shared" si="56"/>
        <v>6.0000000000000049E-4</v>
      </c>
      <c r="L373" s="161">
        <f t="shared" si="57"/>
        <v>2.1201413427561766E-2</v>
      </c>
      <c r="M373" s="155">
        <f t="shared" si="58"/>
        <v>1.3157894736842035E-2</v>
      </c>
      <c r="N373" s="155">
        <f t="shared" si="59"/>
        <v>2.5559105431310014E-2</v>
      </c>
      <c r="O373" s="155">
        <f t="shared" si="60"/>
        <v>2.2195110445487831E-2</v>
      </c>
      <c r="P373" s="162">
        <f t="shared" si="61"/>
        <v>1.8867924528301883E-2</v>
      </c>
    </row>
    <row r="374" spans="1:16">
      <c r="A374" s="319">
        <v>44740</v>
      </c>
      <c r="B374" s="28">
        <v>2.88</v>
      </c>
      <c r="C374" s="29">
        <v>3.1</v>
      </c>
      <c r="D374" s="29">
        <v>3.21</v>
      </c>
      <c r="E374" s="30">
        <v>3.2300381984185798</v>
      </c>
      <c r="F374" s="29">
        <v>3.25</v>
      </c>
      <c r="G374" s="159">
        <f t="shared" si="52"/>
        <v>-1.0000000000000231E-4</v>
      </c>
      <c r="H374" s="154">
        <f t="shared" si="53"/>
        <v>2.0000000000000017E-4</v>
      </c>
      <c r="I374" s="154">
        <f t="shared" si="54"/>
        <v>0</v>
      </c>
      <c r="J374" s="154">
        <f t="shared" si="55"/>
        <v>4.6694738854435869E-5</v>
      </c>
      <c r="K374" s="160">
        <f t="shared" si="56"/>
        <v>9.9999999999997863E-5</v>
      </c>
      <c r="L374" s="161">
        <f t="shared" si="57"/>
        <v>-3.4602076124568004E-3</v>
      </c>
      <c r="M374" s="155">
        <f t="shared" si="58"/>
        <v>6.4935064935065512E-3</v>
      </c>
      <c r="N374" s="155">
        <f t="shared" si="59"/>
        <v>0</v>
      </c>
      <c r="O374" s="155">
        <f t="shared" si="60"/>
        <v>1.4477333552365135E-3</v>
      </c>
      <c r="P374" s="162">
        <f t="shared" si="61"/>
        <v>3.0864197530864335E-3</v>
      </c>
    </row>
    <row r="375" spans="1:16">
      <c r="A375" s="319">
        <v>44741</v>
      </c>
      <c r="B375" s="28">
        <v>2.88</v>
      </c>
      <c r="C375" s="29">
        <v>3.06</v>
      </c>
      <c r="D375" s="29">
        <v>3.13</v>
      </c>
      <c r="E375" s="30">
        <v>3.1401190915868402</v>
      </c>
      <c r="F375" s="29">
        <v>3.15</v>
      </c>
      <c r="G375" s="159">
        <f t="shared" si="52"/>
        <v>0</v>
      </c>
      <c r="H375" s="154">
        <f t="shared" si="53"/>
        <v>-4.0000000000000034E-4</v>
      </c>
      <c r="I375" s="154">
        <f t="shared" si="54"/>
        <v>-8.0000000000000069E-4</v>
      </c>
      <c r="J375" s="154">
        <f t="shared" si="55"/>
        <v>-8.9919106831739539E-4</v>
      </c>
      <c r="K375" s="160">
        <f t="shared" si="56"/>
        <v>-1.0000000000000009E-3</v>
      </c>
      <c r="L375" s="161">
        <f t="shared" si="57"/>
        <v>0</v>
      </c>
      <c r="M375" s="155">
        <f t="shared" si="58"/>
        <v>-1.2903225806451646E-2</v>
      </c>
      <c r="N375" s="155">
        <f t="shared" si="59"/>
        <v>-2.4922118380062308E-2</v>
      </c>
      <c r="O375" s="155">
        <f t="shared" si="60"/>
        <v>-2.7838403544504176E-2</v>
      </c>
      <c r="P375" s="162">
        <f t="shared" si="61"/>
        <v>-3.0769230769230771E-2</v>
      </c>
    </row>
    <row r="376" spans="1:16">
      <c r="A376" s="319">
        <v>44742</v>
      </c>
      <c r="B376" s="28">
        <v>2.8</v>
      </c>
      <c r="C376" s="29">
        <v>2.92</v>
      </c>
      <c r="D376" s="29">
        <v>2.99</v>
      </c>
      <c r="E376" s="30">
        <v>3.0000330373618773</v>
      </c>
      <c r="F376" s="29">
        <v>3.01</v>
      </c>
      <c r="G376" s="159">
        <f t="shared" si="52"/>
        <v>-8.0000000000000069E-4</v>
      </c>
      <c r="H376" s="154">
        <f t="shared" si="53"/>
        <v>-1.4000000000000013E-3</v>
      </c>
      <c r="I376" s="154">
        <f t="shared" si="54"/>
        <v>-1.3999999999999967E-3</v>
      </c>
      <c r="J376" s="154">
        <f t="shared" si="55"/>
        <v>-1.400860542249629E-3</v>
      </c>
      <c r="K376" s="160">
        <f t="shared" si="56"/>
        <v>-1.4000000000000013E-3</v>
      </c>
      <c r="L376" s="161">
        <f t="shared" si="57"/>
        <v>-2.777777777777779E-2</v>
      </c>
      <c r="M376" s="155">
        <f t="shared" si="58"/>
        <v>-4.5751633986928164E-2</v>
      </c>
      <c r="N376" s="155">
        <f t="shared" si="59"/>
        <v>-4.4728434504792247E-2</v>
      </c>
      <c r="O376" s="155">
        <f t="shared" si="60"/>
        <v>-4.4611701065825238E-2</v>
      </c>
      <c r="P376" s="162">
        <f t="shared" si="61"/>
        <v>-4.4444444444444509E-2</v>
      </c>
    </row>
    <row r="377" spans="1:16">
      <c r="A377" s="319">
        <v>44743</v>
      </c>
      <c r="B377" s="28">
        <v>2.79</v>
      </c>
      <c r="C377" s="29">
        <v>2.84</v>
      </c>
      <c r="D377" s="29">
        <v>2.85</v>
      </c>
      <c r="E377" s="30">
        <v>2.8652073856125941</v>
      </c>
      <c r="F377" s="29">
        <v>2.88</v>
      </c>
      <c r="G377" s="159">
        <f t="shared" si="52"/>
        <v>-9.9999999999997863E-5</v>
      </c>
      <c r="H377" s="154">
        <f t="shared" si="53"/>
        <v>-8.0000000000000069E-4</v>
      </c>
      <c r="I377" s="154">
        <f t="shared" si="54"/>
        <v>-1.4000000000000013E-3</v>
      </c>
      <c r="J377" s="154">
        <f t="shared" si="55"/>
        <v>-1.3482565174928317E-3</v>
      </c>
      <c r="K377" s="160">
        <f t="shared" si="56"/>
        <v>-1.2999999999999989E-3</v>
      </c>
      <c r="L377" s="161">
        <f t="shared" si="57"/>
        <v>-3.5714285714284477E-3</v>
      </c>
      <c r="M377" s="155">
        <f t="shared" si="58"/>
        <v>-2.7397260273972601E-2</v>
      </c>
      <c r="N377" s="155">
        <f t="shared" si="59"/>
        <v>-4.6822742474916468E-2</v>
      </c>
      <c r="O377" s="155">
        <f t="shared" si="60"/>
        <v>-4.4941389001450505E-2</v>
      </c>
      <c r="P377" s="162">
        <f t="shared" si="61"/>
        <v>-4.3189368770764069E-2</v>
      </c>
    </row>
    <row r="378" spans="1:16">
      <c r="A378" s="319">
        <v>44747</v>
      </c>
      <c r="B378" s="28">
        <v>2.77</v>
      </c>
      <c r="C378" s="29">
        <v>2.82</v>
      </c>
      <c r="D378" s="29">
        <v>2.82</v>
      </c>
      <c r="E378" s="30">
        <v>2.820314081991651</v>
      </c>
      <c r="F378" s="29">
        <v>2.82</v>
      </c>
      <c r="G378" s="159">
        <f t="shared" si="52"/>
        <v>-2.0000000000000017E-4</v>
      </c>
      <c r="H378" s="154">
        <f t="shared" si="53"/>
        <v>-2.0000000000000017E-4</v>
      </c>
      <c r="I378" s="154">
        <f t="shared" si="54"/>
        <v>-3.0000000000000247E-4</v>
      </c>
      <c r="J378" s="154">
        <f t="shared" si="55"/>
        <v>-4.4893303620943128E-4</v>
      </c>
      <c r="K378" s="160">
        <f t="shared" si="56"/>
        <v>-6.0000000000000049E-4</v>
      </c>
      <c r="L378" s="161">
        <f t="shared" si="57"/>
        <v>-7.1684587813619638E-3</v>
      </c>
      <c r="M378" s="155">
        <f t="shared" si="58"/>
        <v>-7.0422535211267512E-3</v>
      </c>
      <c r="N378" s="155">
        <f t="shared" si="59"/>
        <v>-1.0526315789473717E-2</v>
      </c>
      <c r="O378" s="155">
        <f t="shared" si="60"/>
        <v>-1.5668430790165888E-2</v>
      </c>
      <c r="P378" s="162">
        <f t="shared" si="61"/>
        <v>-2.083333333333337E-2</v>
      </c>
    </row>
    <row r="379" spans="1:16">
      <c r="A379" s="319">
        <v>44748</v>
      </c>
      <c r="B379" s="28">
        <v>2.82</v>
      </c>
      <c r="C379" s="29">
        <v>2.97</v>
      </c>
      <c r="D379" s="29">
        <v>2.99</v>
      </c>
      <c r="E379" s="30">
        <v>2.9751143347498803</v>
      </c>
      <c r="F379" s="29">
        <v>2.96</v>
      </c>
      <c r="G379" s="159">
        <f t="shared" si="52"/>
        <v>4.9999999999999828E-4</v>
      </c>
      <c r="H379" s="154">
        <f t="shared" si="53"/>
        <v>1.5000000000000035E-3</v>
      </c>
      <c r="I379" s="154">
        <f t="shared" si="54"/>
        <v>1.7000000000000038E-3</v>
      </c>
      <c r="J379" s="154">
        <f t="shared" si="55"/>
        <v>1.5480025275822929E-3</v>
      </c>
      <c r="K379" s="160">
        <f t="shared" si="56"/>
        <v>1.4000000000000013E-3</v>
      </c>
      <c r="L379" s="161">
        <f t="shared" si="57"/>
        <v>1.8050541516245522E-2</v>
      </c>
      <c r="M379" s="155">
        <f t="shared" si="58"/>
        <v>5.319148936170226E-2</v>
      </c>
      <c r="N379" s="155">
        <f t="shared" si="59"/>
        <v>6.0283687943262443E-2</v>
      </c>
      <c r="O379" s="155">
        <f t="shared" si="60"/>
        <v>5.488759345870875E-2</v>
      </c>
      <c r="P379" s="162">
        <f t="shared" si="61"/>
        <v>4.9645390070921946E-2</v>
      </c>
    </row>
    <row r="380" spans="1:16">
      <c r="A380" s="319">
        <v>44749</v>
      </c>
      <c r="B380" s="28">
        <v>2.87</v>
      </c>
      <c r="C380" s="29">
        <v>3.03</v>
      </c>
      <c r="D380" s="29">
        <v>3.05</v>
      </c>
      <c r="E380" s="30">
        <v>3.050306911549419</v>
      </c>
      <c r="F380" s="29">
        <v>3.05</v>
      </c>
      <c r="G380" s="159">
        <f t="shared" si="52"/>
        <v>5.0000000000000261E-4</v>
      </c>
      <c r="H380" s="154">
        <f t="shared" si="53"/>
        <v>5.9999999999999604E-4</v>
      </c>
      <c r="I380" s="154">
        <f t="shared" si="54"/>
        <v>5.9999999999999604E-4</v>
      </c>
      <c r="J380" s="154">
        <f t="shared" si="55"/>
        <v>7.519257679953872E-4</v>
      </c>
      <c r="K380" s="160">
        <f t="shared" si="56"/>
        <v>8.9999999999999857E-4</v>
      </c>
      <c r="L380" s="161">
        <f t="shared" si="57"/>
        <v>1.7730496453900901E-2</v>
      </c>
      <c r="M380" s="155">
        <f t="shared" si="58"/>
        <v>2.020202020202011E-2</v>
      </c>
      <c r="N380" s="155">
        <f t="shared" si="59"/>
        <v>2.0066889632106788E-2</v>
      </c>
      <c r="O380" s="155">
        <f t="shared" si="60"/>
        <v>2.5273844410373059E-2</v>
      </c>
      <c r="P380" s="162">
        <f t="shared" si="61"/>
        <v>3.0405405405405261E-2</v>
      </c>
    </row>
    <row r="381" spans="1:16">
      <c r="A381" s="319">
        <v>44750</v>
      </c>
      <c r="B381" s="28">
        <v>2.96</v>
      </c>
      <c r="C381" s="29">
        <v>3.12</v>
      </c>
      <c r="D381" s="29">
        <v>3.14</v>
      </c>
      <c r="E381" s="30">
        <v>3.1354338473999093</v>
      </c>
      <c r="F381" s="29">
        <v>3.13</v>
      </c>
      <c r="G381" s="159">
        <f t="shared" si="52"/>
        <v>8.9999999999999857E-4</v>
      </c>
      <c r="H381" s="154">
        <f t="shared" si="53"/>
        <v>9.0000000000000301E-4</v>
      </c>
      <c r="I381" s="154">
        <f t="shared" si="54"/>
        <v>9.0000000000000301E-4</v>
      </c>
      <c r="J381" s="154">
        <f t="shared" si="55"/>
        <v>8.5126935850490251E-4</v>
      </c>
      <c r="K381" s="160">
        <f t="shared" si="56"/>
        <v>8.0000000000000069E-4</v>
      </c>
      <c r="L381" s="161">
        <f t="shared" si="57"/>
        <v>3.1358885017421567E-2</v>
      </c>
      <c r="M381" s="155">
        <f t="shared" si="58"/>
        <v>2.9702970297029729E-2</v>
      </c>
      <c r="N381" s="155">
        <f t="shared" si="59"/>
        <v>2.9508196721311553E-2</v>
      </c>
      <c r="O381" s="155">
        <f t="shared" si="60"/>
        <v>2.7907662513622089E-2</v>
      </c>
      <c r="P381" s="162">
        <f t="shared" si="61"/>
        <v>2.6229508196721429E-2</v>
      </c>
    </row>
    <row r="382" spans="1:16">
      <c r="A382" s="319">
        <v>44753</v>
      </c>
      <c r="B382" s="28">
        <v>2.97</v>
      </c>
      <c r="C382" s="29">
        <v>3.07</v>
      </c>
      <c r="D382" s="29">
        <v>3.09</v>
      </c>
      <c r="E382" s="30">
        <v>3.0700611662837125</v>
      </c>
      <c r="F382" s="29">
        <v>3.05</v>
      </c>
      <c r="G382" s="159">
        <f t="shared" si="52"/>
        <v>1.0000000000000231E-4</v>
      </c>
      <c r="H382" s="154">
        <f t="shared" si="53"/>
        <v>-5.0000000000000261E-4</v>
      </c>
      <c r="I382" s="154">
        <f t="shared" si="54"/>
        <v>-5.0000000000000261E-4</v>
      </c>
      <c r="J382" s="154">
        <f t="shared" si="55"/>
        <v>-6.5372681116196766E-4</v>
      </c>
      <c r="K382" s="160">
        <f t="shared" si="56"/>
        <v>-8.0000000000000069E-4</v>
      </c>
      <c r="L382" s="161">
        <f t="shared" si="57"/>
        <v>3.3783783783785104E-3</v>
      </c>
      <c r="M382" s="155">
        <f t="shared" si="58"/>
        <v>-1.602564102564108E-2</v>
      </c>
      <c r="N382" s="155">
        <f t="shared" si="59"/>
        <v>-1.5923566878980999E-2</v>
      </c>
      <c r="O382" s="155">
        <f t="shared" si="60"/>
        <v>-2.0849644514237764E-2</v>
      </c>
      <c r="P382" s="162">
        <f t="shared" si="61"/>
        <v>-2.5559105431309903E-2</v>
      </c>
    </row>
    <row r="383" spans="1:16">
      <c r="A383" s="319">
        <v>44754</v>
      </c>
      <c r="B383" s="28">
        <v>3.07</v>
      </c>
      <c r="C383" s="29">
        <v>3.03</v>
      </c>
      <c r="D383" s="29">
        <v>3.07</v>
      </c>
      <c r="E383" s="30">
        <v>3.0400067808167406</v>
      </c>
      <c r="F383" s="29">
        <v>3.01</v>
      </c>
      <c r="G383" s="159">
        <f t="shared" si="52"/>
        <v>9.9999999999999655E-4</v>
      </c>
      <c r="H383" s="154">
        <f t="shared" si="53"/>
        <v>-4.0000000000000034E-4</v>
      </c>
      <c r="I383" s="154">
        <f t="shared" si="54"/>
        <v>-2.0000000000000017E-4</v>
      </c>
      <c r="J383" s="154">
        <f t="shared" si="55"/>
        <v>-3.0054385466971923E-4</v>
      </c>
      <c r="K383" s="160">
        <f t="shared" si="56"/>
        <v>-4.0000000000000034E-4</v>
      </c>
      <c r="L383" s="161">
        <f t="shared" si="57"/>
        <v>3.3670033670033517E-2</v>
      </c>
      <c r="M383" s="155">
        <f t="shared" si="58"/>
        <v>-1.3029315960912058E-2</v>
      </c>
      <c r="N383" s="155">
        <f t="shared" si="59"/>
        <v>-6.4724919093851474E-3</v>
      </c>
      <c r="O383" s="155">
        <f t="shared" si="60"/>
        <v>-9.7895070616305091E-3</v>
      </c>
      <c r="P383" s="162">
        <f t="shared" si="61"/>
        <v>-1.3114754098360715E-2</v>
      </c>
    </row>
    <row r="384" spans="1:16">
      <c r="A384" s="319">
        <v>44755</v>
      </c>
      <c r="B384" s="28">
        <v>3.21</v>
      </c>
      <c r="C384" s="29">
        <v>3.13</v>
      </c>
      <c r="D384" s="29">
        <v>3.14</v>
      </c>
      <c r="E384" s="30">
        <v>3.0803165745312424</v>
      </c>
      <c r="F384" s="29">
        <v>3.02</v>
      </c>
      <c r="G384" s="159">
        <f t="shared" si="52"/>
        <v>1.4000000000000013E-3</v>
      </c>
      <c r="H384" s="154">
        <f t="shared" si="53"/>
        <v>1.0000000000000009E-3</v>
      </c>
      <c r="I384" s="154">
        <f t="shared" si="54"/>
        <v>7.0000000000000281E-4</v>
      </c>
      <c r="J384" s="154">
        <f t="shared" si="55"/>
        <v>4.0309793714501832E-4</v>
      </c>
      <c r="K384" s="160">
        <f t="shared" si="56"/>
        <v>1.0000000000000231E-4</v>
      </c>
      <c r="L384" s="161">
        <f t="shared" si="57"/>
        <v>4.5602605863192203E-2</v>
      </c>
      <c r="M384" s="155">
        <f t="shared" si="58"/>
        <v>3.3003300330032959E-2</v>
      </c>
      <c r="N384" s="155">
        <f t="shared" si="59"/>
        <v>2.2801302931596101E-2</v>
      </c>
      <c r="O384" s="155">
        <f t="shared" si="60"/>
        <v>1.3259770987639641E-2</v>
      </c>
      <c r="P384" s="162">
        <f t="shared" si="61"/>
        <v>3.3222591362127574E-3</v>
      </c>
    </row>
    <row r="385" spans="1:16">
      <c r="A385" s="319">
        <v>44756</v>
      </c>
      <c r="B385" s="28">
        <v>3.16</v>
      </c>
      <c r="C385" s="29">
        <v>3.15</v>
      </c>
      <c r="D385" s="29">
        <v>3.16</v>
      </c>
      <c r="E385" s="30">
        <v>3.1103846039073888</v>
      </c>
      <c r="F385" s="29">
        <v>3.06</v>
      </c>
      <c r="G385" s="159">
        <f t="shared" si="52"/>
        <v>-4.9999999999999828E-4</v>
      </c>
      <c r="H385" s="154">
        <f t="shared" si="53"/>
        <v>2.0000000000000017E-4</v>
      </c>
      <c r="I385" s="154">
        <f t="shared" si="54"/>
        <v>2.0000000000000017E-4</v>
      </c>
      <c r="J385" s="154">
        <f t="shared" si="55"/>
        <v>3.0068029376146389E-4</v>
      </c>
      <c r="K385" s="160">
        <f t="shared" si="56"/>
        <v>4.0000000000000034E-4</v>
      </c>
      <c r="L385" s="161">
        <f t="shared" si="57"/>
        <v>-1.5576323987538832E-2</v>
      </c>
      <c r="M385" s="155">
        <f t="shared" si="58"/>
        <v>6.389776357827559E-3</v>
      </c>
      <c r="N385" s="155">
        <f t="shared" si="59"/>
        <v>6.3694267515923553E-3</v>
      </c>
      <c r="O385" s="155">
        <f t="shared" si="60"/>
        <v>9.7613438906754002E-3</v>
      </c>
      <c r="P385" s="162">
        <f t="shared" si="61"/>
        <v>1.3245033112582849E-2</v>
      </c>
    </row>
    <row r="386" spans="1:16">
      <c r="A386" s="319">
        <v>44757</v>
      </c>
      <c r="B386" s="28">
        <v>3.12</v>
      </c>
      <c r="C386" s="29">
        <v>3.13</v>
      </c>
      <c r="D386" s="29">
        <v>3.14</v>
      </c>
      <c r="E386" s="30">
        <v>3.0953831036024622</v>
      </c>
      <c r="F386" s="29">
        <v>3.05</v>
      </c>
      <c r="G386" s="159">
        <f t="shared" si="52"/>
        <v>-4.0000000000000034E-4</v>
      </c>
      <c r="H386" s="154">
        <f t="shared" si="53"/>
        <v>-2.0000000000000017E-4</v>
      </c>
      <c r="I386" s="154">
        <f t="shared" si="54"/>
        <v>-2.0000000000000017E-4</v>
      </c>
      <c r="J386" s="154">
        <f t="shared" si="55"/>
        <v>-1.5001500304926641E-4</v>
      </c>
      <c r="K386" s="160">
        <f t="shared" si="56"/>
        <v>-1.0000000000000231E-4</v>
      </c>
      <c r="L386" s="161">
        <f t="shared" si="57"/>
        <v>-1.2658227848101222E-2</v>
      </c>
      <c r="M386" s="155">
        <f t="shared" si="58"/>
        <v>-6.3492063492063266E-3</v>
      </c>
      <c r="N386" s="155">
        <f t="shared" si="59"/>
        <v>-6.3291139240506666E-3</v>
      </c>
      <c r="O386" s="155">
        <f t="shared" si="60"/>
        <v>-4.8230370887514251E-3</v>
      </c>
      <c r="P386" s="162">
        <f t="shared" si="61"/>
        <v>-3.2679738562092497E-3</v>
      </c>
    </row>
    <row r="387" spans="1:16">
      <c r="A387" s="319">
        <v>44760</v>
      </c>
      <c r="B387" s="28">
        <v>3.13</v>
      </c>
      <c r="C387" s="29">
        <v>3.15</v>
      </c>
      <c r="D387" s="29">
        <v>3.15</v>
      </c>
      <c r="E387" s="30">
        <v>3.1051836961156116</v>
      </c>
      <c r="F387" s="29">
        <v>3.06</v>
      </c>
      <c r="G387" s="159">
        <f t="shared" si="52"/>
        <v>9.9999999999997863E-5</v>
      </c>
      <c r="H387" s="154">
        <f t="shared" si="53"/>
        <v>2.0000000000000017E-4</v>
      </c>
      <c r="I387" s="154">
        <f t="shared" si="54"/>
        <v>9.9999999999997863E-5</v>
      </c>
      <c r="J387" s="154">
        <f t="shared" si="55"/>
        <v>9.800592513149464E-5</v>
      </c>
      <c r="K387" s="160">
        <f t="shared" si="56"/>
        <v>1.0000000000000231E-4</v>
      </c>
      <c r="L387" s="161">
        <f t="shared" si="57"/>
        <v>3.2051282051281937E-3</v>
      </c>
      <c r="M387" s="155">
        <f t="shared" si="58"/>
        <v>6.389776357827559E-3</v>
      </c>
      <c r="N387" s="155">
        <f t="shared" si="59"/>
        <v>3.1847133757960666E-3</v>
      </c>
      <c r="O387" s="155">
        <f t="shared" si="60"/>
        <v>3.1661969407739132E-3</v>
      </c>
      <c r="P387" s="162">
        <f t="shared" si="61"/>
        <v>3.2786885245903452E-3</v>
      </c>
    </row>
    <row r="388" spans="1:16">
      <c r="A388" s="319">
        <v>44761</v>
      </c>
      <c r="B388" s="28">
        <v>3.18</v>
      </c>
      <c r="C388" s="29">
        <v>3.23</v>
      </c>
      <c r="D388" s="29">
        <v>3.22</v>
      </c>
      <c r="E388" s="30">
        <v>3.1802442570413398</v>
      </c>
      <c r="F388" s="29">
        <v>3.14</v>
      </c>
      <c r="G388" s="159">
        <f t="shared" ref="G388:G451" si="62">(B388-B387)/100</f>
        <v>5.0000000000000261E-4</v>
      </c>
      <c r="H388" s="154">
        <f t="shared" ref="H388:H451" si="63">(C388-C387)/100</f>
        <v>8.0000000000000069E-4</v>
      </c>
      <c r="I388" s="154">
        <f t="shared" ref="I388:I451" si="64">(D388-D387)/100</f>
        <v>7.0000000000000281E-4</v>
      </c>
      <c r="J388" s="154">
        <f t="shared" ref="J388:J451" si="65">(E388-E387)/100</f>
        <v>7.506056092572821E-4</v>
      </c>
      <c r="K388" s="160">
        <f t="shared" ref="K388:K451" si="66">(F388-F387)/100</f>
        <v>8.0000000000000069E-4</v>
      </c>
      <c r="L388" s="161">
        <f t="shared" ref="L388:L451" si="67">(B388/B387)-1</f>
        <v>1.5974440894568787E-2</v>
      </c>
      <c r="M388" s="155">
        <f t="shared" ref="M388:M451" si="68">(C388/C387)-1</f>
        <v>2.5396825396825529E-2</v>
      </c>
      <c r="N388" s="155">
        <f t="shared" ref="N388:N451" si="69">(D388/D387)-1</f>
        <v>2.2222222222222365E-2</v>
      </c>
      <c r="O388" s="155">
        <f t="shared" ref="O388:O451" si="70">(E388/E387)-1</f>
        <v>2.4172663607510358E-2</v>
      </c>
      <c r="P388" s="162">
        <f t="shared" ref="P388:P451" si="71">(F388/F387)-1</f>
        <v>2.6143790849673332E-2</v>
      </c>
    </row>
    <row r="389" spans="1:16">
      <c r="A389" s="319">
        <v>44762</v>
      </c>
      <c r="B389" s="28">
        <v>3.18</v>
      </c>
      <c r="C389" s="29">
        <v>3.25</v>
      </c>
      <c r="D389" s="29">
        <v>3.25</v>
      </c>
      <c r="E389" s="30">
        <v>3.2150247863914525</v>
      </c>
      <c r="F389" s="29">
        <v>3.18</v>
      </c>
      <c r="G389" s="159">
        <f t="shared" si="62"/>
        <v>0</v>
      </c>
      <c r="H389" s="154">
        <f t="shared" si="63"/>
        <v>2.0000000000000017E-4</v>
      </c>
      <c r="I389" s="154">
        <f t="shared" si="64"/>
        <v>2.9999999999999802E-4</v>
      </c>
      <c r="J389" s="154">
        <f t="shared" si="65"/>
        <v>3.4780529350112664E-4</v>
      </c>
      <c r="K389" s="160">
        <f t="shared" si="66"/>
        <v>4.0000000000000034E-4</v>
      </c>
      <c r="L389" s="161">
        <f t="shared" si="67"/>
        <v>0</v>
      </c>
      <c r="M389" s="155">
        <f t="shared" si="68"/>
        <v>6.1919504643963563E-3</v>
      </c>
      <c r="N389" s="155">
        <f t="shared" si="69"/>
        <v>9.3167701863352548E-3</v>
      </c>
      <c r="O389" s="155">
        <f t="shared" si="70"/>
        <v>1.0936433348823993E-2</v>
      </c>
      <c r="P389" s="162">
        <f t="shared" si="71"/>
        <v>1.2738853503184711E-2</v>
      </c>
    </row>
    <row r="390" spans="1:16">
      <c r="A390" s="319">
        <v>44763</v>
      </c>
      <c r="B390" s="28">
        <v>3.11</v>
      </c>
      <c r="C390" s="29">
        <v>3.1</v>
      </c>
      <c r="D390" s="29">
        <v>3.07</v>
      </c>
      <c r="E390" s="30">
        <v>3.0353950529440308</v>
      </c>
      <c r="F390" s="29">
        <v>3</v>
      </c>
      <c r="G390" s="159">
        <f t="shared" si="62"/>
        <v>-7.0000000000000281E-4</v>
      </c>
      <c r="H390" s="154">
        <f t="shared" si="63"/>
        <v>-1.4999999999999992E-3</v>
      </c>
      <c r="I390" s="154">
        <f t="shared" si="64"/>
        <v>-1.8000000000000017E-3</v>
      </c>
      <c r="J390" s="154">
        <f t="shared" si="65"/>
        <v>-1.7962973344742173E-3</v>
      </c>
      <c r="K390" s="160">
        <f t="shared" si="66"/>
        <v>-1.8000000000000017E-3</v>
      </c>
      <c r="L390" s="161">
        <f t="shared" si="67"/>
        <v>-2.2012578616352307E-2</v>
      </c>
      <c r="M390" s="155">
        <f t="shared" si="68"/>
        <v>-4.6153846153846101E-2</v>
      </c>
      <c r="N390" s="155">
        <f t="shared" si="69"/>
        <v>-5.5384615384615477E-2</v>
      </c>
      <c r="O390" s="155">
        <f t="shared" si="70"/>
        <v>-5.5871959123848125E-2</v>
      </c>
      <c r="P390" s="162">
        <f t="shared" si="71"/>
        <v>-5.6603773584905759E-2</v>
      </c>
    </row>
    <row r="391" spans="1:16">
      <c r="A391" s="319">
        <v>44764</v>
      </c>
      <c r="B391" s="28">
        <v>3.01</v>
      </c>
      <c r="C391" s="29">
        <v>2.98</v>
      </c>
      <c r="D391" s="29">
        <v>2.93</v>
      </c>
      <c r="E391" s="30">
        <v>2.9000116062077299</v>
      </c>
      <c r="F391" s="29">
        <v>2.87</v>
      </c>
      <c r="G391" s="159">
        <f t="shared" si="62"/>
        <v>-1.0000000000000009E-3</v>
      </c>
      <c r="H391" s="154">
        <f t="shared" si="63"/>
        <v>-1.200000000000001E-3</v>
      </c>
      <c r="I391" s="154">
        <f t="shared" si="64"/>
        <v>-1.3999999999999967E-3</v>
      </c>
      <c r="J391" s="154">
        <f t="shared" si="65"/>
        <v>-1.3538344673630087E-3</v>
      </c>
      <c r="K391" s="160">
        <f t="shared" si="66"/>
        <v>-1.2999999999999989E-3</v>
      </c>
      <c r="L391" s="161">
        <f t="shared" si="67"/>
        <v>-3.2154340836012874E-2</v>
      </c>
      <c r="M391" s="155">
        <f t="shared" si="68"/>
        <v>-3.8709677419354827E-2</v>
      </c>
      <c r="N391" s="155">
        <f t="shared" si="69"/>
        <v>-4.5602605863192092E-2</v>
      </c>
      <c r="O391" s="155">
        <f t="shared" si="70"/>
        <v>-4.4601590361357579E-2</v>
      </c>
      <c r="P391" s="162">
        <f t="shared" si="71"/>
        <v>-4.3333333333333335E-2</v>
      </c>
    </row>
    <row r="392" spans="1:16">
      <c r="A392" s="319">
        <v>44767</v>
      </c>
      <c r="B392" s="28">
        <v>3.07</v>
      </c>
      <c r="C392" s="29">
        <v>3</v>
      </c>
      <c r="D392" s="29">
        <v>2.98</v>
      </c>
      <c r="E392" s="30">
        <v>2.9354982723616705</v>
      </c>
      <c r="F392" s="29">
        <v>2.89</v>
      </c>
      <c r="G392" s="159">
        <f t="shared" si="62"/>
        <v>6.0000000000000049E-4</v>
      </c>
      <c r="H392" s="154">
        <f t="shared" si="63"/>
        <v>2.0000000000000017E-4</v>
      </c>
      <c r="I392" s="154">
        <f t="shared" si="64"/>
        <v>4.9999999999999828E-4</v>
      </c>
      <c r="J392" s="154">
        <f t="shared" si="65"/>
        <v>3.5486666153940584E-4</v>
      </c>
      <c r="K392" s="160">
        <f t="shared" si="66"/>
        <v>2.0000000000000017E-4</v>
      </c>
      <c r="L392" s="161">
        <f t="shared" si="67"/>
        <v>1.9933554817275656E-2</v>
      </c>
      <c r="M392" s="155">
        <f t="shared" si="68"/>
        <v>6.7114093959732557E-3</v>
      </c>
      <c r="N392" s="155">
        <f t="shared" si="69"/>
        <v>1.7064846416382284E-2</v>
      </c>
      <c r="O392" s="155">
        <f t="shared" si="70"/>
        <v>1.2236732459269595E-2</v>
      </c>
      <c r="P392" s="162">
        <f t="shared" si="71"/>
        <v>6.9686411149825211E-3</v>
      </c>
    </row>
    <row r="393" spans="1:16">
      <c r="A393" s="319">
        <v>44768</v>
      </c>
      <c r="B393" s="28">
        <v>3.06</v>
      </c>
      <c r="C393" s="29">
        <v>3.02</v>
      </c>
      <c r="D393" s="29">
        <v>3.01</v>
      </c>
      <c r="E393" s="30">
        <v>2.9500023903005643</v>
      </c>
      <c r="F393" s="29">
        <v>2.89</v>
      </c>
      <c r="G393" s="159">
        <f t="shared" si="62"/>
        <v>-9.9999999999997863E-5</v>
      </c>
      <c r="H393" s="154">
        <f t="shared" si="63"/>
        <v>2.0000000000000017E-4</v>
      </c>
      <c r="I393" s="154">
        <f t="shared" si="64"/>
        <v>2.9999999999999802E-4</v>
      </c>
      <c r="J393" s="154">
        <f t="shared" si="65"/>
        <v>1.4504117938893835E-4</v>
      </c>
      <c r="K393" s="160">
        <f t="shared" si="66"/>
        <v>0</v>
      </c>
      <c r="L393" s="161">
        <f t="shared" si="67"/>
        <v>-3.2573289902279035E-3</v>
      </c>
      <c r="M393" s="155">
        <f t="shared" si="68"/>
        <v>6.6666666666665986E-3</v>
      </c>
      <c r="N393" s="155">
        <f t="shared" si="69"/>
        <v>1.0067114093959662E-2</v>
      </c>
      <c r="O393" s="155">
        <f t="shared" si="70"/>
        <v>4.9409390138135389E-3</v>
      </c>
      <c r="P393" s="162">
        <f t="shared" si="71"/>
        <v>0</v>
      </c>
    </row>
    <row r="394" spans="1:16">
      <c r="A394" s="319">
        <v>44769</v>
      </c>
      <c r="B394" s="28">
        <v>3</v>
      </c>
      <c r="C394" s="29">
        <v>2.96</v>
      </c>
      <c r="D394" s="29">
        <v>2.93</v>
      </c>
      <c r="E394" s="30">
        <v>2.8750588202321543</v>
      </c>
      <c r="F394" s="29">
        <v>2.82</v>
      </c>
      <c r="G394" s="159">
        <f t="shared" si="62"/>
        <v>-6.0000000000000049E-4</v>
      </c>
      <c r="H394" s="154">
        <f t="shared" si="63"/>
        <v>-6.0000000000000049E-4</v>
      </c>
      <c r="I394" s="154">
        <f t="shared" si="64"/>
        <v>-7.9999999999999624E-4</v>
      </c>
      <c r="J394" s="154">
        <f t="shared" si="65"/>
        <v>-7.4943570068410016E-4</v>
      </c>
      <c r="K394" s="160">
        <f t="shared" si="66"/>
        <v>-7.0000000000000281E-4</v>
      </c>
      <c r="L394" s="161">
        <f t="shared" si="67"/>
        <v>-1.9607843137254943E-2</v>
      </c>
      <c r="M394" s="155">
        <f t="shared" si="68"/>
        <v>-1.9867549668874163E-2</v>
      </c>
      <c r="N394" s="155">
        <f t="shared" si="69"/>
        <v>-2.6578073089700838E-2</v>
      </c>
      <c r="O394" s="155">
        <f t="shared" si="70"/>
        <v>-2.5404579438586206E-2</v>
      </c>
      <c r="P394" s="162">
        <f t="shared" si="71"/>
        <v>-2.4221453287197381E-2</v>
      </c>
    </row>
    <row r="395" spans="1:16">
      <c r="A395" s="319">
        <v>44770</v>
      </c>
      <c r="B395" s="28">
        <v>2.93</v>
      </c>
      <c r="C395" s="29">
        <v>2.85</v>
      </c>
      <c r="D395" s="29">
        <v>2.81</v>
      </c>
      <c r="E395" s="30">
        <v>2.750482025699815</v>
      </c>
      <c r="F395" s="29">
        <v>2.69</v>
      </c>
      <c r="G395" s="159">
        <f t="shared" si="62"/>
        <v>-6.9999999999999837E-4</v>
      </c>
      <c r="H395" s="154">
        <f t="shared" si="63"/>
        <v>-1.0999999999999988E-3</v>
      </c>
      <c r="I395" s="154">
        <f t="shared" si="64"/>
        <v>-1.200000000000001E-3</v>
      </c>
      <c r="J395" s="154">
        <f t="shared" si="65"/>
        <v>-1.2457679453233928E-3</v>
      </c>
      <c r="K395" s="160">
        <f t="shared" si="66"/>
        <v>-1.2999999999999989E-3</v>
      </c>
      <c r="L395" s="161">
        <f t="shared" si="67"/>
        <v>-2.3333333333333317E-2</v>
      </c>
      <c r="M395" s="155">
        <f t="shared" si="68"/>
        <v>-3.7162162162162171E-2</v>
      </c>
      <c r="N395" s="155">
        <f t="shared" si="69"/>
        <v>-4.095563139931746E-2</v>
      </c>
      <c r="O395" s="155">
        <f t="shared" si="70"/>
        <v>-4.3330172466621075E-2</v>
      </c>
      <c r="P395" s="162">
        <f t="shared" si="71"/>
        <v>-4.6099290780141855E-2</v>
      </c>
    </row>
    <row r="396" spans="1:16">
      <c r="A396" s="319">
        <v>44771</v>
      </c>
      <c r="B396" s="28">
        <v>2.98</v>
      </c>
      <c r="C396" s="29">
        <v>2.89</v>
      </c>
      <c r="D396" s="29">
        <v>2.83</v>
      </c>
      <c r="E396" s="30">
        <v>2.7651815811152773</v>
      </c>
      <c r="F396" s="29">
        <v>2.7</v>
      </c>
      <c r="G396" s="159">
        <f t="shared" si="62"/>
        <v>4.9999999999999828E-4</v>
      </c>
      <c r="H396" s="154">
        <f t="shared" si="63"/>
        <v>4.0000000000000034E-4</v>
      </c>
      <c r="I396" s="154">
        <f t="shared" si="64"/>
        <v>2.0000000000000017E-4</v>
      </c>
      <c r="J396" s="154">
        <f t="shared" si="65"/>
        <v>1.4699555415462307E-4</v>
      </c>
      <c r="K396" s="160">
        <f t="shared" si="66"/>
        <v>1.0000000000000231E-4</v>
      </c>
      <c r="L396" s="161">
        <f t="shared" si="67"/>
        <v>1.7064846416382284E-2</v>
      </c>
      <c r="M396" s="155">
        <f t="shared" si="68"/>
        <v>1.4035087719298289E-2</v>
      </c>
      <c r="N396" s="155">
        <f t="shared" si="69"/>
        <v>7.1174377224199059E-3</v>
      </c>
      <c r="O396" s="155">
        <f t="shared" si="70"/>
        <v>5.3443561085342317E-3</v>
      </c>
      <c r="P396" s="162">
        <f t="shared" si="71"/>
        <v>3.7174721189592308E-3</v>
      </c>
    </row>
    <row r="397" spans="1:16">
      <c r="A397" s="319">
        <v>44774</v>
      </c>
      <c r="B397" s="28">
        <v>2.98</v>
      </c>
      <c r="C397" s="29">
        <v>2.9</v>
      </c>
      <c r="D397" s="29">
        <v>2.82</v>
      </c>
      <c r="E397" s="30">
        <v>2.7401517962937643</v>
      </c>
      <c r="F397" s="29">
        <v>2.66</v>
      </c>
      <c r="G397" s="159">
        <f t="shared" si="62"/>
        <v>0</v>
      </c>
      <c r="H397" s="154">
        <f t="shared" si="63"/>
        <v>9.9999999999997863E-5</v>
      </c>
      <c r="I397" s="154">
        <f t="shared" si="64"/>
        <v>-1.0000000000000231E-4</v>
      </c>
      <c r="J397" s="154">
        <f t="shared" si="65"/>
        <v>-2.502978482151308E-4</v>
      </c>
      <c r="K397" s="160">
        <f t="shared" si="66"/>
        <v>-4.0000000000000034E-4</v>
      </c>
      <c r="L397" s="161">
        <f t="shared" si="67"/>
        <v>0</v>
      </c>
      <c r="M397" s="155">
        <f t="shared" si="68"/>
        <v>3.4602076124565784E-3</v>
      </c>
      <c r="N397" s="155">
        <f t="shared" si="69"/>
        <v>-3.5335689045937757E-3</v>
      </c>
      <c r="O397" s="155">
        <f t="shared" si="70"/>
        <v>-9.0517689660791767E-3</v>
      </c>
      <c r="P397" s="162">
        <f t="shared" si="71"/>
        <v>-1.4814814814814836E-2</v>
      </c>
    </row>
    <row r="398" spans="1:16">
      <c r="A398" s="319">
        <v>44775</v>
      </c>
      <c r="B398" s="28">
        <v>3.09</v>
      </c>
      <c r="C398" s="29">
        <v>3.06</v>
      </c>
      <c r="D398" s="29">
        <v>3.02</v>
      </c>
      <c r="E398" s="30">
        <v>2.9353004768845459</v>
      </c>
      <c r="F398" s="29">
        <v>2.85</v>
      </c>
      <c r="G398" s="159">
        <f t="shared" si="62"/>
        <v>1.0999999999999988E-3</v>
      </c>
      <c r="H398" s="154">
        <f t="shared" si="63"/>
        <v>1.6000000000000014E-3</v>
      </c>
      <c r="I398" s="154">
        <f t="shared" si="64"/>
        <v>2.0000000000000018E-3</v>
      </c>
      <c r="J398" s="154">
        <f t="shared" si="65"/>
        <v>1.9514868059078161E-3</v>
      </c>
      <c r="K398" s="160">
        <f t="shared" si="66"/>
        <v>1.8999999999999996E-3</v>
      </c>
      <c r="L398" s="161">
        <f t="shared" si="67"/>
        <v>3.691275167785224E-2</v>
      </c>
      <c r="M398" s="155">
        <f t="shared" si="68"/>
        <v>5.5172413793103559E-2</v>
      </c>
      <c r="N398" s="155">
        <f t="shared" si="69"/>
        <v>7.0921985815602939E-2</v>
      </c>
      <c r="O398" s="155">
        <f t="shared" si="70"/>
        <v>7.1218200705060575E-2</v>
      </c>
      <c r="P398" s="162">
        <f t="shared" si="71"/>
        <v>7.1428571428571397E-2</v>
      </c>
    </row>
    <row r="399" spans="1:16">
      <c r="A399" s="319">
        <v>44776</v>
      </c>
      <c r="B399" s="28">
        <v>3.14</v>
      </c>
      <c r="C399" s="29">
        <v>3.1</v>
      </c>
      <c r="D399" s="29">
        <v>3.04</v>
      </c>
      <c r="E399" s="30">
        <v>2.9501617477840361</v>
      </c>
      <c r="F399" s="29">
        <v>2.86</v>
      </c>
      <c r="G399" s="159">
        <f t="shared" si="62"/>
        <v>5.0000000000000261E-4</v>
      </c>
      <c r="H399" s="154">
        <f t="shared" si="63"/>
        <v>4.0000000000000034E-4</v>
      </c>
      <c r="I399" s="154">
        <f t="shared" si="64"/>
        <v>2.0000000000000017E-4</v>
      </c>
      <c r="J399" s="154">
        <f t="shared" si="65"/>
        <v>1.4861270899490186E-4</v>
      </c>
      <c r="K399" s="160">
        <f t="shared" si="66"/>
        <v>9.9999999999997863E-5</v>
      </c>
      <c r="L399" s="161">
        <f t="shared" si="67"/>
        <v>1.6181229773462924E-2</v>
      </c>
      <c r="M399" s="155">
        <f t="shared" si="68"/>
        <v>1.3071895424836555E-2</v>
      </c>
      <c r="N399" s="155">
        <f t="shared" si="69"/>
        <v>6.6225165562914245E-3</v>
      </c>
      <c r="O399" s="155">
        <f t="shared" si="70"/>
        <v>5.062947053128708E-3</v>
      </c>
      <c r="P399" s="162">
        <f t="shared" si="71"/>
        <v>3.5087719298245723E-3</v>
      </c>
    </row>
    <row r="400" spans="1:16">
      <c r="A400" s="319">
        <v>44777</v>
      </c>
      <c r="B400" s="28">
        <v>3.11</v>
      </c>
      <c r="C400" s="29">
        <v>3.03</v>
      </c>
      <c r="D400" s="29">
        <v>2.95</v>
      </c>
      <c r="E400" s="30">
        <v>2.8553015859696647</v>
      </c>
      <c r="F400" s="29">
        <v>2.76</v>
      </c>
      <c r="G400" s="159">
        <f t="shared" si="62"/>
        <v>-3.0000000000000247E-4</v>
      </c>
      <c r="H400" s="154">
        <f t="shared" si="63"/>
        <v>-7.0000000000000281E-4</v>
      </c>
      <c r="I400" s="154">
        <f t="shared" si="64"/>
        <v>-8.9999999999999857E-4</v>
      </c>
      <c r="J400" s="154">
        <f t="shared" si="65"/>
        <v>-9.4860161814371404E-4</v>
      </c>
      <c r="K400" s="160">
        <f t="shared" si="66"/>
        <v>-1.0000000000000009E-3</v>
      </c>
      <c r="L400" s="161">
        <f t="shared" si="67"/>
        <v>-9.5541401273886439E-3</v>
      </c>
      <c r="M400" s="155">
        <f t="shared" si="68"/>
        <v>-2.2580645161290436E-2</v>
      </c>
      <c r="N400" s="155">
        <f t="shared" si="69"/>
        <v>-2.960526315789469E-2</v>
      </c>
      <c r="O400" s="155">
        <f t="shared" si="70"/>
        <v>-3.2154224047418412E-2</v>
      </c>
      <c r="P400" s="162">
        <f t="shared" si="71"/>
        <v>-3.4965034965035002E-2</v>
      </c>
    </row>
    <row r="401" spans="1:16">
      <c r="A401" s="319">
        <v>44778</v>
      </c>
      <c r="B401" s="28">
        <v>3.29</v>
      </c>
      <c r="C401" s="29">
        <v>3.24</v>
      </c>
      <c r="D401" s="29">
        <v>3.18</v>
      </c>
      <c r="E401" s="30">
        <v>3.07532485693311</v>
      </c>
      <c r="F401" s="29">
        <v>2.97</v>
      </c>
      <c r="G401" s="159">
        <f t="shared" si="62"/>
        <v>1.8000000000000017E-3</v>
      </c>
      <c r="H401" s="154">
        <f t="shared" si="63"/>
        <v>2.1000000000000042E-3</v>
      </c>
      <c r="I401" s="154">
        <f t="shared" si="64"/>
        <v>2.3E-3</v>
      </c>
      <c r="J401" s="154">
        <f t="shared" si="65"/>
        <v>2.2002327096344531E-3</v>
      </c>
      <c r="K401" s="160">
        <f t="shared" si="66"/>
        <v>2.1000000000000042E-3</v>
      </c>
      <c r="L401" s="161">
        <f t="shared" si="67"/>
        <v>5.7877813504823239E-2</v>
      </c>
      <c r="M401" s="155">
        <f t="shared" si="68"/>
        <v>6.9306930693069368E-2</v>
      </c>
      <c r="N401" s="155">
        <f t="shared" si="69"/>
        <v>7.7966101694915135E-2</v>
      </c>
      <c r="O401" s="155">
        <f t="shared" si="70"/>
        <v>7.7057804347040681E-2</v>
      </c>
      <c r="P401" s="162">
        <f t="shared" si="71"/>
        <v>7.6086956521739246E-2</v>
      </c>
    </row>
    <row r="402" spans="1:16">
      <c r="A402" s="319">
        <v>44781</v>
      </c>
      <c r="B402" s="28">
        <v>3.3</v>
      </c>
      <c r="C402" s="29">
        <v>3.21</v>
      </c>
      <c r="D402" s="29">
        <v>3.14</v>
      </c>
      <c r="E402" s="30">
        <v>3.0254512877135338</v>
      </c>
      <c r="F402" s="29">
        <v>2.91</v>
      </c>
      <c r="G402" s="159">
        <f t="shared" si="62"/>
        <v>9.9999999999997863E-5</v>
      </c>
      <c r="H402" s="154">
        <f t="shared" si="63"/>
        <v>-3.0000000000000247E-4</v>
      </c>
      <c r="I402" s="154">
        <f t="shared" si="64"/>
        <v>-4.0000000000000034E-4</v>
      </c>
      <c r="J402" s="154">
        <f t="shared" si="65"/>
        <v>-4.9873569219576201E-4</v>
      </c>
      <c r="K402" s="160">
        <f t="shared" si="66"/>
        <v>-6.0000000000000049E-4</v>
      </c>
      <c r="L402" s="161">
        <f t="shared" si="67"/>
        <v>3.0395136778114118E-3</v>
      </c>
      <c r="M402" s="155">
        <f t="shared" si="68"/>
        <v>-9.2592592592593004E-3</v>
      </c>
      <c r="N402" s="155">
        <f t="shared" si="69"/>
        <v>-1.2578616352201255E-2</v>
      </c>
      <c r="O402" s="155">
        <f t="shared" si="70"/>
        <v>-1.6217333628068431E-2</v>
      </c>
      <c r="P402" s="162">
        <f t="shared" si="71"/>
        <v>-2.0202020202020221E-2</v>
      </c>
    </row>
    <row r="403" spans="1:16">
      <c r="A403" s="319">
        <v>44782</v>
      </c>
      <c r="B403" s="28">
        <v>3.33</v>
      </c>
      <c r="C403" s="29">
        <v>3.28</v>
      </c>
      <c r="D403" s="29">
        <v>3.2</v>
      </c>
      <c r="E403" s="30">
        <v>3.0851476074458306</v>
      </c>
      <c r="F403" s="29">
        <v>2.97</v>
      </c>
      <c r="G403" s="159">
        <f t="shared" si="62"/>
        <v>3.0000000000000247E-4</v>
      </c>
      <c r="H403" s="154">
        <f t="shared" si="63"/>
        <v>6.9999999999999837E-4</v>
      </c>
      <c r="I403" s="154">
        <f t="shared" si="64"/>
        <v>6.0000000000000049E-4</v>
      </c>
      <c r="J403" s="154">
        <f t="shared" si="65"/>
        <v>5.9696319732296835E-4</v>
      </c>
      <c r="K403" s="160">
        <f t="shared" si="66"/>
        <v>6.0000000000000049E-4</v>
      </c>
      <c r="L403" s="161">
        <f t="shared" si="67"/>
        <v>9.0909090909092605E-3</v>
      </c>
      <c r="M403" s="155">
        <f t="shared" si="68"/>
        <v>2.1806853582554409E-2</v>
      </c>
      <c r="N403" s="155">
        <f t="shared" si="69"/>
        <v>1.9108280254777066E-2</v>
      </c>
      <c r="O403" s="155">
        <f t="shared" si="70"/>
        <v>1.9731376927047517E-2</v>
      </c>
      <c r="P403" s="162">
        <f t="shared" si="71"/>
        <v>2.0618556701030855E-2</v>
      </c>
    </row>
    <row r="404" spans="1:16">
      <c r="A404" s="319">
        <v>44783</v>
      </c>
      <c r="B404" s="28">
        <v>3.26</v>
      </c>
      <c r="C404" s="29">
        <v>3.23</v>
      </c>
      <c r="D404" s="29">
        <v>3.13</v>
      </c>
      <c r="E404" s="30">
        <v>3.0301005150774887</v>
      </c>
      <c r="F404" s="29">
        <v>2.93</v>
      </c>
      <c r="G404" s="159">
        <f t="shared" si="62"/>
        <v>-7.0000000000000281E-4</v>
      </c>
      <c r="H404" s="154">
        <f t="shared" si="63"/>
        <v>-4.9999999999999828E-4</v>
      </c>
      <c r="I404" s="154">
        <f t="shared" si="64"/>
        <v>-7.0000000000000281E-4</v>
      </c>
      <c r="J404" s="154">
        <f t="shared" si="65"/>
        <v>-5.5047092368341931E-4</v>
      </c>
      <c r="K404" s="160">
        <f t="shared" si="66"/>
        <v>-4.0000000000000034E-4</v>
      </c>
      <c r="L404" s="161">
        <f t="shared" si="67"/>
        <v>-2.1021021021021102E-2</v>
      </c>
      <c r="M404" s="155">
        <f t="shared" si="68"/>
        <v>-1.5243902439024293E-2</v>
      </c>
      <c r="N404" s="155">
        <f t="shared" si="69"/>
        <v>-2.1875000000000089E-2</v>
      </c>
      <c r="O404" s="155">
        <f t="shared" si="70"/>
        <v>-1.7842612209376552E-2</v>
      </c>
      <c r="P404" s="162">
        <f t="shared" si="71"/>
        <v>-1.3468013468013518E-2</v>
      </c>
    </row>
    <row r="405" spans="1:16">
      <c r="A405" s="319">
        <v>44784</v>
      </c>
      <c r="B405" s="28">
        <v>3.25</v>
      </c>
      <c r="C405" s="29">
        <v>3.23</v>
      </c>
      <c r="D405" s="29">
        <v>3.16</v>
      </c>
      <c r="E405" s="30">
        <v>3.0701720083555419</v>
      </c>
      <c r="F405" s="29">
        <v>2.98</v>
      </c>
      <c r="G405" s="159">
        <f t="shared" si="62"/>
        <v>-9.9999999999997863E-5</v>
      </c>
      <c r="H405" s="154">
        <f t="shared" si="63"/>
        <v>0</v>
      </c>
      <c r="I405" s="154">
        <f t="shared" si="64"/>
        <v>3.0000000000000247E-4</v>
      </c>
      <c r="J405" s="154">
        <f t="shared" si="65"/>
        <v>4.007149327805326E-4</v>
      </c>
      <c r="K405" s="160">
        <f t="shared" si="66"/>
        <v>4.9999999999999828E-4</v>
      </c>
      <c r="L405" s="161">
        <f t="shared" si="67"/>
        <v>-3.0674846625766694E-3</v>
      </c>
      <c r="M405" s="155">
        <f t="shared" si="68"/>
        <v>0</v>
      </c>
      <c r="N405" s="155">
        <f t="shared" si="69"/>
        <v>9.5846645367412275E-3</v>
      </c>
      <c r="O405" s="155">
        <f t="shared" si="70"/>
        <v>1.3224476573850064E-2</v>
      </c>
      <c r="P405" s="162">
        <f t="shared" si="71"/>
        <v>1.7064846416382284E-2</v>
      </c>
    </row>
    <row r="406" spans="1:16">
      <c r="A406" s="319">
        <v>44785</v>
      </c>
      <c r="B406" s="28">
        <v>3.26</v>
      </c>
      <c r="C406" s="29">
        <v>3.25</v>
      </c>
      <c r="D406" s="29">
        <v>3.18</v>
      </c>
      <c r="E406" s="30">
        <v>3.0751684675743829</v>
      </c>
      <c r="F406" s="29">
        <v>2.97</v>
      </c>
      <c r="G406" s="159">
        <f t="shared" si="62"/>
        <v>9.9999999999997863E-5</v>
      </c>
      <c r="H406" s="154">
        <f t="shared" si="63"/>
        <v>2.0000000000000017E-4</v>
      </c>
      <c r="I406" s="154">
        <f t="shared" si="64"/>
        <v>2.0000000000000017E-4</v>
      </c>
      <c r="J406" s="154">
        <f t="shared" si="65"/>
        <v>4.9964592188409541E-5</v>
      </c>
      <c r="K406" s="160">
        <f t="shared" si="66"/>
        <v>-9.9999999999997863E-5</v>
      </c>
      <c r="L406" s="161">
        <f t="shared" si="67"/>
        <v>3.0769230769229772E-3</v>
      </c>
      <c r="M406" s="155">
        <f t="shared" si="68"/>
        <v>6.1919504643963563E-3</v>
      </c>
      <c r="N406" s="155">
        <f t="shared" si="69"/>
        <v>6.3291139240506666E-3</v>
      </c>
      <c r="O406" s="155">
        <f t="shared" si="70"/>
        <v>1.6274199638466325E-3</v>
      </c>
      <c r="P406" s="162">
        <f t="shared" si="71"/>
        <v>-3.3557046979865168E-3</v>
      </c>
    </row>
    <row r="407" spans="1:16">
      <c r="A407" s="319">
        <v>44788</v>
      </c>
      <c r="B407" s="28">
        <v>3.23</v>
      </c>
      <c r="C407" s="29">
        <v>3.2</v>
      </c>
      <c r="D407" s="29">
        <v>3.14</v>
      </c>
      <c r="E407" s="30">
        <v>3.0250885962859164</v>
      </c>
      <c r="F407" s="29">
        <v>2.91</v>
      </c>
      <c r="G407" s="159">
        <f t="shared" si="62"/>
        <v>-2.9999999999999802E-4</v>
      </c>
      <c r="H407" s="154">
        <f t="shared" si="63"/>
        <v>-4.9999999999999828E-4</v>
      </c>
      <c r="I407" s="154">
        <f t="shared" si="64"/>
        <v>-4.0000000000000034E-4</v>
      </c>
      <c r="J407" s="154">
        <f t="shared" si="65"/>
        <v>-5.0079871288466471E-4</v>
      </c>
      <c r="K407" s="160">
        <f t="shared" si="66"/>
        <v>-6.0000000000000049E-4</v>
      </c>
      <c r="L407" s="161">
        <f t="shared" si="67"/>
        <v>-9.2024539877300082E-3</v>
      </c>
      <c r="M407" s="155">
        <f t="shared" si="68"/>
        <v>-1.538461538461533E-2</v>
      </c>
      <c r="N407" s="155">
        <f t="shared" si="69"/>
        <v>-1.2578616352201255E-2</v>
      </c>
      <c r="O407" s="155">
        <f t="shared" si="70"/>
        <v>-1.6285244797651144E-2</v>
      </c>
      <c r="P407" s="162">
        <f t="shared" si="71"/>
        <v>-2.0202020202020221E-2</v>
      </c>
    </row>
    <row r="408" spans="1:16">
      <c r="A408" s="319">
        <v>44789</v>
      </c>
      <c r="B408" s="28">
        <v>3.26</v>
      </c>
      <c r="C408" s="29">
        <v>3.25</v>
      </c>
      <c r="D408" s="29">
        <v>3.19</v>
      </c>
      <c r="E408" s="30">
        <v>3.0700944574496907</v>
      </c>
      <c r="F408" s="29">
        <v>2.95</v>
      </c>
      <c r="G408" s="159">
        <f t="shared" si="62"/>
        <v>2.9999999999999802E-4</v>
      </c>
      <c r="H408" s="154">
        <f t="shared" si="63"/>
        <v>4.9999999999999828E-4</v>
      </c>
      <c r="I408" s="154">
        <f t="shared" si="64"/>
        <v>4.9999999999999828E-4</v>
      </c>
      <c r="J408" s="154">
        <f t="shared" si="65"/>
        <v>4.5005861163774255E-4</v>
      </c>
      <c r="K408" s="160">
        <f t="shared" si="66"/>
        <v>4.0000000000000034E-4</v>
      </c>
      <c r="L408" s="161">
        <f t="shared" si="67"/>
        <v>9.2879256965943124E-3</v>
      </c>
      <c r="M408" s="155">
        <f t="shared" si="68"/>
        <v>1.5625E-2</v>
      </c>
      <c r="N408" s="155">
        <f t="shared" si="69"/>
        <v>1.5923566878980777E-2</v>
      </c>
      <c r="O408" s="155">
        <f t="shared" si="70"/>
        <v>1.4877534898988021E-2</v>
      </c>
      <c r="P408" s="162">
        <f t="shared" si="71"/>
        <v>1.3745704467353903E-2</v>
      </c>
    </row>
    <row r="409" spans="1:16">
      <c r="A409" s="319">
        <v>44790</v>
      </c>
      <c r="B409" s="28">
        <v>3.27</v>
      </c>
      <c r="C409" s="29">
        <v>3.28</v>
      </c>
      <c r="D409" s="29">
        <v>3.27</v>
      </c>
      <c r="E409" s="30">
        <v>3.1554649465990137</v>
      </c>
      <c r="F409" s="29">
        <v>3.04</v>
      </c>
      <c r="G409" s="159">
        <f t="shared" si="62"/>
        <v>1.0000000000000231E-4</v>
      </c>
      <c r="H409" s="154">
        <f t="shared" si="63"/>
        <v>2.9999999999999802E-4</v>
      </c>
      <c r="I409" s="154">
        <f t="shared" si="64"/>
        <v>8.0000000000000069E-4</v>
      </c>
      <c r="J409" s="154">
        <f t="shared" si="65"/>
        <v>8.5370489149322987E-4</v>
      </c>
      <c r="K409" s="160">
        <f t="shared" si="66"/>
        <v>8.9999999999999857E-4</v>
      </c>
      <c r="L409" s="161">
        <f t="shared" si="67"/>
        <v>3.0674846625766694E-3</v>
      </c>
      <c r="M409" s="155">
        <f t="shared" si="68"/>
        <v>9.2307692307691536E-3</v>
      </c>
      <c r="N409" s="155">
        <f t="shared" si="69"/>
        <v>2.5078369905956244E-2</v>
      </c>
      <c r="O409" s="155">
        <f t="shared" si="70"/>
        <v>2.7807121354904485E-2</v>
      </c>
      <c r="P409" s="162">
        <f t="shared" si="71"/>
        <v>3.050847457627115E-2</v>
      </c>
    </row>
    <row r="410" spans="1:16">
      <c r="A410" s="319">
        <v>44791</v>
      </c>
      <c r="B410" s="28">
        <v>3.24</v>
      </c>
      <c r="C410" s="29">
        <v>3.22</v>
      </c>
      <c r="D410" s="29">
        <v>3.23</v>
      </c>
      <c r="E410" s="30">
        <v>3.1252300554411079</v>
      </c>
      <c r="F410" s="29">
        <v>3.02</v>
      </c>
      <c r="G410" s="159">
        <f t="shared" si="62"/>
        <v>-2.9999999999999802E-4</v>
      </c>
      <c r="H410" s="154">
        <f t="shared" si="63"/>
        <v>-5.9999999999999604E-4</v>
      </c>
      <c r="I410" s="154">
        <f t="shared" si="64"/>
        <v>-4.0000000000000034E-4</v>
      </c>
      <c r="J410" s="154">
        <f t="shared" si="65"/>
        <v>-3.0234891157905787E-4</v>
      </c>
      <c r="K410" s="160">
        <f t="shared" si="66"/>
        <v>-2.0000000000000017E-4</v>
      </c>
      <c r="L410" s="161">
        <f t="shared" si="67"/>
        <v>-9.1743119266054496E-3</v>
      </c>
      <c r="M410" s="155">
        <f t="shared" si="68"/>
        <v>-1.8292682926829174E-2</v>
      </c>
      <c r="N410" s="155">
        <f t="shared" si="69"/>
        <v>-1.2232415902140636E-2</v>
      </c>
      <c r="O410" s="155">
        <f t="shared" si="70"/>
        <v>-9.5817547238143952E-3</v>
      </c>
      <c r="P410" s="162">
        <f t="shared" si="71"/>
        <v>-6.5789473684210176E-3</v>
      </c>
    </row>
    <row r="411" spans="1:16">
      <c r="A411" s="319">
        <v>44792</v>
      </c>
      <c r="B411" s="28">
        <v>3.26</v>
      </c>
      <c r="C411" s="29">
        <v>3.25</v>
      </c>
      <c r="D411" s="29">
        <v>3.28</v>
      </c>
      <c r="E411" s="30">
        <v>3.195430881385017</v>
      </c>
      <c r="F411" s="29">
        <v>3.11</v>
      </c>
      <c r="G411" s="159">
        <f t="shared" si="62"/>
        <v>1.9999999999999573E-4</v>
      </c>
      <c r="H411" s="154">
        <f t="shared" si="63"/>
        <v>2.9999999999999802E-4</v>
      </c>
      <c r="I411" s="154">
        <f t="shared" si="64"/>
        <v>4.9999999999999828E-4</v>
      </c>
      <c r="J411" s="154">
        <f t="shared" si="65"/>
        <v>7.0200825943909082E-4</v>
      </c>
      <c r="K411" s="160">
        <f t="shared" si="66"/>
        <v>8.9999999999999857E-4</v>
      </c>
      <c r="L411" s="161">
        <f t="shared" si="67"/>
        <v>6.1728395061726449E-3</v>
      </c>
      <c r="M411" s="155">
        <f t="shared" si="68"/>
        <v>9.3167701863352548E-3</v>
      </c>
      <c r="N411" s="155">
        <f t="shared" si="69"/>
        <v>1.5479876160990669E-2</v>
      </c>
      <c r="O411" s="155">
        <f t="shared" si="70"/>
        <v>2.2462610655394011E-2</v>
      </c>
      <c r="P411" s="162">
        <f t="shared" si="71"/>
        <v>2.9801324503311299E-2</v>
      </c>
    </row>
    <row r="412" spans="1:16">
      <c r="A412" s="319">
        <v>44795</v>
      </c>
      <c r="B412" s="28">
        <v>3.32</v>
      </c>
      <c r="C412" s="29">
        <v>3.32</v>
      </c>
      <c r="D412" s="29">
        <v>3.36</v>
      </c>
      <c r="E412" s="30">
        <v>3.2650084853119838</v>
      </c>
      <c r="F412" s="29">
        <v>3.17</v>
      </c>
      <c r="G412" s="159">
        <f t="shared" si="62"/>
        <v>6.0000000000000049E-4</v>
      </c>
      <c r="H412" s="154">
        <f t="shared" si="63"/>
        <v>6.9999999999999837E-4</v>
      </c>
      <c r="I412" s="154">
        <f t="shared" si="64"/>
        <v>8.0000000000000069E-4</v>
      </c>
      <c r="J412" s="154">
        <f t="shared" si="65"/>
        <v>6.9577603926966884E-4</v>
      </c>
      <c r="K412" s="160">
        <f t="shared" si="66"/>
        <v>6.0000000000000049E-4</v>
      </c>
      <c r="L412" s="161">
        <f t="shared" si="67"/>
        <v>1.8404907975460238E-2</v>
      </c>
      <c r="M412" s="155">
        <f t="shared" si="68"/>
        <v>2.1538461538461506E-2</v>
      </c>
      <c r="N412" s="155">
        <f t="shared" si="69"/>
        <v>2.4390243902439046E-2</v>
      </c>
      <c r="O412" s="155">
        <f t="shared" si="70"/>
        <v>2.1774091354092917E-2</v>
      </c>
      <c r="P412" s="162">
        <f t="shared" si="71"/>
        <v>1.9292604501607746E-2</v>
      </c>
    </row>
    <row r="413" spans="1:16">
      <c r="A413" s="319">
        <v>44796</v>
      </c>
      <c r="B413" s="28">
        <v>3.29</v>
      </c>
      <c r="C413" s="29">
        <v>3.29</v>
      </c>
      <c r="D413" s="29">
        <v>3.35</v>
      </c>
      <c r="E413" s="30">
        <v>3.2651454863047888</v>
      </c>
      <c r="F413" s="29">
        <v>3.18</v>
      </c>
      <c r="G413" s="159">
        <f t="shared" si="62"/>
        <v>-2.9999999999999802E-4</v>
      </c>
      <c r="H413" s="154">
        <f t="shared" si="63"/>
        <v>-2.9999999999999802E-4</v>
      </c>
      <c r="I413" s="154">
        <f t="shared" si="64"/>
        <v>-9.9999999999997863E-5</v>
      </c>
      <c r="J413" s="154">
        <f t="shared" si="65"/>
        <v>1.3700099280500311E-6</v>
      </c>
      <c r="K413" s="160">
        <f t="shared" si="66"/>
        <v>1.0000000000000231E-4</v>
      </c>
      <c r="L413" s="161">
        <f t="shared" si="67"/>
        <v>-9.0361445783131433E-3</v>
      </c>
      <c r="M413" s="155">
        <f t="shared" si="68"/>
        <v>-9.0361445783131433E-3</v>
      </c>
      <c r="N413" s="155">
        <f t="shared" si="69"/>
        <v>-2.9761904761904656E-3</v>
      </c>
      <c r="O413" s="155">
        <f t="shared" si="70"/>
        <v>4.1960378792671449E-5</v>
      </c>
      <c r="P413" s="162">
        <f t="shared" si="71"/>
        <v>3.154574132492094E-3</v>
      </c>
    </row>
    <row r="414" spans="1:16">
      <c r="A414" s="319">
        <v>44797</v>
      </c>
      <c r="B414" s="28">
        <v>3.35</v>
      </c>
      <c r="C414" s="29">
        <v>3.36</v>
      </c>
      <c r="D414" s="29">
        <v>3.4</v>
      </c>
      <c r="E414" s="30">
        <v>3.3003539136014224</v>
      </c>
      <c r="F414" s="29">
        <v>3.2</v>
      </c>
      <c r="G414" s="159">
        <f t="shared" si="62"/>
        <v>6.0000000000000049E-4</v>
      </c>
      <c r="H414" s="154">
        <f t="shared" si="63"/>
        <v>6.9999999999999837E-4</v>
      </c>
      <c r="I414" s="154">
        <f t="shared" si="64"/>
        <v>4.9999999999999828E-4</v>
      </c>
      <c r="J414" s="154">
        <f t="shared" si="65"/>
        <v>3.5208427296633537E-4</v>
      </c>
      <c r="K414" s="160">
        <f t="shared" si="66"/>
        <v>2.0000000000000017E-4</v>
      </c>
      <c r="L414" s="161">
        <f t="shared" si="67"/>
        <v>1.8237082066869359E-2</v>
      </c>
      <c r="M414" s="155">
        <f t="shared" si="68"/>
        <v>2.1276595744680771E-2</v>
      </c>
      <c r="N414" s="155">
        <f t="shared" si="69"/>
        <v>1.4925373134328401E-2</v>
      </c>
      <c r="O414" s="155">
        <f t="shared" si="70"/>
        <v>1.0783111332806072E-2</v>
      </c>
      <c r="P414" s="162">
        <f t="shared" si="71"/>
        <v>6.2893081761006275E-3</v>
      </c>
    </row>
    <row r="415" spans="1:16">
      <c r="A415" s="319">
        <v>44798</v>
      </c>
      <c r="B415" s="28">
        <v>3.33</v>
      </c>
      <c r="C415" s="29">
        <v>3.35</v>
      </c>
      <c r="D415" s="29">
        <v>3.37</v>
      </c>
      <c r="E415" s="30">
        <v>3.2603344659428433</v>
      </c>
      <c r="F415" s="29">
        <v>3.15</v>
      </c>
      <c r="G415" s="159">
        <f t="shared" si="62"/>
        <v>-2.0000000000000017E-4</v>
      </c>
      <c r="H415" s="154">
        <f t="shared" si="63"/>
        <v>-9.9999999999997863E-5</v>
      </c>
      <c r="I415" s="154">
        <f t="shared" si="64"/>
        <v>-2.9999999999999802E-4</v>
      </c>
      <c r="J415" s="154">
        <f t="shared" si="65"/>
        <v>-4.0019447658579121E-4</v>
      </c>
      <c r="K415" s="160">
        <f t="shared" si="66"/>
        <v>-5.0000000000000261E-4</v>
      </c>
      <c r="L415" s="161">
        <f t="shared" si="67"/>
        <v>-5.9701492537312939E-3</v>
      </c>
      <c r="M415" s="155">
        <f t="shared" si="68"/>
        <v>-2.9761904761904656E-3</v>
      </c>
      <c r="N415" s="155">
        <f t="shared" si="69"/>
        <v>-8.8235294117646745E-3</v>
      </c>
      <c r="O415" s="155">
        <f t="shared" si="70"/>
        <v>-1.2125804900392945E-2</v>
      </c>
      <c r="P415" s="162">
        <f t="shared" si="71"/>
        <v>-1.5625000000000111E-2</v>
      </c>
    </row>
    <row r="416" spans="1:16">
      <c r="A416" s="319">
        <v>44799</v>
      </c>
      <c r="B416" s="28">
        <v>3.36</v>
      </c>
      <c r="C416" s="29">
        <v>3.37</v>
      </c>
      <c r="D416" s="29">
        <v>3.4</v>
      </c>
      <c r="E416" s="30">
        <v>3.3004885634378813</v>
      </c>
      <c r="F416" s="29">
        <v>3.2</v>
      </c>
      <c r="G416" s="159">
        <f t="shared" si="62"/>
        <v>2.9999999999999802E-4</v>
      </c>
      <c r="H416" s="154">
        <f t="shared" si="63"/>
        <v>2.0000000000000017E-4</v>
      </c>
      <c r="I416" s="154">
        <f t="shared" si="64"/>
        <v>2.9999999999999802E-4</v>
      </c>
      <c r="J416" s="154">
        <f t="shared" si="65"/>
        <v>4.0154097495038066E-4</v>
      </c>
      <c r="K416" s="160">
        <f t="shared" si="66"/>
        <v>5.0000000000000261E-4</v>
      </c>
      <c r="L416" s="161">
        <f t="shared" si="67"/>
        <v>9.009009009008917E-3</v>
      </c>
      <c r="M416" s="155">
        <f t="shared" si="68"/>
        <v>5.9701492537314049E-3</v>
      </c>
      <c r="N416" s="155">
        <f t="shared" si="69"/>
        <v>8.9020771513352859E-3</v>
      </c>
      <c r="O416" s="155">
        <f t="shared" si="70"/>
        <v>1.2315944242679455E-2</v>
      </c>
      <c r="P416" s="162">
        <f t="shared" si="71"/>
        <v>1.5873015873016039E-2</v>
      </c>
    </row>
    <row r="417" spans="1:16">
      <c r="A417" s="319">
        <v>44802</v>
      </c>
      <c r="B417" s="28">
        <v>3.43</v>
      </c>
      <c r="C417" s="29">
        <v>3.42</v>
      </c>
      <c r="D417" s="29">
        <v>3.45</v>
      </c>
      <c r="E417" s="30">
        <v>3.36048177400213</v>
      </c>
      <c r="F417" s="29">
        <v>3.27</v>
      </c>
      <c r="G417" s="159">
        <f t="shared" si="62"/>
        <v>7.0000000000000281E-4</v>
      </c>
      <c r="H417" s="154">
        <f t="shared" si="63"/>
        <v>4.9999999999999828E-4</v>
      </c>
      <c r="I417" s="154">
        <f t="shared" si="64"/>
        <v>5.0000000000000261E-4</v>
      </c>
      <c r="J417" s="154">
        <f t="shared" si="65"/>
        <v>5.9993210564248669E-4</v>
      </c>
      <c r="K417" s="160">
        <f t="shared" si="66"/>
        <v>6.9999999999999837E-4</v>
      </c>
      <c r="L417" s="161">
        <f t="shared" si="67"/>
        <v>2.0833333333333481E-2</v>
      </c>
      <c r="M417" s="155">
        <f t="shared" si="68"/>
        <v>1.4836795252225476E-2</v>
      </c>
      <c r="N417" s="155">
        <f t="shared" si="69"/>
        <v>1.4705882352941346E-2</v>
      </c>
      <c r="O417" s="155">
        <f t="shared" si="70"/>
        <v>1.8177069670484824E-2</v>
      </c>
      <c r="P417" s="162">
        <f t="shared" si="71"/>
        <v>2.1874999999999867E-2</v>
      </c>
    </row>
    <row r="418" spans="1:16">
      <c r="A418" s="319">
        <v>44803</v>
      </c>
      <c r="B418" s="28">
        <v>3.48</v>
      </c>
      <c r="C418" s="29">
        <v>3.46</v>
      </c>
      <c r="D418" s="29">
        <v>3.47</v>
      </c>
      <c r="E418" s="30">
        <v>3.3703954425531522</v>
      </c>
      <c r="F418" s="29">
        <v>3.27</v>
      </c>
      <c r="G418" s="159">
        <f t="shared" si="62"/>
        <v>4.9999999999999828E-4</v>
      </c>
      <c r="H418" s="154">
        <f t="shared" si="63"/>
        <v>4.0000000000000034E-4</v>
      </c>
      <c r="I418" s="154">
        <f t="shared" si="64"/>
        <v>2.0000000000000017E-4</v>
      </c>
      <c r="J418" s="154">
        <f t="shared" si="65"/>
        <v>9.9136685510221593E-5</v>
      </c>
      <c r="K418" s="160">
        <f t="shared" si="66"/>
        <v>0</v>
      </c>
      <c r="L418" s="161">
        <f t="shared" si="67"/>
        <v>1.4577259475218707E-2</v>
      </c>
      <c r="M418" s="155">
        <f t="shared" si="68"/>
        <v>1.1695906432748648E-2</v>
      </c>
      <c r="N418" s="155">
        <f t="shared" si="69"/>
        <v>5.7971014492754769E-3</v>
      </c>
      <c r="O418" s="155">
        <f t="shared" si="70"/>
        <v>2.9500735959104851E-3</v>
      </c>
      <c r="P418" s="162">
        <f t="shared" si="71"/>
        <v>0</v>
      </c>
    </row>
    <row r="419" spans="1:16">
      <c r="A419" s="319">
        <v>44804</v>
      </c>
      <c r="B419" s="28">
        <v>3.5</v>
      </c>
      <c r="C419" s="29">
        <v>3.45</v>
      </c>
      <c r="D419" s="29">
        <v>3.46</v>
      </c>
      <c r="E419" s="30">
        <v>3.3802317296187625</v>
      </c>
      <c r="F419" s="29">
        <v>3.3</v>
      </c>
      <c r="G419" s="159">
        <f t="shared" si="62"/>
        <v>2.0000000000000017E-4</v>
      </c>
      <c r="H419" s="154">
        <f t="shared" si="63"/>
        <v>-9.9999999999997863E-5</v>
      </c>
      <c r="I419" s="154">
        <f t="shared" si="64"/>
        <v>-1.0000000000000231E-4</v>
      </c>
      <c r="J419" s="154">
        <f t="shared" si="65"/>
        <v>9.8362870656103492E-5</v>
      </c>
      <c r="K419" s="160">
        <f t="shared" si="66"/>
        <v>2.9999999999999802E-4</v>
      </c>
      <c r="L419" s="161">
        <f t="shared" si="67"/>
        <v>5.7471264367816577E-3</v>
      </c>
      <c r="M419" s="155">
        <f t="shared" si="68"/>
        <v>-2.8901734104045396E-3</v>
      </c>
      <c r="N419" s="155">
        <f t="shared" si="69"/>
        <v>-2.8818443804035088E-3</v>
      </c>
      <c r="O419" s="155">
        <f t="shared" si="70"/>
        <v>2.9184370894350664E-3</v>
      </c>
      <c r="P419" s="162">
        <f t="shared" si="71"/>
        <v>9.1743119266054496E-3</v>
      </c>
    </row>
    <row r="420" spans="1:16">
      <c r="A420" s="319">
        <v>44805</v>
      </c>
      <c r="B420" s="28">
        <v>3.51</v>
      </c>
      <c r="C420" s="29">
        <v>3.51</v>
      </c>
      <c r="D420" s="29">
        <v>3.54</v>
      </c>
      <c r="E420" s="30">
        <v>3.4654275397618184</v>
      </c>
      <c r="F420" s="29">
        <v>3.39</v>
      </c>
      <c r="G420" s="159">
        <f t="shared" si="62"/>
        <v>9.9999999999997863E-5</v>
      </c>
      <c r="H420" s="154">
        <f t="shared" si="63"/>
        <v>5.9999999999999604E-4</v>
      </c>
      <c r="I420" s="154">
        <f t="shared" si="64"/>
        <v>8.0000000000000069E-4</v>
      </c>
      <c r="J420" s="154">
        <f t="shared" si="65"/>
        <v>8.5195810143055882E-4</v>
      </c>
      <c r="K420" s="160">
        <f t="shared" si="66"/>
        <v>9.0000000000000301E-4</v>
      </c>
      <c r="L420" s="161">
        <f t="shared" si="67"/>
        <v>2.8571428571428914E-3</v>
      </c>
      <c r="M420" s="155">
        <f t="shared" si="68"/>
        <v>1.7391304347825987E-2</v>
      </c>
      <c r="N420" s="155">
        <f t="shared" si="69"/>
        <v>2.3121387283236983E-2</v>
      </c>
      <c r="O420" s="155">
        <f t="shared" si="70"/>
        <v>2.5204133017432184E-2</v>
      </c>
      <c r="P420" s="162">
        <f t="shared" si="71"/>
        <v>2.7272727272727337E-2</v>
      </c>
    </row>
    <row r="421" spans="1:16">
      <c r="A421" s="319">
        <v>44806</v>
      </c>
      <c r="B421" s="28">
        <v>3.47</v>
      </c>
      <c r="C421" s="29">
        <v>3.4</v>
      </c>
      <c r="D421" s="29">
        <v>3.44</v>
      </c>
      <c r="E421" s="30">
        <v>3.3701062937744615</v>
      </c>
      <c r="F421" s="29">
        <v>3.3</v>
      </c>
      <c r="G421" s="159">
        <f t="shared" si="62"/>
        <v>-3.999999999999959E-4</v>
      </c>
      <c r="H421" s="154">
        <f t="shared" si="63"/>
        <v>-1.0999999999999988E-3</v>
      </c>
      <c r="I421" s="154">
        <f t="shared" si="64"/>
        <v>-1.0000000000000009E-3</v>
      </c>
      <c r="J421" s="154">
        <f t="shared" si="65"/>
        <v>-9.5321245987356918E-4</v>
      </c>
      <c r="K421" s="160">
        <f t="shared" si="66"/>
        <v>-9.0000000000000301E-4</v>
      </c>
      <c r="L421" s="161">
        <f t="shared" si="67"/>
        <v>-1.1396011396011319E-2</v>
      </c>
      <c r="M421" s="155">
        <f t="shared" si="68"/>
        <v>-3.1339031339031265E-2</v>
      </c>
      <c r="N421" s="155">
        <f t="shared" si="69"/>
        <v>-2.8248587570621542E-2</v>
      </c>
      <c r="O421" s="155">
        <f t="shared" si="70"/>
        <v>-2.7506345146061983E-2</v>
      </c>
      <c r="P421" s="162">
        <f t="shared" si="71"/>
        <v>-2.6548672566371723E-2</v>
      </c>
    </row>
    <row r="422" spans="1:16">
      <c r="A422" s="319">
        <v>44810</v>
      </c>
      <c r="B422" s="28">
        <v>3.61</v>
      </c>
      <c r="C422" s="29">
        <v>3.5</v>
      </c>
      <c r="D422" s="29">
        <v>3.55</v>
      </c>
      <c r="E422" s="30">
        <v>3.4900129807251488</v>
      </c>
      <c r="F422" s="29">
        <v>3.43</v>
      </c>
      <c r="G422" s="159">
        <f t="shared" si="62"/>
        <v>1.3999999999999967E-3</v>
      </c>
      <c r="H422" s="154">
        <f t="shared" si="63"/>
        <v>1.0000000000000009E-3</v>
      </c>
      <c r="I422" s="154">
        <f t="shared" si="64"/>
        <v>1.0999999999999988E-3</v>
      </c>
      <c r="J422" s="154">
        <f t="shared" si="65"/>
        <v>1.1990668695068729E-3</v>
      </c>
      <c r="K422" s="160">
        <f t="shared" si="66"/>
        <v>1.3000000000000034E-3</v>
      </c>
      <c r="L422" s="161">
        <f t="shared" si="67"/>
        <v>4.0345821325648235E-2</v>
      </c>
      <c r="M422" s="155">
        <f t="shared" si="68"/>
        <v>2.941176470588247E-2</v>
      </c>
      <c r="N422" s="155">
        <f t="shared" si="69"/>
        <v>3.1976744186046568E-2</v>
      </c>
      <c r="O422" s="155">
        <f t="shared" si="70"/>
        <v>3.5579497053902731E-2</v>
      </c>
      <c r="P422" s="162">
        <f t="shared" si="71"/>
        <v>3.9393939393939537E-2</v>
      </c>
    </row>
    <row r="423" spans="1:16">
      <c r="A423" s="319">
        <v>44811</v>
      </c>
      <c r="B423" s="28">
        <v>3.6</v>
      </c>
      <c r="C423" s="29">
        <v>3.45</v>
      </c>
      <c r="D423" s="29">
        <v>3.5</v>
      </c>
      <c r="E423" s="30">
        <v>3.4353997346775706</v>
      </c>
      <c r="F423" s="29">
        <v>3.37</v>
      </c>
      <c r="G423" s="159">
        <f t="shared" si="62"/>
        <v>-9.9999999999997863E-5</v>
      </c>
      <c r="H423" s="154">
        <f t="shared" si="63"/>
        <v>-4.9999999999999828E-4</v>
      </c>
      <c r="I423" s="154">
        <f t="shared" si="64"/>
        <v>-4.9999999999999828E-4</v>
      </c>
      <c r="J423" s="154">
        <f t="shared" si="65"/>
        <v>-5.4613246047578116E-4</v>
      </c>
      <c r="K423" s="160">
        <f t="shared" si="66"/>
        <v>-6.0000000000000049E-4</v>
      </c>
      <c r="L423" s="161">
        <f t="shared" si="67"/>
        <v>-2.7700831024930483E-3</v>
      </c>
      <c r="M423" s="155">
        <f t="shared" si="68"/>
        <v>-1.4285714285714235E-2</v>
      </c>
      <c r="N423" s="155">
        <f t="shared" si="69"/>
        <v>-1.4084507042253502E-2</v>
      </c>
      <c r="O423" s="155">
        <f t="shared" si="70"/>
        <v>-1.5648436366626495E-2</v>
      </c>
      <c r="P423" s="162">
        <f t="shared" si="71"/>
        <v>-1.7492711370262426E-2</v>
      </c>
    </row>
    <row r="424" spans="1:16">
      <c r="A424" s="319">
        <v>44812</v>
      </c>
      <c r="B424" s="28">
        <v>3.6</v>
      </c>
      <c r="C424" s="29">
        <v>3.48</v>
      </c>
      <c r="D424" s="29">
        <v>3.54</v>
      </c>
      <c r="E424" s="30">
        <v>3.4652896111556362</v>
      </c>
      <c r="F424" s="29">
        <v>3.39</v>
      </c>
      <c r="G424" s="159">
        <f t="shared" si="62"/>
        <v>0</v>
      </c>
      <c r="H424" s="154">
        <f t="shared" si="63"/>
        <v>2.9999999999999802E-4</v>
      </c>
      <c r="I424" s="154">
        <f t="shared" si="64"/>
        <v>4.0000000000000034E-4</v>
      </c>
      <c r="J424" s="154">
        <f t="shared" si="65"/>
        <v>2.9889876478065512E-4</v>
      </c>
      <c r="K424" s="160">
        <f t="shared" si="66"/>
        <v>2.0000000000000017E-4</v>
      </c>
      <c r="L424" s="161">
        <f t="shared" si="67"/>
        <v>0</v>
      </c>
      <c r="M424" s="155">
        <f t="shared" si="68"/>
        <v>8.6956521739129933E-3</v>
      </c>
      <c r="N424" s="155">
        <f t="shared" si="69"/>
        <v>1.1428571428571344E-2</v>
      </c>
      <c r="O424" s="155">
        <f t="shared" si="70"/>
        <v>8.7005527119163872E-3</v>
      </c>
      <c r="P424" s="162">
        <f t="shared" si="71"/>
        <v>5.9347181008901906E-3</v>
      </c>
    </row>
    <row r="425" spans="1:16">
      <c r="A425" s="319">
        <v>44813</v>
      </c>
      <c r="B425" s="28">
        <v>3.67</v>
      </c>
      <c r="C425" s="29">
        <v>3.56</v>
      </c>
      <c r="D425" s="29">
        <v>3.61</v>
      </c>
      <c r="E425" s="30">
        <v>3.53009440301066</v>
      </c>
      <c r="F425" s="29">
        <v>3.45</v>
      </c>
      <c r="G425" s="159">
        <f t="shared" si="62"/>
        <v>6.9999999999999837E-4</v>
      </c>
      <c r="H425" s="154">
        <f t="shared" si="63"/>
        <v>8.0000000000000069E-4</v>
      </c>
      <c r="I425" s="154">
        <f t="shared" si="64"/>
        <v>6.9999999999999837E-4</v>
      </c>
      <c r="J425" s="154">
        <f t="shared" si="65"/>
        <v>6.4804791855023859E-4</v>
      </c>
      <c r="K425" s="160">
        <f t="shared" si="66"/>
        <v>6.0000000000000049E-4</v>
      </c>
      <c r="L425" s="161">
        <f t="shared" si="67"/>
        <v>1.9444444444444375E-2</v>
      </c>
      <c r="M425" s="155">
        <f t="shared" si="68"/>
        <v>2.2988505747126409E-2</v>
      </c>
      <c r="N425" s="155">
        <f t="shared" si="69"/>
        <v>1.9774011299434902E-2</v>
      </c>
      <c r="O425" s="155">
        <f t="shared" si="70"/>
        <v>1.8701118557710394E-2</v>
      </c>
      <c r="P425" s="162">
        <f t="shared" si="71"/>
        <v>1.7699115044247815E-2</v>
      </c>
    </row>
    <row r="426" spans="1:16">
      <c r="A426" s="319">
        <v>44816</v>
      </c>
      <c r="B426" s="28">
        <v>3.7</v>
      </c>
      <c r="C426" s="29">
        <v>3.58</v>
      </c>
      <c r="D426" s="29">
        <v>3.6</v>
      </c>
      <c r="E426" s="30">
        <v>3.5352814330985374</v>
      </c>
      <c r="F426" s="29">
        <v>3.47</v>
      </c>
      <c r="G426" s="159">
        <f t="shared" si="62"/>
        <v>3.0000000000000247E-4</v>
      </c>
      <c r="H426" s="154">
        <f t="shared" si="63"/>
        <v>2.0000000000000017E-4</v>
      </c>
      <c r="I426" s="154">
        <f t="shared" si="64"/>
        <v>-9.9999999999997863E-5</v>
      </c>
      <c r="J426" s="154">
        <f t="shared" si="65"/>
        <v>5.1870300878773532E-5</v>
      </c>
      <c r="K426" s="160">
        <f t="shared" si="66"/>
        <v>2.0000000000000017E-4</v>
      </c>
      <c r="L426" s="161">
        <f t="shared" si="67"/>
        <v>8.1743869209809361E-3</v>
      </c>
      <c r="M426" s="155">
        <f t="shared" si="68"/>
        <v>5.6179775280897903E-3</v>
      </c>
      <c r="N426" s="155">
        <f t="shared" si="69"/>
        <v>-2.7700831024930483E-3</v>
      </c>
      <c r="O426" s="155">
        <f t="shared" si="70"/>
        <v>1.4693743270586257E-3</v>
      </c>
      <c r="P426" s="162">
        <f t="shared" si="71"/>
        <v>5.7971014492754769E-3</v>
      </c>
    </row>
    <row r="427" spans="1:16">
      <c r="A427" s="319">
        <v>44817</v>
      </c>
      <c r="B427" s="28">
        <v>3.92</v>
      </c>
      <c r="C427" s="29">
        <v>3.75</v>
      </c>
      <c r="D427" s="29">
        <v>3.75</v>
      </c>
      <c r="E427" s="30">
        <v>3.6651891512981876</v>
      </c>
      <c r="F427" s="29">
        <v>3.58</v>
      </c>
      <c r="G427" s="159">
        <f t="shared" si="62"/>
        <v>2.1999999999999975E-3</v>
      </c>
      <c r="H427" s="154">
        <f t="shared" si="63"/>
        <v>1.6999999999999993E-3</v>
      </c>
      <c r="I427" s="154">
        <f t="shared" si="64"/>
        <v>1.4999999999999992E-3</v>
      </c>
      <c r="J427" s="154">
        <f t="shared" si="65"/>
        <v>1.2990771819965019E-3</v>
      </c>
      <c r="K427" s="160">
        <f t="shared" si="66"/>
        <v>1.0999999999999988E-3</v>
      </c>
      <c r="L427" s="161">
        <f t="shared" si="67"/>
        <v>5.9459459459459296E-2</v>
      </c>
      <c r="M427" s="155">
        <f t="shared" si="68"/>
        <v>4.748603351955305E-2</v>
      </c>
      <c r="N427" s="155">
        <f t="shared" si="69"/>
        <v>4.1666666666666741E-2</v>
      </c>
      <c r="O427" s="155">
        <f t="shared" si="70"/>
        <v>3.674607542794428E-2</v>
      </c>
      <c r="P427" s="162">
        <f t="shared" si="71"/>
        <v>3.170028818443793E-2</v>
      </c>
    </row>
    <row r="428" spans="1:16">
      <c r="A428" s="319">
        <v>44818</v>
      </c>
      <c r="B428" s="28">
        <v>3.95</v>
      </c>
      <c r="C428" s="29">
        <v>3.78</v>
      </c>
      <c r="D428" s="29">
        <v>3.79</v>
      </c>
      <c r="E428" s="30">
        <v>3.695088671198957</v>
      </c>
      <c r="F428" s="29">
        <v>3.6</v>
      </c>
      <c r="G428" s="159">
        <f t="shared" si="62"/>
        <v>3.0000000000000247E-4</v>
      </c>
      <c r="H428" s="154">
        <f t="shared" si="63"/>
        <v>2.9999999999999802E-4</v>
      </c>
      <c r="I428" s="154">
        <f t="shared" si="64"/>
        <v>4.0000000000000034E-4</v>
      </c>
      <c r="J428" s="154">
        <f t="shared" si="65"/>
        <v>2.9899519900769447E-4</v>
      </c>
      <c r="K428" s="160">
        <f t="shared" si="66"/>
        <v>2.0000000000000017E-4</v>
      </c>
      <c r="L428" s="161">
        <f t="shared" si="67"/>
        <v>7.6530612244898322E-3</v>
      </c>
      <c r="M428" s="155">
        <f t="shared" si="68"/>
        <v>8.0000000000000071E-3</v>
      </c>
      <c r="N428" s="155">
        <f t="shared" si="69"/>
        <v>1.0666666666666602E-2</v>
      </c>
      <c r="O428" s="155">
        <f t="shared" si="70"/>
        <v>8.1577017355787262E-3</v>
      </c>
      <c r="P428" s="162">
        <f t="shared" si="71"/>
        <v>5.5865921787709993E-3</v>
      </c>
    </row>
    <row r="429" spans="1:16">
      <c r="A429" s="319">
        <v>44819</v>
      </c>
      <c r="B429" s="28">
        <v>4</v>
      </c>
      <c r="C429" s="29">
        <v>3.87</v>
      </c>
      <c r="D429" s="29">
        <v>3.85</v>
      </c>
      <c r="E429" s="30">
        <v>3.7552989814219813</v>
      </c>
      <c r="F429" s="29">
        <v>3.66</v>
      </c>
      <c r="G429" s="159">
        <f t="shared" si="62"/>
        <v>4.9999999999999828E-4</v>
      </c>
      <c r="H429" s="154">
        <f t="shared" si="63"/>
        <v>9.0000000000000301E-4</v>
      </c>
      <c r="I429" s="154">
        <f t="shared" si="64"/>
        <v>6.0000000000000049E-4</v>
      </c>
      <c r="J429" s="154">
        <f t="shared" si="65"/>
        <v>6.021031022302426E-4</v>
      </c>
      <c r="K429" s="160">
        <f t="shared" si="66"/>
        <v>6.0000000000000049E-4</v>
      </c>
      <c r="L429" s="161">
        <f t="shared" si="67"/>
        <v>1.2658227848101111E-2</v>
      </c>
      <c r="M429" s="155">
        <f t="shared" si="68"/>
        <v>2.3809523809523947E-2</v>
      </c>
      <c r="N429" s="155">
        <f t="shared" si="69"/>
        <v>1.5831134564643801E-2</v>
      </c>
      <c r="O429" s="155">
        <f t="shared" si="70"/>
        <v>1.6294686157960925E-2</v>
      </c>
      <c r="P429" s="162">
        <f t="shared" si="71"/>
        <v>1.6666666666666607E-2</v>
      </c>
    </row>
    <row r="430" spans="1:16">
      <c r="A430" s="319">
        <v>44820</v>
      </c>
      <c r="B430" s="28">
        <v>3.96</v>
      </c>
      <c r="C430" s="29">
        <v>3.85</v>
      </c>
      <c r="D430" s="29">
        <v>3.81</v>
      </c>
      <c r="E430" s="30">
        <v>3.7154492542538278</v>
      </c>
      <c r="F430" s="29">
        <v>3.62</v>
      </c>
      <c r="G430" s="159">
        <f t="shared" si="62"/>
        <v>-4.0000000000000034E-4</v>
      </c>
      <c r="H430" s="154">
        <f t="shared" si="63"/>
        <v>-2.0000000000000017E-4</v>
      </c>
      <c r="I430" s="154">
        <f t="shared" si="64"/>
        <v>-4.0000000000000034E-4</v>
      </c>
      <c r="J430" s="154">
        <f t="shared" si="65"/>
        <v>-3.9849727168153495E-4</v>
      </c>
      <c r="K430" s="160">
        <f t="shared" si="66"/>
        <v>-4.0000000000000034E-4</v>
      </c>
      <c r="L430" s="161">
        <f t="shared" si="67"/>
        <v>-1.0000000000000009E-2</v>
      </c>
      <c r="M430" s="155">
        <f t="shared" si="68"/>
        <v>-5.1679586563307955E-3</v>
      </c>
      <c r="N430" s="155">
        <f t="shared" si="69"/>
        <v>-1.0389610389610393E-2</v>
      </c>
      <c r="O430" s="155">
        <f t="shared" si="70"/>
        <v>-1.061159906715714E-2</v>
      </c>
      <c r="P430" s="162">
        <f t="shared" si="71"/>
        <v>-1.0928961748633892E-2</v>
      </c>
    </row>
    <row r="431" spans="1:16">
      <c r="A431" s="319">
        <v>44823</v>
      </c>
      <c r="B431" s="28">
        <v>4.05</v>
      </c>
      <c r="C431" s="29">
        <v>3.95</v>
      </c>
      <c r="D431" s="29">
        <v>3.9</v>
      </c>
      <c r="E431" s="30">
        <v>3.7953412744350445</v>
      </c>
      <c r="F431" s="29">
        <v>3.69</v>
      </c>
      <c r="G431" s="159">
        <f t="shared" si="62"/>
        <v>8.9999999999999857E-4</v>
      </c>
      <c r="H431" s="154">
        <f t="shared" si="63"/>
        <v>1.0000000000000009E-3</v>
      </c>
      <c r="I431" s="154">
        <f t="shared" si="64"/>
        <v>8.9999999999999857E-4</v>
      </c>
      <c r="J431" s="154">
        <f t="shared" si="65"/>
        <v>7.9892020181216773E-4</v>
      </c>
      <c r="K431" s="160">
        <f t="shared" si="66"/>
        <v>6.9999999999999837E-4</v>
      </c>
      <c r="L431" s="161">
        <f t="shared" si="67"/>
        <v>2.2727272727272707E-2</v>
      </c>
      <c r="M431" s="155">
        <f t="shared" si="68"/>
        <v>2.5974025974025983E-2</v>
      </c>
      <c r="N431" s="155">
        <f t="shared" si="69"/>
        <v>2.3622047244094446E-2</v>
      </c>
      <c r="O431" s="155">
        <f t="shared" si="70"/>
        <v>2.1502654111006381E-2</v>
      </c>
      <c r="P431" s="162">
        <f t="shared" si="71"/>
        <v>1.9337016574585641E-2</v>
      </c>
    </row>
    <row r="432" spans="1:16">
      <c r="A432" s="319">
        <v>44824</v>
      </c>
      <c r="B432" s="28">
        <v>4.03</v>
      </c>
      <c r="C432" s="29">
        <v>3.96</v>
      </c>
      <c r="D432" s="29">
        <v>3.94</v>
      </c>
      <c r="E432" s="30">
        <v>3.8451358968456764</v>
      </c>
      <c r="F432" s="29">
        <v>3.75</v>
      </c>
      <c r="G432" s="159">
        <f t="shared" si="62"/>
        <v>-1.9999999999999573E-4</v>
      </c>
      <c r="H432" s="154">
        <f t="shared" si="63"/>
        <v>9.9999999999997863E-5</v>
      </c>
      <c r="I432" s="154">
        <f t="shared" si="64"/>
        <v>4.0000000000000034E-4</v>
      </c>
      <c r="J432" s="154">
        <f t="shared" si="65"/>
        <v>4.9794622410631812E-4</v>
      </c>
      <c r="K432" s="160">
        <f t="shared" si="66"/>
        <v>6.0000000000000049E-4</v>
      </c>
      <c r="L432" s="161">
        <f t="shared" si="67"/>
        <v>-4.9382716049382047E-3</v>
      </c>
      <c r="M432" s="155">
        <f t="shared" si="68"/>
        <v>2.5316455696202667E-3</v>
      </c>
      <c r="N432" s="155">
        <f t="shared" si="69"/>
        <v>1.025641025641022E-2</v>
      </c>
      <c r="O432" s="155">
        <f t="shared" si="70"/>
        <v>1.311993278339485E-2</v>
      </c>
      <c r="P432" s="162">
        <f t="shared" si="71"/>
        <v>1.6260162601626105E-2</v>
      </c>
    </row>
    <row r="433" spans="1:16">
      <c r="A433" s="319">
        <v>44825</v>
      </c>
      <c r="B433" s="28">
        <v>4.08</v>
      </c>
      <c r="C433" s="29">
        <v>4.0199999999999996</v>
      </c>
      <c r="D433" s="29">
        <v>3.98</v>
      </c>
      <c r="E433" s="30">
        <v>3.8604723081744576</v>
      </c>
      <c r="F433" s="29">
        <v>3.74</v>
      </c>
      <c r="G433" s="159">
        <f t="shared" si="62"/>
        <v>4.9999999999999828E-4</v>
      </c>
      <c r="H433" s="154">
        <f t="shared" si="63"/>
        <v>5.9999999999999604E-4</v>
      </c>
      <c r="I433" s="154">
        <f t="shared" si="64"/>
        <v>4.0000000000000034E-4</v>
      </c>
      <c r="J433" s="154">
        <f t="shared" si="65"/>
        <v>1.5336411328781274E-4</v>
      </c>
      <c r="K433" s="160">
        <f t="shared" si="66"/>
        <v>-9.9999999999997863E-5</v>
      </c>
      <c r="L433" s="161">
        <f t="shared" si="67"/>
        <v>1.2406947890818865E-2</v>
      </c>
      <c r="M433" s="155">
        <f t="shared" si="68"/>
        <v>1.5151515151515138E-2</v>
      </c>
      <c r="N433" s="155">
        <f t="shared" si="69"/>
        <v>1.0152284263959421E-2</v>
      </c>
      <c r="O433" s="155">
        <f t="shared" si="70"/>
        <v>3.988522575069986E-3</v>
      </c>
      <c r="P433" s="162">
        <f t="shared" si="71"/>
        <v>-2.666666666666595E-3</v>
      </c>
    </row>
    <row r="434" spans="1:16">
      <c r="A434" s="319">
        <v>44826</v>
      </c>
      <c r="B434" s="28">
        <v>4.08</v>
      </c>
      <c r="C434" s="29">
        <v>4.1100000000000003</v>
      </c>
      <c r="D434" s="29">
        <v>4.12</v>
      </c>
      <c r="E434" s="30">
        <v>4.0151405034460144</v>
      </c>
      <c r="F434" s="29">
        <v>3.91</v>
      </c>
      <c r="G434" s="159">
        <f t="shared" si="62"/>
        <v>0</v>
      </c>
      <c r="H434" s="154">
        <f t="shared" si="63"/>
        <v>9.0000000000000746E-4</v>
      </c>
      <c r="I434" s="154">
        <f t="shared" si="64"/>
        <v>1.4000000000000013E-3</v>
      </c>
      <c r="J434" s="154">
        <f t="shared" si="65"/>
        <v>1.5466819527155673E-3</v>
      </c>
      <c r="K434" s="160">
        <f t="shared" si="66"/>
        <v>1.6999999999999993E-3</v>
      </c>
      <c r="L434" s="161">
        <f t="shared" si="67"/>
        <v>0</v>
      </c>
      <c r="M434" s="155">
        <f t="shared" si="68"/>
        <v>2.2388059701492713E-2</v>
      </c>
      <c r="N434" s="155">
        <f t="shared" si="69"/>
        <v>3.5175879396984966E-2</v>
      </c>
      <c r="O434" s="155">
        <f t="shared" si="70"/>
        <v>4.0064578353288693E-2</v>
      </c>
      <c r="P434" s="162">
        <f t="shared" si="71"/>
        <v>4.5454545454545414E-2</v>
      </c>
    </row>
    <row r="435" spans="1:16">
      <c r="A435" s="319">
        <v>44827</v>
      </c>
      <c r="B435" s="28">
        <v>4.1500000000000004</v>
      </c>
      <c r="C435" s="29">
        <v>4.2</v>
      </c>
      <c r="D435" s="29">
        <v>4.21</v>
      </c>
      <c r="E435" s="30">
        <v>4.0854169569907333</v>
      </c>
      <c r="F435" s="29">
        <v>3.96</v>
      </c>
      <c r="G435" s="159">
        <f t="shared" si="62"/>
        <v>7.0000000000000281E-4</v>
      </c>
      <c r="H435" s="154">
        <f t="shared" si="63"/>
        <v>8.9999999999999857E-4</v>
      </c>
      <c r="I435" s="154">
        <f t="shared" si="64"/>
        <v>8.9999999999999857E-4</v>
      </c>
      <c r="J435" s="154">
        <f t="shared" si="65"/>
        <v>7.0276453544718901E-4</v>
      </c>
      <c r="K435" s="160">
        <f t="shared" si="66"/>
        <v>4.9999999999999828E-4</v>
      </c>
      <c r="L435" s="161">
        <f t="shared" si="67"/>
        <v>1.71568627450982E-2</v>
      </c>
      <c r="M435" s="155">
        <f t="shared" si="68"/>
        <v>2.1897810218977964E-2</v>
      </c>
      <c r="N435" s="155">
        <f t="shared" si="69"/>
        <v>2.1844660194174637E-2</v>
      </c>
      <c r="O435" s="155">
        <f t="shared" si="70"/>
        <v>1.7502862847365908E-2</v>
      </c>
      <c r="P435" s="162">
        <f t="shared" si="71"/>
        <v>1.2787723785166127E-2</v>
      </c>
    </row>
    <row r="436" spans="1:16">
      <c r="A436" s="319">
        <v>44830</v>
      </c>
      <c r="B436" s="28">
        <v>4.17</v>
      </c>
      <c r="C436" s="29">
        <v>4.2699999999999996</v>
      </c>
      <c r="D436" s="29">
        <v>4.37</v>
      </c>
      <c r="E436" s="30">
        <v>4.2600079269669155</v>
      </c>
      <c r="F436" s="29">
        <v>4.1500000000000004</v>
      </c>
      <c r="G436" s="159">
        <f t="shared" si="62"/>
        <v>1.9999999999999573E-4</v>
      </c>
      <c r="H436" s="154">
        <f t="shared" si="63"/>
        <v>6.9999999999999392E-4</v>
      </c>
      <c r="I436" s="154">
        <f t="shared" si="64"/>
        <v>1.6000000000000014E-3</v>
      </c>
      <c r="J436" s="154">
        <f t="shared" si="65"/>
        <v>1.7459096997618228E-3</v>
      </c>
      <c r="K436" s="160">
        <f t="shared" si="66"/>
        <v>1.9000000000000039E-3</v>
      </c>
      <c r="L436" s="161">
        <f t="shared" si="67"/>
        <v>4.8192771084336616E-3</v>
      </c>
      <c r="M436" s="155">
        <f t="shared" si="68"/>
        <v>1.6666666666666607E-2</v>
      </c>
      <c r="N436" s="155">
        <f t="shared" si="69"/>
        <v>3.8004750593824355E-2</v>
      </c>
      <c r="O436" s="155">
        <f t="shared" si="70"/>
        <v>4.2735165544714349E-2</v>
      </c>
      <c r="P436" s="162">
        <f t="shared" si="71"/>
        <v>4.7979797979798011E-2</v>
      </c>
    </row>
    <row r="437" spans="1:16">
      <c r="A437" s="319">
        <v>44831</v>
      </c>
      <c r="B437" s="28">
        <v>4.16</v>
      </c>
      <c r="C437" s="29">
        <v>4.3</v>
      </c>
      <c r="D437" s="29">
        <v>4.3899999999999997</v>
      </c>
      <c r="E437" s="30">
        <v>4.30007557179482</v>
      </c>
      <c r="F437" s="29">
        <v>4.21</v>
      </c>
      <c r="G437" s="159">
        <f t="shared" si="62"/>
        <v>-9.9999999999997863E-5</v>
      </c>
      <c r="H437" s="154">
        <f t="shared" si="63"/>
        <v>3.0000000000000247E-4</v>
      </c>
      <c r="I437" s="154">
        <f t="shared" si="64"/>
        <v>1.9999999999999573E-4</v>
      </c>
      <c r="J437" s="154">
        <f t="shared" si="65"/>
        <v>4.0067644827904478E-4</v>
      </c>
      <c r="K437" s="160">
        <f t="shared" si="66"/>
        <v>5.9999999999999604E-4</v>
      </c>
      <c r="L437" s="161">
        <f t="shared" si="67"/>
        <v>-2.3980815347721673E-3</v>
      </c>
      <c r="M437" s="155">
        <f t="shared" si="68"/>
        <v>7.0257611241217877E-3</v>
      </c>
      <c r="N437" s="155">
        <f t="shared" si="69"/>
        <v>4.5766590389015871E-3</v>
      </c>
      <c r="O437" s="155">
        <f t="shared" si="70"/>
        <v>9.4055329273605714E-3</v>
      </c>
      <c r="P437" s="162">
        <f t="shared" si="71"/>
        <v>1.4457831325301207E-2</v>
      </c>
    </row>
    <row r="438" spans="1:16">
      <c r="A438" s="319">
        <v>44832</v>
      </c>
      <c r="B438" s="28">
        <v>3.99</v>
      </c>
      <c r="C438" s="29">
        <v>4.07</v>
      </c>
      <c r="D438" s="29">
        <v>4.12</v>
      </c>
      <c r="E438" s="30">
        <v>4.0200351381341379</v>
      </c>
      <c r="F438" s="29">
        <v>3.92</v>
      </c>
      <c r="G438" s="159">
        <f t="shared" si="62"/>
        <v>-1.6999999999999993E-3</v>
      </c>
      <c r="H438" s="154">
        <f t="shared" si="63"/>
        <v>-2.2999999999999952E-3</v>
      </c>
      <c r="I438" s="154">
        <f t="shared" si="64"/>
        <v>-2.6999999999999958E-3</v>
      </c>
      <c r="J438" s="154">
        <f t="shared" si="65"/>
        <v>-2.8004043366068208E-3</v>
      </c>
      <c r="K438" s="160">
        <f t="shared" si="66"/>
        <v>-2.9000000000000002E-3</v>
      </c>
      <c r="L438" s="161">
        <f t="shared" si="67"/>
        <v>-4.0865384615384581E-2</v>
      </c>
      <c r="M438" s="155">
        <f t="shared" si="68"/>
        <v>-5.3488372093023151E-2</v>
      </c>
      <c r="N438" s="155">
        <f t="shared" si="69"/>
        <v>-6.1503416856491966E-2</v>
      </c>
      <c r="O438" s="155">
        <f t="shared" si="70"/>
        <v>-6.5124537693600382E-2</v>
      </c>
      <c r="P438" s="162">
        <f t="shared" si="71"/>
        <v>-6.8883610451306421E-2</v>
      </c>
    </row>
    <row r="439" spans="1:16">
      <c r="A439" s="319">
        <v>44833</v>
      </c>
      <c r="B439" s="28">
        <v>3.98</v>
      </c>
      <c r="C439" s="29">
        <v>4.16</v>
      </c>
      <c r="D439" s="29">
        <v>4.1900000000000004</v>
      </c>
      <c r="E439" s="30">
        <v>4.0854486740988412</v>
      </c>
      <c r="F439" s="29">
        <v>3.98</v>
      </c>
      <c r="G439" s="159">
        <f t="shared" si="62"/>
        <v>-1.0000000000000231E-4</v>
      </c>
      <c r="H439" s="154">
        <f t="shared" si="63"/>
        <v>8.9999999999999857E-4</v>
      </c>
      <c r="I439" s="154">
        <f t="shared" si="64"/>
        <v>7.0000000000000281E-4</v>
      </c>
      <c r="J439" s="154">
        <f t="shared" si="65"/>
        <v>6.5413535964703234E-4</v>
      </c>
      <c r="K439" s="160">
        <f t="shared" si="66"/>
        <v>6.0000000000000049E-4</v>
      </c>
      <c r="L439" s="161">
        <f t="shared" si="67"/>
        <v>-2.5062656641604564E-3</v>
      </c>
      <c r="M439" s="155">
        <f t="shared" si="68"/>
        <v>2.2113022113022129E-2</v>
      </c>
      <c r="N439" s="155">
        <f t="shared" si="69"/>
        <v>1.6990291262136026E-2</v>
      </c>
      <c r="O439" s="155">
        <f t="shared" si="70"/>
        <v>1.6271881642075492E-2</v>
      </c>
      <c r="P439" s="162">
        <f t="shared" si="71"/>
        <v>1.5306122448979664E-2</v>
      </c>
    </row>
    <row r="440" spans="1:16">
      <c r="A440" s="319">
        <v>44834</v>
      </c>
      <c r="B440" s="28">
        <v>4.05</v>
      </c>
      <c r="C440" s="29">
        <v>4.22</v>
      </c>
      <c r="D440" s="29">
        <v>4.25</v>
      </c>
      <c r="E440" s="30">
        <v>4.155028306943727</v>
      </c>
      <c r="F440" s="29">
        <v>4.0599999999999996</v>
      </c>
      <c r="G440" s="159">
        <f t="shared" si="62"/>
        <v>6.9999999999999837E-4</v>
      </c>
      <c r="H440" s="154">
        <f t="shared" si="63"/>
        <v>5.9999999999999604E-4</v>
      </c>
      <c r="I440" s="154">
        <f t="shared" si="64"/>
        <v>5.9999999999999604E-4</v>
      </c>
      <c r="J440" s="154">
        <f t="shared" si="65"/>
        <v>6.9579632844885887E-4</v>
      </c>
      <c r="K440" s="160">
        <f t="shared" si="66"/>
        <v>7.9999999999999624E-4</v>
      </c>
      <c r="L440" s="161">
        <f t="shared" si="67"/>
        <v>1.7587939698492372E-2</v>
      </c>
      <c r="M440" s="155">
        <f t="shared" si="68"/>
        <v>1.4423076923076872E-2</v>
      </c>
      <c r="N440" s="155">
        <f t="shared" si="69"/>
        <v>1.4319809069212264E-2</v>
      </c>
      <c r="O440" s="155">
        <f t="shared" si="70"/>
        <v>1.7031087255118482E-2</v>
      </c>
      <c r="P440" s="162">
        <f t="shared" si="71"/>
        <v>2.0100502512562679E-2</v>
      </c>
    </row>
    <row r="441" spans="1:16">
      <c r="A441" s="319">
        <v>44837</v>
      </c>
      <c r="B441" s="28">
        <v>4.01</v>
      </c>
      <c r="C441" s="29">
        <v>4.12</v>
      </c>
      <c r="D441" s="29">
        <v>4.12</v>
      </c>
      <c r="E441" s="30">
        <v>4.0103346552108752</v>
      </c>
      <c r="F441" s="29">
        <v>3.9</v>
      </c>
      <c r="G441" s="159">
        <f t="shared" si="62"/>
        <v>-4.0000000000000034E-4</v>
      </c>
      <c r="H441" s="154">
        <f t="shared" si="63"/>
        <v>-9.9999999999999655E-4</v>
      </c>
      <c r="I441" s="154">
        <f t="shared" si="64"/>
        <v>-1.2999999999999989E-3</v>
      </c>
      <c r="J441" s="154">
        <f t="shared" si="65"/>
        <v>-1.4469365173285188E-3</v>
      </c>
      <c r="K441" s="160">
        <f t="shared" si="66"/>
        <v>-1.599999999999997E-3</v>
      </c>
      <c r="L441" s="161">
        <f t="shared" si="67"/>
        <v>-9.8765432098765205E-3</v>
      </c>
      <c r="M441" s="155">
        <f t="shared" si="68"/>
        <v>-2.3696682464454888E-2</v>
      </c>
      <c r="N441" s="155">
        <f t="shared" si="69"/>
        <v>-3.0588235294117583E-2</v>
      </c>
      <c r="O441" s="155">
        <f t="shared" si="70"/>
        <v>-3.4823746324674887E-2</v>
      </c>
      <c r="P441" s="162">
        <f t="shared" si="71"/>
        <v>-3.9408866995073843E-2</v>
      </c>
    </row>
    <row r="442" spans="1:16">
      <c r="A442" s="319">
        <v>44838</v>
      </c>
      <c r="B442" s="28">
        <v>4.1500000000000004</v>
      </c>
      <c r="C442" s="29">
        <v>4.0999999999999996</v>
      </c>
      <c r="D442" s="29">
        <v>4.08</v>
      </c>
      <c r="E442" s="30">
        <v>3.9603644665490916</v>
      </c>
      <c r="F442" s="29">
        <v>3.84</v>
      </c>
      <c r="G442" s="159">
        <f t="shared" si="62"/>
        <v>1.4000000000000056E-3</v>
      </c>
      <c r="H442" s="154">
        <f t="shared" si="63"/>
        <v>-2.0000000000000462E-4</v>
      </c>
      <c r="I442" s="154">
        <f t="shared" si="64"/>
        <v>-4.0000000000000034E-4</v>
      </c>
      <c r="J442" s="154">
        <f t="shared" si="65"/>
        <v>-4.9970188661783597E-4</v>
      </c>
      <c r="K442" s="160">
        <f t="shared" si="66"/>
        <v>-6.0000000000000049E-4</v>
      </c>
      <c r="L442" s="161">
        <f t="shared" si="67"/>
        <v>3.4912718204488824E-2</v>
      </c>
      <c r="M442" s="155">
        <f t="shared" si="68"/>
        <v>-4.8543689320389438E-3</v>
      </c>
      <c r="N442" s="155">
        <f t="shared" si="69"/>
        <v>-9.7087378640776656E-3</v>
      </c>
      <c r="O442" s="155">
        <f t="shared" si="70"/>
        <v>-1.2460353800362811E-2</v>
      </c>
      <c r="P442" s="162">
        <f t="shared" si="71"/>
        <v>-1.5384615384615441E-2</v>
      </c>
    </row>
    <row r="443" spans="1:16">
      <c r="A443" s="319">
        <v>44839</v>
      </c>
      <c r="B443" s="28">
        <v>4.1399999999999997</v>
      </c>
      <c r="C443" s="29">
        <v>4.1500000000000004</v>
      </c>
      <c r="D443" s="29">
        <v>4.17</v>
      </c>
      <c r="E443" s="30">
        <v>4.0653425979429239</v>
      </c>
      <c r="F443" s="29">
        <v>3.96</v>
      </c>
      <c r="G443" s="159">
        <f t="shared" si="62"/>
        <v>-1.0000000000000675E-4</v>
      </c>
      <c r="H443" s="154">
        <f t="shared" si="63"/>
        <v>5.0000000000000706E-4</v>
      </c>
      <c r="I443" s="154">
        <f t="shared" si="64"/>
        <v>8.9999999999999857E-4</v>
      </c>
      <c r="J443" s="154">
        <f t="shared" si="65"/>
        <v>1.0497813139383227E-3</v>
      </c>
      <c r="K443" s="160">
        <f t="shared" si="66"/>
        <v>1.200000000000001E-3</v>
      </c>
      <c r="L443" s="161">
        <f t="shared" si="67"/>
        <v>-2.4096385542170529E-3</v>
      </c>
      <c r="M443" s="155">
        <f t="shared" si="68"/>
        <v>1.2195121951219745E-2</v>
      </c>
      <c r="N443" s="155">
        <f t="shared" si="69"/>
        <v>2.2058823529411686E-2</v>
      </c>
      <c r="O443" s="155">
        <f t="shared" si="70"/>
        <v>2.6507189497462225E-2</v>
      </c>
      <c r="P443" s="162">
        <f t="shared" si="71"/>
        <v>3.125E-2</v>
      </c>
    </row>
    <row r="444" spans="1:16">
      <c r="A444" s="319">
        <v>44840</v>
      </c>
      <c r="B444" s="28">
        <v>4.1900000000000004</v>
      </c>
      <c r="C444" s="29">
        <v>4.2300000000000004</v>
      </c>
      <c r="D444" s="29">
        <v>4.24</v>
      </c>
      <c r="E444" s="30">
        <v>4.1454541244683583</v>
      </c>
      <c r="F444" s="29">
        <v>4.05</v>
      </c>
      <c r="G444" s="159">
        <f t="shared" si="62"/>
        <v>5.0000000000000706E-4</v>
      </c>
      <c r="H444" s="154">
        <f t="shared" si="63"/>
        <v>8.0000000000000069E-4</v>
      </c>
      <c r="I444" s="154">
        <f t="shared" si="64"/>
        <v>7.0000000000000281E-4</v>
      </c>
      <c r="J444" s="154">
        <f t="shared" si="65"/>
        <v>8.0111526525434402E-4</v>
      </c>
      <c r="K444" s="160">
        <f t="shared" si="66"/>
        <v>8.9999999999999857E-4</v>
      </c>
      <c r="L444" s="161">
        <f t="shared" si="67"/>
        <v>1.2077294685990614E-2</v>
      </c>
      <c r="M444" s="155">
        <f t="shared" si="68"/>
        <v>1.9277108433734869E-2</v>
      </c>
      <c r="N444" s="155">
        <f t="shared" si="69"/>
        <v>1.6786570743405393E-2</v>
      </c>
      <c r="O444" s="155">
        <f t="shared" si="70"/>
        <v>1.9705971783527287E-2</v>
      </c>
      <c r="P444" s="162">
        <f t="shared" si="71"/>
        <v>2.2727272727272707E-2</v>
      </c>
    </row>
    <row r="445" spans="1:16">
      <c r="A445" s="319">
        <v>44841</v>
      </c>
      <c r="B445" s="28">
        <v>4.24</v>
      </c>
      <c r="C445" s="29">
        <v>4.3</v>
      </c>
      <c r="D445" s="29">
        <v>4.33</v>
      </c>
      <c r="E445" s="30">
        <v>4.2352404440697713</v>
      </c>
      <c r="F445" s="29">
        <v>4.1399999999999997</v>
      </c>
      <c r="G445" s="159">
        <f t="shared" si="62"/>
        <v>4.9999999999999828E-4</v>
      </c>
      <c r="H445" s="154">
        <f t="shared" si="63"/>
        <v>6.9999999999999392E-4</v>
      </c>
      <c r="I445" s="154">
        <f t="shared" si="64"/>
        <v>8.9999999999999857E-4</v>
      </c>
      <c r="J445" s="154">
        <f t="shared" si="65"/>
        <v>8.9786319601413032E-4</v>
      </c>
      <c r="K445" s="160">
        <f t="shared" si="66"/>
        <v>8.9999999999999857E-4</v>
      </c>
      <c r="L445" s="161">
        <f t="shared" si="67"/>
        <v>1.193317422434359E-2</v>
      </c>
      <c r="M445" s="155">
        <f t="shared" si="68"/>
        <v>1.6548463356973908E-2</v>
      </c>
      <c r="N445" s="155">
        <f t="shared" si="69"/>
        <v>2.1226415094339535E-2</v>
      </c>
      <c r="O445" s="155">
        <f t="shared" si="70"/>
        <v>2.1658982805153659E-2</v>
      </c>
      <c r="P445" s="162">
        <f t="shared" si="71"/>
        <v>2.2222222222222143E-2</v>
      </c>
    </row>
    <row r="446" spans="1:16">
      <c r="A446" s="319">
        <v>44845</v>
      </c>
      <c r="B446" s="28">
        <v>4.28</v>
      </c>
      <c r="C446" s="29">
        <v>4.3</v>
      </c>
      <c r="D446" s="29">
        <v>4.3099999999999996</v>
      </c>
      <c r="E446" s="30">
        <v>4.22520602387723</v>
      </c>
      <c r="F446" s="29">
        <v>4.1399999999999997</v>
      </c>
      <c r="G446" s="159">
        <f t="shared" si="62"/>
        <v>4.0000000000000034E-4</v>
      </c>
      <c r="H446" s="154">
        <f t="shared" si="63"/>
        <v>0</v>
      </c>
      <c r="I446" s="154">
        <f t="shared" si="64"/>
        <v>-2.0000000000000462E-4</v>
      </c>
      <c r="J446" s="154">
        <f t="shared" si="65"/>
        <v>-1.0034420192541305E-4</v>
      </c>
      <c r="K446" s="160">
        <f t="shared" si="66"/>
        <v>0</v>
      </c>
      <c r="L446" s="161">
        <f t="shared" si="67"/>
        <v>9.4339622641510523E-3</v>
      </c>
      <c r="M446" s="155">
        <f t="shared" si="68"/>
        <v>0</v>
      </c>
      <c r="N446" s="155">
        <f t="shared" si="69"/>
        <v>-4.6189376443419583E-3</v>
      </c>
      <c r="O446" s="155">
        <f t="shared" si="70"/>
        <v>-2.3692681265810034E-3</v>
      </c>
      <c r="P446" s="162">
        <f t="shared" si="71"/>
        <v>0</v>
      </c>
    </row>
    <row r="447" spans="1:16">
      <c r="A447" s="319">
        <v>44846</v>
      </c>
      <c r="B447" s="28">
        <v>4.28</v>
      </c>
      <c r="C447" s="29">
        <v>4.28</v>
      </c>
      <c r="D447" s="29">
        <v>4.29</v>
      </c>
      <c r="E447" s="30">
        <v>4.2050668736627941</v>
      </c>
      <c r="F447" s="29">
        <v>4.12</v>
      </c>
      <c r="G447" s="159">
        <f t="shared" si="62"/>
        <v>0</v>
      </c>
      <c r="H447" s="154">
        <f t="shared" si="63"/>
        <v>-1.9999999999999573E-4</v>
      </c>
      <c r="I447" s="154">
        <f t="shared" si="64"/>
        <v>-1.9999999999999573E-4</v>
      </c>
      <c r="J447" s="154">
        <f t="shared" si="65"/>
        <v>-2.0139150214435909E-4</v>
      </c>
      <c r="K447" s="160">
        <f t="shared" si="66"/>
        <v>-1.9999999999999573E-4</v>
      </c>
      <c r="L447" s="161">
        <f t="shared" si="67"/>
        <v>0</v>
      </c>
      <c r="M447" s="155">
        <f t="shared" si="68"/>
        <v>-4.6511627906975495E-3</v>
      </c>
      <c r="N447" s="155">
        <f t="shared" si="69"/>
        <v>-4.6403712296982924E-3</v>
      </c>
      <c r="O447" s="155">
        <f t="shared" si="70"/>
        <v>-4.7664303469764358E-3</v>
      </c>
      <c r="P447" s="162">
        <f t="shared" si="71"/>
        <v>-4.8309178743960457E-3</v>
      </c>
    </row>
    <row r="448" spans="1:16">
      <c r="A448" s="319">
        <v>44847</v>
      </c>
      <c r="B448" s="28">
        <v>4.46</v>
      </c>
      <c r="C448" s="29">
        <v>4.47</v>
      </c>
      <c r="D448" s="29">
        <v>4.4400000000000004</v>
      </c>
      <c r="E448" s="30">
        <v>4.3252613313557138</v>
      </c>
      <c r="F448" s="29">
        <v>4.21</v>
      </c>
      <c r="G448" s="159">
        <f t="shared" si="62"/>
        <v>1.7999999999999971E-3</v>
      </c>
      <c r="H448" s="154">
        <f t="shared" si="63"/>
        <v>1.899999999999995E-3</v>
      </c>
      <c r="I448" s="154">
        <f t="shared" si="64"/>
        <v>1.5000000000000035E-3</v>
      </c>
      <c r="J448" s="154">
        <f t="shared" si="65"/>
        <v>1.2019445769291971E-3</v>
      </c>
      <c r="K448" s="160">
        <f t="shared" si="66"/>
        <v>8.9999999999999857E-4</v>
      </c>
      <c r="L448" s="161">
        <f t="shared" si="67"/>
        <v>4.2056074766354978E-2</v>
      </c>
      <c r="M448" s="155">
        <f t="shared" si="68"/>
        <v>4.4392523364485958E-2</v>
      </c>
      <c r="N448" s="155">
        <f t="shared" si="69"/>
        <v>3.4965034965035002E-2</v>
      </c>
      <c r="O448" s="155">
        <f t="shared" si="70"/>
        <v>2.8583245238196442E-2</v>
      </c>
      <c r="P448" s="162">
        <f t="shared" si="71"/>
        <v>2.1844660194174637E-2</v>
      </c>
    </row>
    <row r="449" spans="1:16">
      <c r="A449" s="319">
        <v>44848</v>
      </c>
      <c r="B449" s="28">
        <v>4.5</v>
      </c>
      <c r="C449" s="29">
        <v>4.4800000000000004</v>
      </c>
      <c r="D449" s="29">
        <v>4.47</v>
      </c>
      <c r="E449" s="30">
        <v>4.3603801027170492</v>
      </c>
      <c r="F449" s="29">
        <v>4.25</v>
      </c>
      <c r="G449" s="159">
        <f t="shared" si="62"/>
        <v>4.0000000000000034E-4</v>
      </c>
      <c r="H449" s="154">
        <f t="shared" si="63"/>
        <v>1.0000000000000675E-4</v>
      </c>
      <c r="I449" s="154">
        <f t="shared" si="64"/>
        <v>2.9999999999999363E-4</v>
      </c>
      <c r="J449" s="154">
        <f t="shared" si="65"/>
        <v>3.5118771361335454E-4</v>
      </c>
      <c r="K449" s="160">
        <f t="shared" si="66"/>
        <v>4.0000000000000034E-4</v>
      </c>
      <c r="L449" s="161">
        <f t="shared" si="67"/>
        <v>8.9686098654708779E-3</v>
      </c>
      <c r="M449" s="155">
        <f t="shared" si="68"/>
        <v>2.2371364653246406E-3</v>
      </c>
      <c r="N449" s="155">
        <f t="shared" si="69"/>
        <v>6.7567567567565767E-3</v>
      </c>
      <c r="O449" s="155">
        <f t="shared" si="70"/>
        <v>8.1194565301161425E-3</v>
      </c>
      <c r="P449" s="162">
        <f t="shared" si="71"/>
        <v>9.5011876484560887E-3</v>
      </c>
    </row>
    <row r="450" spans="1:16">
      <c r="A450" s="319">
        <v>44851</v>
      </c>
      <c r="B450" s="28">
        <v>4.5</v>
      </c>
      <c r="C450" s="29">
        <v>4.45</v>
      </c>
      <c r="D450" s="29">
        <v>4.45</v>
      </c>
      <c r="E450" s="30">
        <v>4.3453708570785921</v>
      </c>
      <c r="F450" s="29">
        <v>4.24</v>
      </c>
      <c r="G450" s="159">
        <f t="shared" si="62"/>
        <v>0</v>
      </c>
      <c r="H450" s="154">
        <f t="shared" si="63"/>
        <v>-3.0000000000000247E-4</v>
      </c>
      <c r="I450" s="154">
        <f t="shared" si="64"/>
        <v>-1.9999999999999573E-4</v>
      </c>
      <c r="J450" s="154">
        <f t="shared" si="65"/>
        <v>-1.5009245638457182E-4</v>
      </c>
      <c r="K450" s="160">
        <f t="shared" si="66"/>
        <v>-9.9999999999997863E-5</v>
      </c>
      <c r="L450" s="161">
        <f t="shared" si="67"/>
        <v>0</v>
      </c>
      <c r="M450" s="155">
        <f t="shared" si="68"/>
        <v>-6.6964285714286031E-3</v>
      </c>
      <c r="N450" s="155">
        <f t="shared" si="69"/>
        <v>-4.4742729306487261E-3</v>
      </c>
      <c r="O450" s="155">
        <f t="shared" si="70"/>
        <v>-3.4421874434993338E-3</v>
      </c>
      <c r="P450" s="162">
        <f t="shared" si="71"/>
        <v>-2.3529411764705577E-3</v>
      </c>
    </row>
    <row r="451" spans="1:16">
      <c r="A451" s="319">
        <v>44852</v>
      </c>
      <c r="B451" s="28">
        <v>4.5</v>
      </c>
      <c r="C451" s="29">
        <v>4.43</v>
      </c>
      <c r="D451" s="29">
        <v>4.43</v>
      </c>
      <c r="E451" s="30">
        <v>4.3200251491090107</v>
      </c>
      <c r="F451" s="29">
        <v>4.21</v>
      </c>
      <c r="G451" s="159">
        <f t="shared" si="62"/>
        <v>0</v>
      </c>
      <c r="H451" s="154">
        <f t="shared" si="63"/>
        <v>-2.0000000000000462E-4</v>
      </c>
      <c r="I451" s="154">
        <f t="shared" si="64"/>
        <v>-2.0000000000000462E-4</v>
      </c>
      <c r="J451" s="154">
        <f t="shared" si="65"/>
        <v>-2.5345707969581354E-4</v>
      </c>
      <c r="K451" s="160">
        <f t="shared" si="66"/>
        <v>-3.0000000000000247E-4</v>
      </c>
      <c r="L451" s="161">
        <f t="shared" si="67"/>
        <v>0</v>
      </c>
      <c r="M451" s="155">
        <f t="shared" si="68"/>
        <v>-4.4943820224719877E-3</v>
      </c>
      <c r="N451" s="155">
        <f t="shared" si="69"/>
        <v>-4.4943820224719877E-3</v>
      </c>
      <c r="O451" s="155">
        <f t="shared" si="70"/>
        <v>-5.8328066356622132E-3</v>
      </c>
      <c r="P451" s="162">
        <f t="shared" si="71"/>
        <v>-7.0754716981132892E-3</v>
      </c>
    </row>
    <row r="452" spans="1:16">
      <c r="A452" s="319">
        <v>44853</v>
      </c>
      <c r="B452" s="28">
        <v>4.5999999999999996</v>
      </c>
      <c r="C452" s="29">
        <v>4.55</v>
      </c>
      <c r="D452" s="29">
        <v>4.5599999999999996</v>
      </c>
      <c r="E452" s="30">
        <v>4.455483957929224</v>
      </c>
      <c r="F452" s="29">
        <v>4.3499999999999996</v>
      </c>
      <c r="G452" s="159">
        <f t="shared" ref="G452:G515" si="72">(B452-B451)/100</f>
        <v>9.9999999999999655E-4</v>
      </c>
      <c r="H452" s="154">
        <f t="shared" ref="H452:H515" si="73">(C452-C451)/100</f>
        <v>1.200000000000001E-3</v>
      </c>
      <c r="I452" s="154">
        <f t="shared" ref="I452:I515" si="74">(D452-D451)/100</f>
        <v>1.2999999999999989E-3</v>
      </c>
      <c r="J452" s="154">
        <f t="shared" ref="J452:J515" si="75">(E452-E451)/100</f>
        <v>1.3545880882021332E-3</v>
      </c>
      <c r="K452" s="160">
        <f t="shared" ref="K452:K515" si="76">(F452-F451)/100</f>
        <v>1.3999999999999967E-3</v>
      </c>
      <c r="L452" s="161">
        <f t="shared" ref="L452:L515" si="77">(B452/B451)-1</f>
        <v>2.2222222222222143E-2</v>
      </c>
      <c r="M452" s="155">
        <f t="shared" ref="M452:M515" si="78">(C452/C451)-1</f>
        <v>2.7088036117381531E-2</v>
      </c>
      <c r="N452" s="155">
        <f t="shared" ref="N452:N515" si="79">(D452/D451)-1</f>
        <v>2.9345372460496622E-2</v>
      </c>
      <c r="O452" s="155">
        <f t="shared" ref="O452:O515" si="80">(E452/E451)-1</f>
        <v>3.1356023204668348E-2</v>
      </c>
      <c r="P452" s="162">
        <f t="shared" ref="P452:P515" si="81">(F452/F451)-1</f>
        <v>3.3254156769596088E-2</v>
      </c>
    </row>
    <row r="453" spans="1:16">
      <c r="A453" s="319">
        <v>44854</v>
      </c>
      <c r="B453" s="28">
        <v>4.66</v>
      </c>
      <c r="C453" s="29">
        <v>4.62</v>
      </c>
      <c r="D453" s="29">
        <v>4.66</v>
      </c>
      <c r="E453" s="30">
        <v>4.5550497115858253</v>
      </c>
      <c r="F453" s="29">
        <v>4.45</v>
      </c>
      <c r="G453" s="159">
        <f t="shared" si="72"/>
        <v>6.0000000000000493E-4</v>
      </c>
      <c r="H453" s="154">
        <f t="shared" si="73"/>
        <v>7.0000000000000281E-4</v>
      </c>
      <c r="I453" s="154">
        <f t="shared" si="74"/>
        <v>1.0000000000000052E-3</v>
      </c>
      <c r="J453" s="154">
        <f t="shared" si="75"/>
        <v>9.9565753656601259E-4</v>
      </c>
      <c r="K453" s="160">
        <f t="shared" si="76"/>
        <v>1.0000000000000052E-3</v>
      </c>
      <c r="L453" s="161">
        <f t="shared" si="77"/>
        <v>1.3043478260869712E-2</v>
      </c>
      <c r="M453" s="155">
        <f t="shared" si="78"/>
        <v>1.5384615384615552E-2</v>
      </c>
      <c r="N453" s="155">
        <f t="shared" si="79"/>
        <v>2.1929824561403688E-2</v>
      </c>
      <c r="O453" s="155">
        <f t="shared" si="80"/>
        <v>2.2346787598552353E-2</v>
      </c>
      <c r="P453" s="162">
        <f t="shared" si="81"/>
        <v>2.2988505747126631E-2</v>
      </c>
    </row>
    <row r="454" spans="1:16">
      <c r="A454" s="319">
        <v>44855</v>
      </c>
      <c r="B454" s="28">
        <v>4.58</v>
      </c>
      <c r="C454" s="29">
        <v>4.49</v>
      </c>
      <c r="D454" s="29">
        <v>4.5199999999999996</v>
      </c>
      <c r="E454" s="30">
        <v>4.4303110829668935</v>
      </c>
      <c r="F454" s="29">
        <v>4.34</v>
      </c>
      <c r="G454" s="159">
        <f t="shared" si="72"/>
        <v>-8.0000000000000069E-4</v>
      </c>
      <c r="H454" s="154">
        <f t="shared" si="73"/>
        <v>-1.2999999999999989E-3</v>
      </c>
      <c r="I454" s="154">
        <f t="shared" si="74"/>
        <v>-1.4000000000000056E-3</v>
      </c>
      <c r="J454" s="154">
        <f t="shared" si="75"/>
        <v>-1.2473862861893182E-3</v>
      </c>
      <c r="K454" s="160">
        <f t="shared" si="76"/>
        <v>-1.1000000000000031E-3</v>
      </c>
      <c r="L454" s="161">
        <f t="shared" si="77"/>
        <v>-1.7167381974248941E-2</v>
      </c>
      <c r="M454" s="155">
        <f t="shared" si="78"/>
        <v>-2.8138528138528129E-2</v>
      </c>
      <c r="N454" s="155">
        <f t="shared" si="79"/>
        <v>-3.0042918454935785E-2</v>
      </c>
      <c r="O454" s="155">
        <f t="shared" si="80"/>
        <v>-2.7384690951156365E-2</v>
      </c>
      <c r="P454" s="162">
        <f t="shared" si="81"/>
        <v>-2.4719101123595544E-2</v>
      </c>
    </row>
    <row r="455" spans="1:16">
      <c r="A455" s="319">
        <v>44858</v>
      </c>
      <c r="B455" s="28">
        <v>4.6100000000000003</v>
      </c>
      <c r="C455" s="29">
        <v>4.5</v>
      </c>
      <c r="D455" s="29">
        <v>4.5199999999999996</v>
      </c>
      <c r="E455" s="30">
        <v>4.4400755696812793</v>
      </c>
      <c r="F455" s="29">
        <v>4.3600000000000003</v>
      </c>
      <c r="G455" s="159">
        <f t="shared" si="72"/>
        <v>3.0000000000000247E-4</v>
      </c>
      <c r="H455" s="154">
        <f t="shared" si="73"/>
        <v>9.9999999999997863E-5</v>
      </c>
      <c r="I455" s="154">
        <f t="shared" si="74"/>
        <v>0</v>
      </c>
      <c r="J455" s="154">
        <f t="shared" si="75"/>
        <v>9.7644867143857888E-5</v>
      </c>
      <c r="K455" s="160">
        <f t="shared" si="76"/>
        <v>2.0000000000000462E-4</v>
      </c>
      <c r="L455" s="161">
        <f t="shared" si="77"/>
        <v>6.5502183406114245E-3</v>
      </c>
      <c r="M455" s="155">
        <f t="shared" si="78"/>
        <v>2.2271714922048602E-3</v>
      </c>
      <c r="N455" s="155">
        <f t="shared" si="79"/>
        <v>0</v>
      </c>
      <c r="O455" s="155">
        <f t="shared" si="80"/>
        <v>2.2040183028968485E-3</v>
      </c>
      <c r="P455" s="162">
        <f t="shared" si="81"/>
        <v>4.6082949308756671E-3</v>
      </c>
    </row>
    <row r="456" spans="1:16">
      <c r="A456" s="319">
        <v>44859</v>
      </c>
      <c r="B456" s="28">
        <v>4.5999999999999996</v>
      </c>
      <c r="C456" s="29">
        <v>4.42</v>
      </c>
      <c r="D456" s="29">
        <v>4.45</v>
      </c>
      <c r="E456" s="30">
        <v>4.3503003926759822</v>
      </c>
      <c r="F456" s="29">
        <v>4.25</v>
      </c>
      <c r="G456" s="159">
        <f t="shared" si="72"/>
        <v>-1.0000000000000675E-4</v>
      </c>
      <c r="H456" s="154">
        <f t="shared" si="73"/>
        <v>-8.0000000000000069E-4</v>
      </c>
      <c r="I456" s="154">
        <f t="shared" si="74"/>
        <v>-6.9999999999999392E-4</v>
      </c>
      <c r="J456" s="154">
        <f t="shared" si="75"/>
        <v>-8.9775177005297019E-4</v>
      </c>
      <c r="K456" s="160">
        <f t="shared" si="76"/>
        <v>-1.1000000000000031E-3</v>
      </c>
      <c r="L456" s="161">
        <f t="shared" si="77"/>
        <v>-2.1691973969633072E-3</v>
      </c>
      <c r="M456" s="155">
        <f t="shared" si="78"/>
        <v>-1.7777777777777781E-2</v>
      </c>
      <c r="N456" s="155">
        <f t="shared" si="79"/>
        <v>-1.5486725663716672E-2</v>
      </c>
      <c r="O456" s="155">
        <f t="shared" si="80"/>
        <v>-2.0219290324317907E-2</v>
      </c>
      <c r="P456" s="162">
        <f t="shared" si="81"/>
        <v>-2.5229357798165264E-2</v>
      </c>
    </row>
    <row r="457" spans="1:16">
      <c r="A457" s="319">
        <v>44860</v>
      </c>
      <c r="B457" s="28">
        <v>4.54</v>
      </c>
      <c r="C457" s="29">
        <v>4.3899999999999997</v>
      </c>
      <c r="D457" s="29">
        <v>4.41</v>
      </c>
      <c r="E457" s="30">
        <v>4.305363242705794</v>
      </c>
      <c r="F457" s="29">
        <v>4.2</v>
      </c>
      <c r="G457" s="159">
        <f t="shared" si="72"/>
        <v>-5.9999999999999604E-4</v>
      </c>
      <c r="H457" s="154">
        <f t="shared" si="73"/>
        <v>-3.0000000000000247E-4</v>
      </c>
      <c r="I457" s="154">
        <f t="shared" si="74"/>
        <v>-4.0000000000000034E-4</v>
      </c>
      <c r="J457" s="154">
        <f t="shared" si="75"/>
        <v>-4.4937149970188274E-4</v>
      </c>
      <c r="K457" s="160">
        <f t="shared" si="76"/>
        <v>-4.9999999999999828E-4</v>
      </c>
      <c r="L457" s="161">
        <f t="shared" si="77"/>
        <v>-1.304347826086949E-2</v>
      </c>
      <c r="M457" s="155">
        <f t="shared" si="78"/>
        <v>-6.7873303167421684E-3</v>
      </c>
      <c r="N457" s="155">
        <f t="shared" si="79"/>
        <v>-8.9887640449438644E-3</v>
      </c>
      <c r="O457" s="155">
        <f t="shared" si="80"/>
        <v>-1.0329665980271852E-2</v>
      </c>
      <c r="P457" s="162">
        <f t="shared" si="81"/>
        <v>-1.1764705882352899E-2</v>
      </c>
    </row>
    <row r="458" spans="1:16">
      <c r="A458" s="319">
        <v>44861</v>
      </c>
      <c r="B458" s="28">
        <v>4.5</v>
      </c>
      <c r="C458" s="29">
        <v>4.3</v>
      </c>
      <c r="D458" s="29">
        <v>4.29</v>
      </c>
      <c r="E458" s="30">
        <v>4.1901531444086277</v>
      </c>
      <c r="F458" s="29">
        <v>4.09</v>
      </c>
      <c r="G458" s="159">
        <f t="shared" si="72"/>
        <v>-4.0000000000000034E-4</v>
      </c>
      <c r="H458" s="154">
        <f t="shared" si="73"/>
        <v>-8.9999999999999857E-4</v>
      </c>
      <c r="I458" s="154">
        <f t="shared" si="74"/>
        <v>-1.200000000000001E-3</v>
      </c>
      <c r="J458" s="154">
        <f t="shared" si="75"/>
        <v>-1.1521009829716623E-3</v>
      </c>
      <c r="K458" s="160">
        <f t="shared" si="76"/>
        <v>-1.1000000000000031E-3</v>
      </c>
      <c r="L458" s="161">
        <f t="shared" si="77"/>
        <v>-8.8105726872246271E-3</v>
      </c>
      <c r="M458" s="155">
        <f t="shared" si="78"/>
        <v>-2.0501138952163989E-2</v>
      </c>
      <c r="N458" s="155">
        <f t="shared" si="79"/>
        <v>-2.7210884353741527E-2</v>
      </c>
      <c r="O458" s="155">
        <f t="shared" si="80"/>
        <v>-2.6759669696246102E-2</v>
      </c>
      <c r="P458" s="162">
        <f t="shared" si="81"/>
        <v>-2.6190476190476319E-2</v>
      </c>
    </row>
    <row r="459" spans="1:16">
      <c r="A459" s="319">
        <v>44862</v>
      </c>
      <c r="B459" s="28">
        <v>4.55</v>
      </c>
      <c r="C459" s="29">
        <v>4.41</v>
      </c>
      <c r="D459" s="29">
        <v>4.38</v>
      </c>
      <c r="E459" s="30">
        <v>4.2852060020993612</v>
      </c>
      <c r="F459" s="29">
        <v>4.1900000000000004</v>
      </c>
      <c r="G459" s="159">
        <f t="shared" si="72"/>
        <v>4.9999999999999828E-4</v>
      </c>
      <c r="H459" s="154">
        <f t="shared" si="73"/>
        <v>1.1000000000000031E-3</v>
      </c>
      <c r="I459" s="154">
        <f t="shared" si="74"/>
        <v>8.9999999999999857E-4</v>
      </c>
      <c r="J459" s="154">
        <f t="shared" si="75"/>
        <v>9.5052857690733458E-4</v>
      </c>
      <c r="K459" s="160">
        <f t="shared" si="76"/>
        <v>1.0000000000000052E-3</v>
      </c>
      <c r="L459" s="161">
        <f t="shared" si="77"/>
        <v>1.1111111111111072E-2</v>
      </c>
      <c r="M459" s="155">
        <f t="shared" si="78"/>
        <v>2.5581395348837299E-2</v>
      </c>
      <c r="N459" s="155">
        <f t="shared" si="79"/>
        <v>2.0979020979021046E-2</v>
      </c>
      <c r="O459" s="155">
        <f t="shared" si="80"/>
        <v>2.2684817097335053E-2</v>
      </c>
      <c r="P459" s="162">
        <f t="shared" si="81"/>
        <v>2.4449877750611471E-2</v>
      </c>
    </row>
    <row r="460" spans="1:16">
      <c r="A460" s="319">
        <v>44865</v>
      </c>
      <c r="B460" s="28">
        <v>4.66</v>
      </c>
      <c r="C460" s="29">
        <v>4.51</v>
      </c>
      <c r="D460" s="29">
        <v>4.45</v>
      </c>
      <c r="E460" s="30">
        <v>4.36048829851189</v>
      </c>
      <c r="F460" s="29">
        <v>4.2699999999999996</v>
      </c>
      <c r="G460" s="159">
        <f t="shared" si="72"/>
        <v>1.1000000000000031E-3</v>
      </c>
      <c r="H460" s="154">
        <f t="shared" si="73"/>
        <v>9.9999999999999655E-4</v>
      </c>
      <c r="I460" s="154">
        <f t="shared" si="74"/>
        <v>7.0000000000000281E-4</v>
      </c>
      <c r="J460" s="154">
        <f t="shared" si="75"/>
        <v>7.5282296412528817E-4</v>
      </c>
      <c r="K460" s="160">
        <f t="shared" si="76"/>
        <v>7.999999999999918E-4</v>
      </c>
      <c r="L460" s="161">
        <f t="shared" si="77"/>
        <v>2.4175824175824312E-2</v>
      </c>
      <c r="M460" s="155">
        <f t="shared" si="78"/>
        <v>2.2675736961451198E-2</v>
      </c>
      <c r="N460" s="155">
        <f t="shared" si="79"/>
        <v>1.5981735159817489E-2</v>
      </c>
      <c r="O460" s="155">
        <f t="shared" si="80"/>
        <v>1.7567952713509527E-2</v>
      </c>
      <c r="P460" s="162">
        <f t="shared" si="81"/>
        <v>1.9093078758949611E-2</v>
      </c>
    </row>
    <row r="461" spans="1:16">
      <c r="A461" s="319">
        <v>44866</v>
      </c>
      <c r="B461" s="28">
        <v>4.75</v>
      </c>
      <c r="C461" s="29">
        <v>4.54</v>
      </c>
      <c r="D461" s="29">
        <v>4.4800000000000004</v>
      </c>
      <c r="E461" s="30">
        <v>4.3752383458375572</v>
      </c>
      <c r="F461" s="29">
        <v>4.2699999999999996</v>
      </c>
      <c r="G461" s="159">
        <f t="shared" si="72"/>
        <v>8.9999999999999857E-4</v>
      </c>
      <c r="H461" s="154">
        <f t="shared" si="73"/>
        <v>3.0000000000000247E-4</v>
      </c>
      <c r="I461" s="154">
        <f t="shared" si="74"/>
        <v>3.0000000000000247E-4</v>
      </c>
      <c r="J461" s="154">
        <f t="shared" si="75"/>
        <v>1.4750047325667203E-4</v>
      </c>
      <c r="K461" s="160">
        <f t="shared" si="76"/>
        <v>0</v>
      </c>
      <c r="L461" s="161">
        <f t="shared" si="77"/>
        <v>1.93133047210301E-2</v>
      </c>
      <c r="M461" s="155">
        <f t="shared" si="78"/>
        <v>6.6518847006651338E-3</v>
      </c>
      <c r="N461" s="155">
        <f t="shared" si="79"/>
        <v>6.741573033707926E-3</v>
      </c>
      <c r="O461" s="155">
        <f t="shared" si="80"/>
        <v>3.3826595362498324E-3</v>
      </c>
      <c r="P461" s="162">
        <f t="shared" si="81"/>
        <v>0</v>
      </c>
    </row>
    <row r="462" spans="1:16">
      <c r="A462" s="319">
        <v>44867</v>
      </c>
      <c r="B462" s="28">
        <v>4.76</v>
      </c>
      <c r="C462" s="29">
        <v>4.6100000000000003</v>
      </c>
      <c r="D462" s="29">
        <v>4.54</v>
      </c>
      <c r="E462" s="30">
        <v>4.4204769800848842</v>
      </c>
      <c r="F462" s="29">
        <v>4.3</v>
      </c>
      <c r="G462" s="159">
        <f t="shared" si="72"/>
        <v>9.9999999999997863E-5</v>
      </c>
      <c r="H462" s="154">
        <f t="shared" si="73"/>
        <v>7.0000000000000281E-4</v>
      </c>
      <c r="I462" s="154">
        <f t="shared" si="74"/>
        <v>5.9999999999999604E-4</v>
      </c>
      <c r="J462" s="154">
        <f t="shared" si="75"/>
        <v>4.5238634247326995E-4</v>
      </c>
      <c r="K462" s="160">
        <f t="shared" si="76"/>
        <v>3.0000000000000247E-4</v>
      </c>
      <c r="L462" s="161">
        <f t="shared" si="77"/>
        <v>2.1052631578946102E-3</v>
      </c>
      <c r="M462" s="155">
        <f t="shared" si="78"/>
        <v>1.5418502202643181E-2</v>
      </c>
      <c r="N462" s="155">
        <f t="shared" si="79"/>
        <v>1.3392857142856984E-2</v>
      </c>
      <c r="O462" s="155">
        <f t="shared" si="80"/>
        <v>1.0339695959733275E-2</v>
      </c>
      <c r="P462" s="162">
        <f t="shared" si="81"/>
        <v>7.0257611241217877E-3</v>
      </c>
    </row>
    <row r="463" spans="1:16">
      <c r="A463" s="319">
        <v>44868</v>
      </c>
      <c r="B463" s="28">
        <v>4.78</v>
      </c>
      <c r="C463" s="29">
        <v>4.71</v>
      </c>
      <c r="D463" s="29">
        <v>4.63</v>
      </c>
      <c r="E463" s="30">
        <v>4.4950702604499595</v>
      </c>
      <c r="F463" s="29">
        <v>4.3600000000000003</v>
      </c>
      <c r="G463" s="159">
        <f t="shared" si="72"/>
        <v>2.0000000000000462E-4</v>
      </c>
      <c r="H463" s="154">
        <f t="shared" si="73"/>
        <v>9.9999999999999655E-4</v>
      </c>
      <c r="I463" s="154">
        <f t="shared" si="74"/>
        <v>8.9999999999999857E-4</v>
      </c>
      <c r="J463" s="154">
        <f t="shared" si="75"/>
        <v>7.4593280365075286E-4</v>
      </c>
      <c r="K463" s="160">
        <f t="shared" si="76"/>
        <v>6.0000000000000493E-4</v>
      </c>
      <c r="L463" s="161">
        <f t="shared" si="77"/>
        <v>4.2016806722691147E-3</v>
      </c>
      <c r="M463" s="155">
        <f t="shared" si="78"/>
        <v>2.1691973969631073E-2</v>
      </c>
      <c r="N463" s="155">
        <f t="shared" si="79"/>
        <v>1.982378854625555E-2</v>
      </c>
      <c r="O463" s="155">
        <f t="shared" si="80"/>
        <v>1.6874486780755316E-2</v>
      </c>
      <c r="P463" s="162">
        <f t="shared" si="81"/>
        <v>1.3953488372093092E-2</v>
      </c>
    </row>
    <row r="464" spans="1:16">
      <c r="A464" s="319">
        <v>44869</v>
      </c>
      <c r="B464" s="28">
        <v>4.76</v>
      </c>
      <c r="C464" s="29">
        <v>4.66</v>
      </c>
      <c r="D464" s="29">
        <v>4.58</v>
      </c>
      <c r="E464" s="30">
        <v>4.4551483487226209</v>
      </c>
      <c r="F464" s="29">
        <v>4.33</v>
      </c>
      <c r="G464" s="159">
        <f t="shared" si="72"/>
        <v>-2.0000000000000462E-4</v>
      </c>
      <c r="H464" s="154">
        <f t="shared" si="73"/>
        <v>-4.9999999999999828E-4</v>
      </c>
      <c r="I464" s="154">
        <f t="shared" si="74"/>
        <v>-4.9999999999999828E-4</v>
      </c>
      <c r="J464" s="154">
        <f t="shared" si="75"/>
        <v>-3.9921911727338613E-4</v>
      </c>
      <c r="K464" s="160">
        <f t="shared" si="76"/>
        <v>-3.0000000000000247E-4</v>
      </c>
      <c r="L464" s="161">
        <f t="shared" si="77"/>
        <v>-4.1841004184101083E-3</v>
      </c>
      <c r="M464" s="155">
        <f t="shared" si="78"/>
        <v>-1.0615711252653925E-2</v>
      </c>
      <c r="N464" s="155">
        <f t="shared" si="79"/>
        <v>-1.0799136069114423E-2</v>
      </c>
      <c r="O464" s="155">
        <f t="shared" si="80"/>
        <v>-8.881265344969802E-3</v>
      </c>
      <c r="P464" s="162">
        <f t="shared" si="81"/>
        <v>-6.8807339449541427E-3</v>
      </c>
    </row>
    <row r="465" spans="1:16">
      <c r="A465" s="319">
        <v>44872</v>
      </c>
      <c r="B465" s="28">
        <v>4.8</v>
      </c>
      <c r="C465" s="29">
        <v>4.72</v>
      </c>
      <c r="D465" s="29">
        <v>4.63</v>
      </c>
      <c r="E465" s="30">
        <v>4.5100223197493969</v>
      </c>
      <c r="F465" s="29">
        <v>4.3899999999999997</v>
      </c>
      <c r="G465" s="159">
        <f t="shared" si="72"/>
        <v>4.0000000000000034E-4</v>
      </c>
      <c r="H465" s="154">
        <f t="shared" si="73"/>
        <v>5.9999999999999604E-4</v>
      </c>
      <c r="I465" s="154">
        <f t="shared" si="74"/>
        <v>4.9999999999999828E-4</v>
      </c>
      <c r="J465" s="154">
        <f t="shared" si="75"/>
        <v>5.4873971026776042E-4</v>
      </c>
      <c r="K465" s="160">
        <f t="shared" si="76"/>
        <v>5.9999999999999604E-4</v>
      </c>
      <c r="L465" s="161">
        <f t="shared" si="77"/>
        <v>8.4033613445377853E-3</v>
      </c>
      <c r="M465" s="155">
        <f t="shared" si="78"/>
        <v>1.2875536480686511E-2</v>
      </c>
      <c r="N465" s="155">
        <f t="shared" si="79"/>
        <v>1.0917030567685559E-2</v>
      </c>
      <c r="O465" s="155">
        <f t="shared" si="80"/>
        <v>1.2316979532793759E-2</v>
      </c>
      <c r="P465" s="162">
        <f t="shared" si="81"/>
        <v>1.3856812933025209E-2</v>
      </c>
    </row>
    <row r="466" spans="1:16">
      <c r="A466" s="319">
        <v>44873</v>
      </c>
      <c r="B466" s="28">
        <v>4.7699999999999996</v>
      </c>
      <c r="C466" s="29">
        <v>4.67</v>
      </c>
      <c r="D466" s="29">
        <v>4.55</v>
      </c>
      <c r="E466" s="30">
        <v>4.4300279284542023</v>
      </c>
      <c r="F466" s="29">
        <v>4.3099999999999996</v>
      </c>
      <c r="G466" s="159">
        <f t="shared" si="72"/>
        <v>-3.0000000000000247E-4</v>
      </c>
      <c r="H466" s="154">
        <f t="shared" si="73"/>
        <v>-4.9999999999999828E-4</v>
      </c>
      <c r="I466" s="154">
        <f t="shared" si="74"/>
        <v>-8.0000000000000069E-4</v>
      </c>
      <c r="J466" s="154">
        <f t="shared" si="75"/>
        <v>-7.9994391295194593E-4</v>
      </c>
      <c r="K466" s="160">
        <f t="shared" si="76"/>
        <v>-8.0000000000000069E-4</v>
      </c>
      <c r="L466" s="161">
        <f t="shared" si="77"/>
        <v>-6.2500000000000888E-3</v>
      </c>
      <c r="M466" s="155">
        <f t="shared" si="78"/>
        <v>-1.0593220338983023E-2</v>
      </c>
      <c r="N466" s="155">
        <f t="shared" si="79"/>
        <v>-1.7278617710583144E-2</v>
      </c>
      <c r="O466" s="155">
        <f t="shared" si="80"/>
        <v>-1.773702780691333E-2</v>
      </c>
      <c r="P466" s="162">
        <f t="shared" si="81"/>
        <v>-1.8223234624145768E-2</v>
      </c>
    </row>
    <row r="467" spans="1:16">
      <c r="A467" s="319">
        <v>44874</v>
      </c>
      <c r="B467" s="28">
        <v>4.75</v>
      </c>
      <c r="C467" s="29">
        <v>4.6100000000000003</v>
      </c>
      <c r="D467" s="29">
        <v>4.49</v>
      </c>
      <c r="E467" s="30">
        <v>4.3804675304813969</v>
      </c>
      <c r="F467" s="29">
        <v>4.2699999999999996</v>
      </c>
      <c r="G467" s="159">
        <f t="shared" si="72"/>
        <v>-1.9999999999999573E-4</v>
      </c>
      <c r="H467" s="154">
        <f t="shared" si="73"/>
        <v>-5.9999999999999604E-4</v>
      </c>
      <c r="I467" s="154">
        <f t="shared" si="74"/>
        <v>-5.9999999999999604E-4</v>
      </c>
      <c r="J467" s="154">
        <f t="shared" si="75"/>
        <v>-4.9560397972805428E-4</v>
      </c>
      <c r="K467" s="160">
        <f t="shared" si="76"/>
        <v>-4.0000000000000034E-4</v>
      </c>
      <c r="L467" s="161">
        <f t="shared" si="77"/>
        <v>-4.1928721174003813E-3</v>
      </c>
      <c r="M467" s="155">
        <f t="shared" si="78"/>
        <v>-1.2847965738757905E-2</v>
      </c>
      <c r="N467" s="155">
        <f t="shared" si="79"/>
        <v>-1.318681318681314E-2</v>
      </c>
      <c r="O467" s="155">
        <f t="shared" si="80"/>
        <v>-1.1187378222714428E-2</v>
      </c>
      <c r="P467" s="162">
        <f t="shared" si="81"/>
        <v>-9.2807424593968069E-3</v>
      </c>
    </row>
    <row r="468" spans="1:16">
      <c r="A468" s="319">
        <v>44875</v>
      </c>
      <c r="B468" s="28">
        <v>4.59</v>
      </c>
      <c r="C468" s="29">
        <v>4.34</v>
      </c>
      <c r="D468" s="29">
        <v>4.17</v>
      </c>
      <c r="E468" s="30">
        <v>4.0602118563046021</v>
      </c>
      <c r="F468" s="29">
        <v>3.95</v>
      </c>
      <c r="G468" s="159">
        <f t="shared" si="72"/>
        <v>-1.6000000000000014E-3</v>
      </c>
      <c r="H468" s="154">
        <f t="shared" si="73"/>
        <v>-2.7000000000000045E-3</v>
      </c>
      <c r="I468" s="154">
        <f t="shared" si="74"/>
        <v>-3.2000000000000028E-3</v>
      </c>
      <c r="J468" s="154">
        <f t="shared" si="75"/>
        <v>-3.2025567417679479E-3</v>
      </c>
      <c r="K468" s="160">
        <f t="shared" si="76"/>
        <v>-3.1999999999999941E-3</v>
      </c>
      <c r="L468" s="161">
        <f t="shared" si="77"/>
        <v>-3.3684210526315872E-2</v>
      </c>
      <c r="M468" s="155">
        <f t="shared" si="78"/>
        <v>-5.8568329718004408E-2</v>
      </c>
      <c r="N468" s="155">
        <f t="shared" si="79"/>
        <v>-7.1269487750556859E-2</v>
      </c>
      <c r="O468" s="155">
        <f t="shared" si="80"/>
        <v>-7.3109929921475691E-2</v>
      </c>
      <c r="P468" s="162">
        <f t="shared" si="81"/>
        <v>-7.494145199063218E-2</v>
      </c>
    </row>
    <row r="469" spans="1:16">
      <c r="A469" s="319">
        <v>44879</v>
      </c>
      <c r="B469" s="28">
        <v>4.63</v>
      </c>
      <c r="C469" s="29">
        <v>4.4000000000000004</v>
      </c>
      <c r="D469" s="29">
        <v>4.24</v>
      </c>
      <c r="E469" s="30">
        <v>4.1202150346893696</v>
      </c>
      <c r="F469" s="29">
        <v>4</v>
      </c>
      <c r="G469" s="159">
        <f t="shared" si="72"/>
        <v>4.0000000000000034E-4</v>
      </c>
      <c r="H469" s="154">
        <f t="shared" si="73"/>
        <v>6.0000000000000493E-4</v>
      </c>
      <c r="I469" s="154">
        <f t="shared" si="74"/>
        <v>7.0000000000000281E-4</v>
      </c>
      <c r="J469" s="154">
        <f t="shared" si="75"/>
        <v>6.0003178384767427E-4</v>
      </c>
      <c r="K469" s="160">
        <f t="shared" si="76"/>
        <v>4.9999999999999828E-4</v>
      </c>
      <c r="L469" s="161">
        <f t="shared" si="77"/>
        <v>8.7145969498911846E-3</v>
      </c>
      <c r="M469" s="155">
        <f t="shared" si="78"/>
        <v>1.3824884792626779E-2</v>
      </c>
      <c r="N469" s="155">
        <f t="shared" si="79"/>
        <v>1.6786570743405393E-2</v>
      </c>
      <c r="O469" s="155">
        <f t="shared" si="80"/>
        <v>1.4778336822891536E-2</v>
      </c>
      <c r="P469" s="162">
        <f t="shared" si="81"/>
        <v>1.2658227848101111E-2</v>
      </c>
    </row>
    <row r="470" spans="1:16">
      <c r="A470" s="319">
        <v>44880</v>
      </c>
      <c r="B470" s="28">
        <v>4.5999999999999996</v>
      </c>
      <c r="C470" s="29">
        <v>4.37</v>
      </c>
      <c r="D470" s="29">
        <v>4.17</v>
      </c>
      <c r="E470" s="30">
        <v>4.0501151672789266</v>
      </c>
      <c r="F470" s="29">
        <v>3.93</v>
      </c>
      <c r="G470" s="159">
        <f t="shared" si="72"/>
        <v>-3.0000000000000247E-4</v>
      </c>
      <c r="H470" s="154">
        <f t="shared" si="73"/>
        <v>-3.0000000000000247E-4</v>
      </c>
      <c r="I470" s="154">
        <f t="shared" si="74"/>
        <v>-7.0000000000000281E-4</v>
      </c>
      <c r="J470" s="154">
        <f t="shared" si="75"/>
        <v>-7.0099867410442938E-4</v>
      </c>
      <c r="K470" s="160">
        <f t="shared" si="76"/>
        <v>-6.9999999999999837E-4</v>
      </c>
      <c r="L470" s="161">
        <f t="shared" si="77"/>
        <v>-6.4794816414687206E-3</v>
      </c>
      <c r="M470" s="155">
        <f t="shared" si="78"/>
        <v>-6.8181818181818343E-3</v>
      </c>
      <c r="N470" s="155">
        <f t="shared" si="79"/>
        <v>-1.6509433962264231E-2</v>
      </c>
      <c r="O470" s="155">
        <f t="shared" si="80"/>
        <v>-1.7013642933742634E-2</v>
      </c>
      <c r="P470" s="162">
        <f t="shared" si="81"/>
        <v>-1.749999999999996E-2</v>
      </c>
    </row>
    <row r="471" spans="1:16">
      <c r="A471" s="319">
        <v>44881</v>
      </c>
      <c r="B471" s="28">
        <v>4.62</v>
      </c>
      <c r="C471" s="29">
        <v>4.3499999999999996</v>
      </c>
      <c r="D471" s="29">
        <v>4.13</v>
      </c>
      <c r="E471" s="30">
        <v>3.9804379654405566</v>
      </c>
      <c r="F471" s="29">
        <v>3.83</v>
      </c>
      <c r="G471" s="159">
        <f t="shared" si="72"/>
        <v>2.0000000000000462E-4</v>
      </c>
      <c r="H471" s="154">
        <f t="shared" si="73"/>
        <v>-2.0000000000000462E-4</v>
      </c>
      <c r="I471" s="154">
        <f t="shared" si="74"/>
        <v>-4.0000000000000034E-4</v>
      </c>
      <c r="J471" s="154">
        <f t="shared" si="75"/>
        <v>-6.9677201838370007E-4</v>
      </c>
      <c r="K471" s="160">
        <f t="shared" si="76"/>
        <v>-1.0000000000000009E-3</v>
      </c>
      <c r="L471" s="161">
        <f t="shared" si="77"/>
        <v>4.3478260869567187E-3</v>
      </c>
      <c r="M471" s="155">
        <f t="shared" si="78"/>
        <v>-4.5766590389016981E-3</v>
      </c>
      <c r="N471" s="155">
        <f t="shared" si="79"/>
        <v>-9.5923261390887804E-3</v>
      </c>
      <c r="O471" s="155">
        <f t="shared" si="80"/>
        <v>-1.7203758155149629E-2</v>
      </c>
      <c r="P471" s="162">
        <f t="shared" si="81"/>
        <v>-2.5445292620865145E-2</v>
      </c>
    </row>
    <row r="472" spans="1:16">
      <c r="A472" s="319">
        <v>44882</v>
      </c>
      <c r="B472" s="28">
        <v>4.68</v>
      </c>
      <c r="C472" s="29">
        <v>4.43</v>
      </c>
      <c r="D472" s="29">
        <v>4.22</v>
      </c>
      <c r="E472" s="30">
        <v>4.0750814353882951</v>
      </c>
      <c r="F472" s="29">
        <v>3.93</v>
      </c>
      <c r="G472" s="159">
        <f t="shared" si="72"/>
        <v>5.9999999999999604E-4</v>
      </c>
      <c r="H472" s="154">
        <f t="shared" si="73"/>
        <v>8.0000000000000069E-4</v>
      </c>
      <c r="I472" s="154">
        <f t="shared" si="74"/>
        <v>8.9999999999999857E-4</v>
      </c>
      <c r="J472" s="154">
        <f t="shared" si="75"/>
        <v>9.4643469947738531E-4</v>
      </c>
      <c r="K472" s="160">
        <f t="shared" si="76"/>
        <v>1.0000000000000009E-3</v>
      </c>
      <c r="L472" s="161">
        <f t="shared" si="77"/>
        <v>1.298701298701288E-2</v>
      </c>
      <c r="M472" s="155">
        <f t="shared" si="78"/>
        <v>1.839080459770126E-2</v>
      </c>
      <c r="N472" s="155">
        <f t="shared" si="79"/>
        <v>2.1791767554479424E-2</v>
      </c>
      <c r="O472" s="155">
        <f t="shared" si="80"/>
        <v>2.3777149843676293E-2</v>
      </c>
      <c r="P472" s="162">
        <f t="shared" si="81"/>
        <v>2.6109660574412663E-2</v>
      </c>
    </row>
    <row r="473" spans="1:16">
      <c r="A473" s="319">
        <v>44883</v>
      </c>
      <c r="B473" s="28">
        <v>4.74</v>
      </c>
      <c r="C473" s="29">
        <v>4.51</v>
      </c>
      <c r="D473" s="29">
        <v>4.28</v>
      </c>
      <c r="E473" s="30">
        <v>4.1350122481210487</v>
      </c>
      <c r="F473" s="29">
        <v>3.99</v>
      </c>
      <c r="G473" s="159">
        <f t="shared" si="72"/>
        <v>6.0000000000000493E-4</v>
      </c>
      <c r="H473" s="154">
        <f t="shared" si="73"/>
        <v>8.0000000000000069E-4</v>
      </c>
      <c r="I473" s="154">
        <f t="shared" si="74"/>
        <v>6.0000000000000493E-4</v>
      </c>
      <c r="J473" s="154">
        <f t="shared" si="75"/>
        <v>5.9930812732753578E-4</v>
      </c>
      <c r="K473" s="160">
        <f t="shared" si="76"/>
        <v>6.0000000000000049E-4</v>
      </c>
      <c r="L473" s="161">
        <f t="shared" si="77"/>
        <v>1.2820512820512997E-2</v>
      </c>
      <c r="M473" s="155">
        <f t="shared" si="78"/>
        <v>1.8058690744920947E-2</v>
      </c>
      <c r="N473" s="155">
        <f t="shared" si="79"/>
        <v>1.4218009478673022E-2</v>
      </c>
      <c r="O473" s="155">
        <f t="shared" si="80"/>
        <v>1.470665400998139E-2</v>
      </c>
      <c r="P473" s="162">
        <f t="shared" si="81"/>
        <v>1.5267175572519109E-2</v>
      </c>
    </row>
    <row r="474" spans="1:16">
      <c r="A474" s="319">
        <v>44886</v>
      </c>
      <c r="B474" s="28">
        <v>4.75</v>
      </c>
      <c r="C474" s="29">
        <v>4.4800000000000004</v>
      </c>
      <c r="D474" s="29">
        <v>4.32</v>
      </c>
      <c r="E474" s="30">
        <v>4.1450996622391987</v>
      </c>
      <c r="F474" s="29">
        <v>3.97</v>
      </c>
      <c r="G474" s="159">
        <f t="shared" si="72"/>
        <v>9.9999999999997863E-5</v>
      </c>
      <c r="H474" s="154">
        <f t="shared" si="73"/>
        <v>-2.9999999999999363E-4</v>
      </c>
      <c r="I474" s="154">
        <f t="shared" si="74"/>
        <v>4.0000000000000034E-4</v>
      </c>
      <c r="J474" s="154">
        <f t="shared" si="75"/>
        <v>1.0087414118149951E-4</v>
      </c>
      <c r="K474" s="160">
        <f t="shared" si="76"/>
        <v>-2.0000000000000017E-4</v>
      </c>
      <c r="L474" s="161">
        <f t="shared" si="77"/>
        <v>2.1097046413500742E-3</v>
      </c>
      <c r="M474" s="155">
        <f t="shared" si="78"/>
        <v>-6.6518847006650228E-3</v>
      </c>
      <c r="N474" s="155">
        <f t="shared" si="79"/>
        <v>9.3457943925234765E-3</v>
      </c>
      <c r="O474" s="155">
        <f t="shared" si="80"/>
        <v>2.4395125123835015E-3</v>
      </c>
      <c r="P474" s="162">
        <f t="shared" si="81"/>
        <v>-5.0125313283208017E-3</v>
      </c>
    </row>
    <row r="475" spans="1:16">
      <c r="A475" s="319">
        <v>44887</v>
      </c>
      <c r="B475" s="28">
        <v>4.79</v>
      </c>
      <c r="C475" s="29">
        <v>4.47</v>
      </c>
      <c r="D475" s="29">
        <v>4.2699999999999996</v>
      </c>
      <c r="E475" s="30">
        <v>4.100391803897308</v>
      </c>
      <c r="F475" s="29">
        <v>3.93</v>
      </c>
      <c r="G475" s="159">
        <f t="shared" si="72"/>
        <v>4.0000000000000034E-4</v>
      </c>
      <c r="H475" s="154">
        <f t="shared" si="73"/>
        <v>-1.0000000000000675E-4</v>
      </c>
      <c r="I475" s="154">
        <f t="shared" si="74"/>
        <v>-5.0000000000000706E-4</v>
      </c>
      <c r="J475" s="154">
        <f t="shared" si="75"/>
        <v>-4.4707858341890727E-4</v>
      </c>
      <c r="K475" s="160">
        <f t="shared" si="76"/>
        <v>-4.0000000000000034E-4</v>
      </c>
      <c r="L475" s="161">
        <f t="shared" si="77"/>
        <v>8.4210526315788847E-3</v>
      </c>
      <c r="M475" s="155">
        <f t="shared" si="78"/>
        <v>-2.2321428571430157E-3</v>
      </c>
      <c r="N475" s="155">
        <f t="shared" si="79"/>
        <v>-1.1574074074074292E-2</v>
      </c>
      <c r="O475" s="155">
        <f t="shared" si="80"/>
        <v>-1.0785713730641522E-2</v>
      </c>
      <c r="P475" s="162">
        <f t="shared" si="81"/>
        <v>-1.0075566750629705E-2</v>
      </c>
    </row>
    <row r="476" spans="1:16">
      <c r="A476" s="319">
        <v>44888</v>
      </c>
      <c r="B476" s="28">
        <v>4.75</v>
      </c>
      <c r="C476" s="29">
        <v>4.46</v>
      </c>
      <c r="D476" s="29">
        <v>4.2300000000000004</v>
      </c>
      <c r="E476" s="30">
        <v>4.0553998758099832</v>
      </c>
      <c r="F476" s="29">
        <v>3.88</v>
      </c>
      <c r="G476" s="159">
        <f t="shared" si="72"/>
        <v>-4.0000000000000034E-4</v>
      </c>
      <c r="H476" s="154">
        <f t="shared" si="73"/>
        <v>-9.9999999999997863E-5</v>
      </c>
      <c r="I476" s="154">
        <f t="shared" si="74"/>
        <v>-3.9999999999999145E-4</v>
      </c>
      <c r="J476" s="154">
        <f t="shared" si="75"/>
        <v>-4.4991928087324774E-4</v>
      </c>
      <c r="K476" s="160">
        <f t="shared" si="76"/>
        <v>-5.0000000000000261E-4</v>
      </c>
      <c r="L476" s="161">
        <f t="shared" si="77"/>
        <v>-8.3507306889353261E-3</v>
      </c>
      <c r="M476" s="155">
        <f t="shared" si="78"/>
        <v>-2.2371364653243075E-3</v>
      </c>
      <c r="N476" s="155">
        <f t="shared" si="79"/>
        <v>-9.3676814988288282E-3</v>
      </c>
      <c r="O476" s="155">
        <f t="shared" si="80"/>
        <v>-1.0972592434840278E-2</v>
      </c>
      <c r="P476" s="162">
        <f t="shared" si="81"/>
        <v>-1.2722646310432628E-2</v>
      </c>
    </row>
    <row r="477" spans="1:16">
      <c r="A477" s="319">
        <v>44890</v>
      </c>
      <c r="B477" s="28">
        <v>4.76</v>
      </c>
      <c r="C477" s="29">
        <v>4.42</v>
      </c>
      <c r="D477" s="29">
        <v>4.2</v>
      </c>
      <c r="E477" s="30">
        <v>4.0251620932680074</v>
      </c>
      <c r="F477" s="29">
        <v>3.85</v>
      </c>
      <c r="G477" s="159">
        <f t="shared" si="72"/>
        <v>9.9999999999997863E-5</v>
      </c>
      <c r="H477" s="154">
        <f t="shared" si="73"/>
        <v>-4.0000000000000034E-4</v>
      </c>
      <c r="I477" s="154">
        <f t="shared" si="74"/>
        <v>-3.0000000000000247E-4</v>
      </c>
      <c r="J477" s="154">
        <f t="shared" si="75"/>
        <v>-3.0237782541975733E-4</v>
      </c>
      <c r="K477" s="160">
        <f t="shared" si="76"/>
        <v>-2.9999999999999802E-4</v>
      </c>
      <c r="L477" s="161">
        <f t="shared" si="77"/>
        <v>2.1052631578946102E-3</v>
      </c>
      <c r="M477" s="155">
        <f t="shared" si="78"/>
        <v>-8.9686098654708779E-3</v>
      </c>
      <c r="N477" s="155">
        <f t="shared" si="79"/>
        <v>-7.0921985815602939E-3</v>
      </c>
      <c r="O477" s="155">
        <f t="shared" si="80"/>
        <v>-7.4561778043987781E-3</v>
      </c>
      <c r="P477" s="162">
        <f t="shared" si="81"/>
        <v>-7.7319587628865705E-3</v>
      </c>
    </row>
    <row r="478" spans="1:16">
      <c r="A478" s="319">
        <v>44893</v>
      </c>
      <c r="B478" s="28">
        <v>4.76</v>
      </c>
      <c r="C478" s="29">
        <v>4.46</v>
      </c>
      <c r="D478" s="29">
        <v>4.22</v>
      </c>
      <c r="E478" s="30">
        <v>4.0503934828603647</v>
      </c>
      <c r="F478" s="29">
        <v>3.88</v>
      </c>
      <c r="G478" s="159">
        <f t="shared" si="72"/>
        <v>0</v>
      </c>
      <c r="H478" s="154">
        <f t="shared" si="73"/>
        <v>4.0000000000000034E-4</v>
      </c>
      <c r="I478" s="154">
        <f t="shared" si="74"/>
        <v>1.9999999999999573E-4</v>
      </c>
      <c r="J478" s="154">
        <f t="shared" si="75"/>
        <v>2.5231389592357268E-4</v>
      </c>
      <c r="K478" s="160">
        <f t="shared" si="76"/>
        <v>2.9999999999999802E-4</v>
      </c>
      <c r="L478" s="161">
        <f t="shared" si="77"/>
        <v>0</v>
      </c>
      <c r="M478" s="155">
        <f t="shared" si="78"/>
        <v>9.0497737556560764E-3</v>
      </c>
      <c r="N478" s="155">
        <f t="shared" si="79"/>
        <v>4.761904761904745E-3</v>
      </c>
      <c r="O478" s="155">
        <f t="shared" si="80"/>
        <v>6.2684157824490772E-3</v>
      </c>
      <c r="P478" s="162">
        <f t="shared" si="81"/>
        <v>7.7922077922076838E-3</v>
      </c>
    </row>
    <row r="479" spans="1:16">
      <c r="A479" s="319">
        <v>44894</v>
      </c>
      <c r="B479" s="28">
        <v>4.78</v>
      </c>
      <c r="C479" s="29">
        <v>4.4800000000000004</v>
      </c>
      <c r="D479" s="29">
        <v>4.24</v>
      </c>
      <c r="E479" s="30">
        <v>4.0800137850543603</v>
      </c>
      <c r="F479" s="29">
        <v>3.92</v>
      </c>
      <c r="G479" s="159">
        <f t="shared" si="72"/>
        <v>2.0000000000000462E-4</v>
      </c>
      <c r="H479" s="154">
        <f t="shared" si="73"/>
        <v>2.0000000000000462E-4</v>
      </c>
      <c r="I479" s="154">
        <f t="shared" si="74"/>
        <v>2.0000000000000462E-4</v>
      </c>
      <c r="J479" s="154">
        <f t="shared" si="75"/>
        <v>2.9620302193995586E-4</v>
      </c>
      <c r="K479" s="160">
        <f t="shared" si="76"/>
        <v>4.0000000000000034E-4</v>
      </c>
      <c r="L479" s="161">
        <f t="shared" si="77"/>
        <v>4.2016806722691147E-3</v>
      </c>
      <c r="M479" s="155">
        <f t="shared" si="78"/>
        <v>4.484304932735439E-3</v>
      </c>
      <c r="N479" s="155">
        <f t="shared" si="79"/>
        <v>4.7393364928911552E-3</v>
      </c>
      <c r="O479" s="155">
        <f t="shared" si="80"/>
        <v>7.3129443643775716E-3</v>
      </c>
      <c r="P479" s="162">
        <f t="shared" si="81"/>
        <v>1.0309278350515427E-2</v>
      </c>
    </row>
    <row r="480" spans="1:16">
      <c r="A480" s="319">
        <v>44895</v>
      </c>
      <c r="B480" s="28">
        <v>4.74</v>
      </c>
      <c r="C480" s="29">
        <v>4.38</v>
      </c>
      <c r="D480" s="29">
        <v>4.13</v>
      </c>
      <c r="E480" s="30">
        <v>3.9750311418927069</v>
      </c>
      <c r="F480" s="29">
        <v>3.82</v>
      </c>
      <c r="G480" s="159">
        <f t="shared" si="72"/>
        <v>-4.0000000000000034E-4</v>
      </c>
      <c r="H480" s="154">
        <f t="shared" si="73"/>
        <v>-1.0000000000000052E-3</v>
      </c>
      <c r="I480" s="154">
        <f t="shared" si="74"/>
        <v>-1.1000000000000031E-3</v>
      </c>
      <c r="J480" s="154">
        <f t="shared" si="75"/>
        <v>-1.049826431616534E-3</v>
      </c>
      <c r="K480" s="160">
        <f t="shared" si="76"/>
        <v>-1.0000000000000009E-3</v>
      </c>
      <c r="L480" s="161">
        <f t="shared" si="77"/>
        <v>-8.3682008368201055E-3</v>
      </c>
      <c r="M480" s="155">
        <f t="shared" si="78"/>
        <v>-2.2321428571428714E-2</v>
      </c>
      <c r="N480" s="155">
        <f t="shared" si="79"/>
        <v>-2.5943396226415172E-2</v>
      </c>
      <c r="O480" s="155">
        <f t="shared" si="80"/>
        <v>-2.5730953053692884E-2</v>
      </c>
      <c r="P480" s="162">
        <f t="shared" si="81"/>
        <v>-2.5510204081632626E-2</v>
      </c>
    </row>
    <row r="481" spans="1:16">
      <c r="A481" s="319">
        <v>44896</v>
      </c>
      <c r="B481" s="28">
        <v>4.66</v>
      </c>
      <c r="C481" s="29">
        <v>4.25</v>
      </c>
      <c r="D481" s="29">
        <v>3.98</v>
      </c>
      <c r="E481" s="30">
        <v>3.8300541535235708</v>
      </c>
      <c r="F481" s="29">
        <v>3.68</v>
      </c>
      <c r="G481" s="159">
        <f t="shared" si="72"/>
        <v>-8.0000000000000069E-4</v>
      </c>
      <c r="H481" s="154">
        <f t="shared" si="73"/>
        <v>-1.2999999999999989E-3</v>
      </c>
      <c r="I481" s="154">
        <f t="shared" si="74"/>
        <v>-1.4999999999999992E-3</v>
      </c>
      <c r="J481" s="154">
        <f t="shared" si="75"/>
        <v>-1.4497698836913608E-3</v>
      </c>
      <c r="K481" s="160">
        <f t="shared" si="76"/>
        <v>-1.3999999999999967E-3</v>
      </c>
      <c r="L481" s="161">
        <f t="shared" si="77"/>
        <v>-1.6877637130801704E-2</v>
      </c>
      <c r="M481" s="155">
        <f t="shared" si="78"/>
        <v>-2.9680365296803624E-2</v>
      </c>
      <c r="N481" s="155">
        <f t="shared" si="79"/>
        <v>-3.6319612590798966E-2</v>
      </c>
      <c r="O481" s="155">
        <f t="shared" si="80"/>
        <v>-3.6471912594905009E-2</v>
      </c>
      <c r="P481" s="162">
        <f t="shared" si="81"/>
        <v>-3.6649214659685736E-2</v>
      </c>
    </row>
    <row r="482" spans="1:16">
      <c r="A482" s="319">
        <v>44897</v>
      </c>
      <c r="B482" s="28">
        <v>4.6900000000000004</v>
      </c>
      <c r="C482" s="29">
        <v>4.28</v>
      </c>
      <c r="D482" s="29">
        <v>3.99</v>
      </c>
      <c r="E482" s="30">
        <v>3.8300311257425919</v>
      </c>
      <c r="F482" s="29">
        <v>3.67</v>
      </c>
      <c r="G482" s="159">
        <f t="shared" si="72"/>
        <v>3.0000000000000247E-4</v>
      </c>
      <c r="H482" s="154">
        <f t="shared" si="73"/>
        <v>3.0000000000000247E-4</v>
      </c>
      <c r="I482" s="154">
        <f t="shared" si="74"/>
        <v>1.0000000000000231E-4</v>
      </c>
      <c r="J482" s="154">
        <f t="shared" si="75"/>
        <v>-2.3027780978956969E-7</v>
      </c>
      <c r="K482" s="160">
        <f t="shared" si="76"/>
        <v>-1.0000000000000231E-4</v>
      </c>
      <c r="L482" s="161">
        <f t="shared" si="77"/>
        <v>6.4377682403433667E-3</v>
      </c>
      <c r="M482" s="155">
        <f t="shared" si="78"/>
        <v>7.058823529411784E-3</v>
      </c>
      <c r="N482" s="155">
        <f t="shared" si="79"/>
        <v>2.5125628140703071E-3</v>
      </c>
      <c r="O482" s="155">
        <f t="shared" si="80"/>
        <v>-6.0123904404019157E-6</v>
      </c>
      <c r="P482" s="162">
        <f t="shared" si="81"/>
        <v>-2.7173913043478937E-3</v>
      </c>
    </row>
    <row r="483" spans="1:16">
      <c r="A483" s="319">
        <v>44900</v>
      </c>
      <c r="B483" s="28">
        <v>4.7699999999999996</v>
      </c>
      <c r="C483" s="29">
        <v>4.41</v>
      </c>
      <c r="D483" s="29">
        <v>4.13</v>
      </c>
      <c r="E483" s="30">
        <v>3.9652622824916048</v>
      </c>
      <c r="F483" s="29">
        <v>3.8</v>
      </c>
      <c r="G483" s="159">
        <f t="shared" si="72"/>
        <v>7.999999999999918E-4</v>
      </c>
      <c r="H483" s="154">
        <f t="shared" si="73"/>
        <v>1.2999999999999989E-3</v>
      </c>
      <c r="I483" s="154">
        <f t="shared" si="74"/>
        <v>1.3999999999999967E-3</v>
      </c>
      <c r="J483" s="154">
        <f t="shared" si="75"/>
        <v>1.3523115674901299E-3</v>
      </c>
      <c r="K483" s="160">
        <f t="shared" si="76"/>
        <v>1.2999999999999989E-3</v>
      </c>
      <c r="L483" s="161">
        <f t="shared" si="77"/>
        <v>1.705756929637503E-2</v>
      </c>
      <c r="M483" s="155">
        <f t="shared" si="78"/>
        <v>3.0373831775700966E-2</v>
      </c>
      <c r="N483" s="155">
        <f t="shared" si="79"/>
        <v>3.5087719298245501E-2</v>
      </c>
      <c r="O483" s="155">
        <f t="shared" si="80"/>
        <v>3.5308109075169236E-2</v>
      </c>
      <c r="P483" s="162">
        <f t="shared" si="81"/>
        <v>3.5422343324250649E-2</v>
      </c>
    </row>
    <row r="484" spans="1:16">
      <c r="A484" s="319">
        <v>44901</v>
      </c>
      <c r="B484" s="28">
        <v>4.7300000000000004</v>
      </c>
      <c r="C484" s="29">
        <v>4.34</v>
      </c>
      <c r="D484" s="29">
        <v>4.07</v>
      </c>
      <c r="E484" s="30">
        <v>3.9003091043550224</v>
      </c>
      <c r="F484" s="29">
        <v>3.73</v>
      </c>
      <c r="G484" s="159">
        <f t="shared" si="72"/>
        <v>-3.9999999999999145E-4</v>
      </c>
      <c r="H484" s="154">
        <f t="shared" si="73"/>
        <v>-7.0000000000000281E-4</v>
      </c>
      <c r="I484" s="154">
        <f t="shared" si="74"/>
        <v>-5.9999999999999604E-4</v>
      </c>
      <c r="J484" s="154">
        <f t="shared" si="75"/>
        <v>-6.4953178136582411E-4</v>
      </c>
      <c r="K484" s="160">
        <f t="shared" si="76"/>
        <v>-6.9999999999999837E-4</v>
      </c>
      <c r="L484" s="161">
        <f t="shared" si="77"/>
        <v>-8.3857442348006517E-3</v>
      </c>
      <c r="M484" s="155">
        <f t="shared" si="78"/>
        <v>-1.5873015873015928E-2</v>
      </c>
      <c r="N484" s="155">
        <f t="shared" si="79"/>
        <v>-1.4527845036319542E-2</v>
      </c>
      <c r="O484" s="155">
        <f t="shared" si="80"/>
        <v>-1.6380550266089422E-2</v>
      </c>
      <c r="P484" s="162">
        <f t="shared" si="81"/>
        <v>-1.8421052631578894E-2</v>
      </c>
    </row>
    <row r="485" spans="1:16">
      <c r="A485" s="319">
        <v>44902</v>
      </c>
      <c r="B485" s="28">
        <v>4.67</v>
      </c>
      <c r="C485" s="29">
        <v>4.26</v>
      </c>
      <c r="D485" s="29">
        <v>3.97</v>
      </c>
      <c r="E485" s="30">
        <v>3.7952339026368258</v>
      </c>
      <c r="F485" s="29">
        <v>3.62</v>
      </c>
      <c r="G485" s="159">
        <f t="shared" si="72"/>
        <v>-6.0000000000000493E-4</v>
      </c>
      <c r="H485" s="154">
        <f t="shared" si="73"/>
        <v>-8.0000000000000069E-4</v>
      </c>
      <c r="I485" s="154">
        <f t="shared" si="74"/>
        <v>-1.0000000000000009E-3</v>
      </c>
      <c r="J485" s="154">
        <f t="shared" si="75"/>
        <v>-1.0507520171819662E-3</v>
      </c>
      <c r="K485" s="160">
        <f t="shared" si="76"/>
        <v>-1.0999999999999988E-3</v>
      </c>
      <c r="L485" s="161">
        <f t="shared" si="77"/>
        <v>-1.2684989429175619E-2</v>
      </c>
      <c r="M485" s="155">
        <f t="shared" si="78"/>
        <v>-1.8433179723502335E-2</v>
      </c>
      <c r="N485" s="155">
        <f t="shared" si="79"/>
        <v>-2.4570024570024551E-2</v>
      </c>
      <c r="O485" s="155">
        <f t="shared" si="80"/>
        <v>-2.694022419937725E-2</v>
      </c>
      <c r="P485" s="162">
        <f t="shared" si="81"/>
        <v>-2.9490616621983934E-2</v>
      </c>
    </row>
    <row r="486" spans="1:16">
      <c r="A486" s="319">
        <v>44903</v>
      </c>
      <c r="B486" s="28">
        <v>4.71</v>
      </c>
      <c r="C486" s="29">
        <v>4.3099999999999996</v>
      </c>
      <c r="D486" s="29">
        <v>4.04</v>
      </c>
      <c r="E486" s="30">
        <v>3.8754643568400584</v>
      </c>
      <c r="F486" s="29">
        <v>3.71</v>
      </c>
      <c r="G486" s="159">
        <f t="shared" si="72"/>
        <v>4.0000000000000034E-4</v>
      </c>
      <c r="H486" s="154">
        <f t="shared" si="73"/>
        <v>4.9999999999999828E-4</v>
      </c>
      <c r="I486" s="154">
        <f t="shared" si="74"/>
        <v>6.9999999999999837E-4</v>
      </c>
      <c r="J486" s="154">
        <f t="shared" si="75"/>
        <v>8.0230454203232603E-4</v>
      </c>
      <c r="K486" s="160">
        <f t="shared" si="76"/>
        <v>8.9999999999999857E-4</v>
      </c>
      <c r="L486" s="161">
        <f t="shared" si="77"/>
        <v>8.565310492505418E-3</v>
      </c>
      <c r="M486" s="155">
        <f t="shared" si="78"/>
        <v>1.1737089201877993E-2</v>
      </c>
      <c r="N486" s="155">
        <f t="shared" si="79"/>
        <v>1.7632241813601901E-2</v>
      </c>
      <c r="O486" s="155">
        <f t="shared" si="80"/>
        <v>2.1139791712835088E-2</v>
      </c>
      <c r="P486" s="162">
        <f t="shared" si="81"/>
        <v>2.4861878453038555E-2</v>
      </c>
    </row>
    <row r="487" spans="1:16">
      <c r="A487" s="319">
        <v>44904</v>
      </c>
      <c r="B487" s="28">
        <v>4.72</v>
      </c>
      <c r="C487" s="29">
        <v>4.33</v>
      </c>
      <c r="D487" s="29">
        <v>4.07</v>
      </c>
      <c r="E487" s="30">
        <v>3.9101815171220546</v>
      </c>
      <c r="F487" s="29">
        <v>3.75</v>
      </c>
      <c r="G487" s="159">
        <f t="shared" si="72"/>
        <v>9.9999999999997863E-5</v>
      </c>
      <c r="H487" s="154">
        <f t="shared" si="73"/>
        <v>2.0000000000000462E-4</v>
      </c>
      <c r="I487" s="154">
        <f t="shared" si="74"/>
        <v>3.0000000000000247E-4</v>
      </c>
      <c r="J487" s="154">
        <f t="shared" si="75"/>
        <v>3.4717160281996231E-4</v>
      </c>
      <c r="K487" s="160">
        <f t="shared" si="76"/>
        <v>4.0000000000000034E-4</v>
      </c>
      <c r="L487" s="161">
        <f t="shared" si="77"/>
        <v>2.1231422505307851E-3</v>
      </c>
      <c r="M487" s="155">
        <f t="shared" si="78"/>
        <v>4.6403712296985145E-3</v>
      </c>
      <c r="N487" s="155">
        <f t="shared" si="79"/>
        <v>7.4257425742574323E-3</v>
      </c>
      <c r="O487" s="155">
        <f t="shared" si="80"/>
        <v>8.9581936731586431E-3</v>
      </c>
      <c r="P487" s="162">
        <f t="shared" si="81"/>
        <v>1.0781671159029615E-2</v>
      </c>
    </row>
    <row r="488" spans="1:16">
      <c r="A488" s="319">
        <v>44907</v>
      </c>
      <c r="B488" s="28">
        <v>4.75</v>
      </c>
      <c r="C488" s="29">
        <v>4.3899999999999997</v>
      </c>
      <c r="D488" s="29">
        <v>4.0999999999999996</v>
      </c>
      <c r="E488" s="30">
        <v>3.9500297740863424</v>
      </c>
      <c r="F488" s="29">
        <v>3.8</v>
      </c>
      <c r="G488" s="159">
        <f t="shared" si="72"/>
        <v>3.0000000000000247E-4</v>
      </c>
      <c r="H488" s="154">
        <f t="shared" si="73"/>
        <v>5.9999999999999604E-4</v>
      </c>
      <c r="I488" s="154">
        <f t="shared" si="74"/>
        <v>2.9999999999999363E-4</v>
      </c>
      <c r="J488" s="154">
        <f t="shared" si="75"/>
        <v>3.9848256964287733E-4</v>
      </c>
      <c r="K488" s="160">
        <f t="shared" si="76"/>
        <v>4.9999999999999828E-4</v>
      </c>
      <c r="L488" s="161">
        <f t="shared" si="77"/>
        <v>6.3559322033899246E-3</v>
      </c>
      <c r="M488" s="155">
        <f t="shared" si="78"/>
        <v>1.3856812933025209E-2</v>
      </c>
      <c r="N488" s="155">
        <f t="shared" si="79"/>
        <v>7.3710073710071544E-3</v>
      </c>
      <c r="O488" s="155">
        <f t="shared" si="80"/>
        <v>1.0190896967263274E-2</v>
      </c>
      <c r="P488" s="162">
        <f t="shared" si="81"/>
        <v>1.3333333333333197E-2</v>
      </c>
    </row>
    <row r="489" spans="1:16">
      <c r="A489" s="319">
        <v>44908</v>
      </c>
      <c r="B489" s="28">
        <v>4.6399999999999997</v>
      </c>
      <c r="C489" s="29">
        <v>4.22</v>
      </c>
      <c r="D489" s="29">
        <v>3.96</v>
      </c>
      <c r="E489" s="30">
        <v>3.8103631442544628</v>
      </c>
      <c r="F489" s="29">
        <v>3.66</v>
      </c>
      <c r="G489" s="159">
        <f t="shared" si="72"/>
        <v>-1.1000000000000031E-3</v>
      </c>
      <c r="H489" s="154">
        <f t="shared" si="73"/>
        <v>-1.6999999999999993E-3</v>
      </c>
      <c r="I489" s="154">
        <f t="shared" si="74"/>
        <v>-1.3999999999999967E-3</v>
      </c>
      <c r="J489" s="154">
        <f t="shared" si="75"/>
        <v>-1.3966662983187961E-3</v>
      </c>
      <c r="K489" s="160">
        <f t="shared" si="76"/>
        <v>-1.3999999999999967E-3</v>
      </c>
      <c r="L489" s="161">
        <f t="shared" si="77"/>
        <v>-2.3157894736842155E-2</v>
      </c>
      <c r="M489" s="155">
        <f t="shared" si="78"/>
        <v>-3.8724373576309756E-2</v>
      </c>
      <c r="N489" s="155">
        <f t="shared" si="79"/>
        <v>-3.4146341463414553E-2</v>
      </c>
      <c r="O489" s="155">
        <f t="shared" si="80"/>
        <v>-3.5358373941417942E-2</v>
      </c>
      <c r="P489" s="162">
        <f t="shared" si="81"/>
        <v>-3.6842105263157787E-2</v>
      </c>
    </row>
    <row r="490" spans="1:16">
      <c r="A490" s="319">
        <v>44909</v>
      </c>
      <c r="B490" s="28">
        <v>4.6399999999999997</v>
      </c>
      <c r="C490" s="29">
        <v>4.2300000000000004</v>
      </c>
      <c r="D490" s="29">
        <v>3.94</v>
      </c>
      <c r="E490" s="30">
        <v>3.7900081743063523</v>
      </c>
      <c r="F490" s="29">
        <v>3.64</v>
      </c>
      <c r="G490" s="159">
        <f t="shared" si="72"/>
        <v>0</v>
      </c>
      <c r="H490" s="154">
        <f t="shared" si="73"/>
        <v>1.0000000000000675E-4</v>
      </c>
      <c r="I490" s="154">
        <f t="shared" si="74"/>
        <v>-2.0000000000000017E-4</v>
      </c>
      <c r="J490" s="154">
        <f t="shared" si="75"/>
        <v>-2.0354969948110479E-4</v>
      </c>
      <c r="K490" s="160">
        <f t="shared" si="76"/>
        <v>-2.0000000000000017E-4</v>
      </c>
      <c r="L490" s="161">
        <f t="shared" si="77"/>
        <v>0</v>
      </c>
      <c r="M490" s="155">
        <f t="shared" si="78"/>
        <v>2.3696682464455776E-3</v>
      </c>
      <c r="N490" s="155">
        <f t="shared" si="79"/>
        <v>-5.050505050505083E-3</v>
      </c>
      <c r="O490" s="155">
        <f t="shared" si="80"/>
        <v>-5.3420026326895798E-3</v>
      </c>
      <c r="P490" s="162">
        <f t="shared" si="81"/>
        <v>-5.464480874316946E-3</v>
      </c>
    </row>
    <row r="491" spans="1:16">
      <c r="A491" s="319">
        <v>44910</v>
      </c>
      <c r="B491" s="28">
        <v>4.6500000000000004</v>
      </c>
      <c r="C491" s="29">
        <v>4.2300000000000004</v>
      </c>
      <c r="D491" s="29">
        <v>3.96</v>
      </c>
      <c r="E491" s="30">
        <v>3.790143127585309</v>
      </c>
      <c r="F491" s="29">
        <v>3.62</v>
      </c>
      <c r="G491" s="159">
        <f t="shared" si="72"/>
        <v>1.0000000000000675E-4</v>
      </c>
      <c r="H491" s="154">
        <f t="shared" si="73"/>
        <v>0</v>
      </c>
      <c r="I491" s="154">
        <f t="shared" si="74"/>
        <v>2.0000000000000017E-4</v>
      </c>
      <c r="J491" s="154">
        <f t="shared" si="75"/>
        <v>1.3495327895673981E-6</v>
      </c>
      <c r="K491" s="160">
        <f t="shared" si="76"/>
        <v>-2.0000000000000017E-4</v>
      </c>
      <c r="L491" s="161">
        <f t="shared" si="77"/>
        <v>2.1551724137931494E-3</v>
      </c>
      <c r="M491" s="155">
        <f t="shared" si="78"/>
        <v>0</v>
      </c>
      <c r="N491" s="155">
        <f t="shared" si="79"/>
        <v>5.0761421319795996E-3</v>
      </c>
      <c r="O491" s="155">
        <f t="shared" si="80"/>
        <v>3.5607648519508928E-5</v>
      </c>
      <c r="P491" s="162">
        <f t="shared" si="81"/>
        <v>-5.494505494505475E-3</v>
      </c>
    </row>
    <row r="492" spans="1:16">
      <c r="A492" s="319">
        <v>44911</v>
      </c>
      <c r="B492" s="28">
        <v>4.6100000000000003</v>
      </c>
      <c r="C492" s="29">
        <v>4.17</v>
      </c>
      <c r="D492" s="29">
        <v>3.91</v>
      </c>
      <c r="E492" s="30">
        <v>3.7604211738514355</v>
      </c>
      <c r="F492" s="29">
        <v>3.61</v>
      </c>
      <c r="G492" s="159">
        <f t="shared" si="72"/>
        <v>-4.0000000000000034E-4</v>
      </c>
      <c r="H492" s="154">
        <f t="shared" si="73"/>
        <v>-6.0000000000000493E-4</v>
      </c>
      <c r="I492" s="154">
        <f t="shared" si="74"/>
        <v>-4.9999999999999828E-4</v>
      </c>
      <c r="J492" s="154">
        <f t="shared" si="75"/>
        <v>-2.972195373387354E-4</v>
      </c>
      <c r="K492" s="160">
        <f t="shared" si="76"/>
        <v>-1.0000000000000231E-4</v>
      </c>
      <c r="L492" s="161">
        <f t="shared" si="77"/>
        <v>-8.6021505376344676E-3</v>
      </c>
      <c r="M492" s="155">
        <f t="shared" si="78"/>
        <v>-1.4184397163120699E-2</v>
      </c>
      <c r="N492" s="155">
        <f t="shared" si="79"/>
        <v>-1.2626262626262541E-2</v>
      </c>
      <c r="O492" s="155">
        <f t="shared" si="80"/>
        <v>-7.8419080054132895E-3</v>
      </c>
      <c r="P492" s="162">
        <f t="shared" si="81"/>
        <v>-2.7624309392265678E-3</v>
      </c>
    </row>
    <row r="493" spans="1:16">
      <c r="A493" s="319">
        <v>44914</v>
      </c>
      <c r="B493" s="28">
        <v>4.6399999999999997</v>
      </c>
      <c r="C493" s="29">
        <v>4.25</v>
      </c>
      <c r="D493" s="29">
        <v>3.99</v>
      </c>
      <c r="E493" s="30">
        <v>3.8453001833204863</v>
      </c>
      <c r="F493" s="29">
        <v>3.7</v>
      </c>
      <c r="G493" s="159">
        <f t="shared" si="72"/>
        <v>2.9999999999999363E-4</v>
      </c>
      <c r="H493" s="154">
        <f t="shared" si="73"/>
        <v>8.0000000000000069E-4</v>
      </c>
      <c r="I493" s="154">
        <f t="shared" si="74"/>
        <v>8.0000000000000069E-4</v>
      </c>
      <c r="J493" s="154">
        <f t="shared" si="75"/>
        <v>8.4879009469050802E-4</v>
      </c>
      <c r="K493" s="160">
        <f t="shared" si="76"/>
        <v>9.0000000000000301E-4</v>
      </c>
      <c r="L493" s="161">
        <f t="shared" si="77"/>
        <v>6.5075921908892553E-3</v>
      </c>
      <c r="M493" s="155">
        <f t="shared" si="78"/>
        <v>1.9184652278177561E-2</v>
      </c>
      <c r="N493" s="155">
        <f t="shared" si="79"/>
        <v>2.0460358056265893E-2</v>
      </c>
      <c r="O493" s="155">
        <f t="shared" si="80"/>
        <v>2.2571676295003229E-2</v>
      </c>
      <c r="P493" s="162">
        <f t="shared" si="81"/>
        <v>2.4930747922437657E-2</v>
      </c>
    </row>
    <row r="494" spans="1:16">
      <c r="A494" s="319">
        <v>44915</v>
      </c>
      <c r="B494" s="28">
        <v>4.6399999999999997</v>
      </c>
      <c r="C494" s="29">
        <v>4.25</v>
      </c>
      <c r="D494" s="29">
        <v>4.03</v>
      </c>
      <c r="E494" s="30">
        <v>3.9104654897094893</v>
      </c>
      <c r="F494" s="29">
        <v>3.79</v>
      </c>
      <c r="G494" s="159">
        <f t="shared" si="72"/>
        <v>0</v>
      </c>
      <c r="H494" s="154">
        <f t="shared" si="73"/>
        <v>0</v>
      </c>
      <c r="I494" s="154">
        <f t="shared" si="74"/>
        <v>4.0000000000000034E-4</v>
      </c>
      <c r="J494" s="154">
        <f t="shared" si="75"/>
        <v>6.5165306389002974E-4</v>
      </c>
      <c r="K494" s="160">
        <f t="shared" si="76"/>
        <v>8.9999999999999857E-4</v>
      </c>
      <c r="L494" s="161">
        <f t="shared" si="77"/>
        <v>0</v>
      </c>
      <c r="M494" s="155">
        <f t="shared" si="78"/>
        <v>0</v>
      </c>
      <c r="N494" s="155">
        <f t="shared" si="79"/>
        <v>1.0025062656641603E-2</v>
      </c>
      <c r="O494" s="155">
        <f t="shared" si="80"/>
        <v>1.6946741029911339E-2</v>
      </c>
      <c r="P494" s="162">
        <f t="shared" si="81"/>
        <v>2.4324324324324298E-2</v>
      </c>
    </row>
    <row r="495" spans="1:16">
      <c r="A495" s="319">
        <v>44916</v>
      </c>
      <c r="B495" s="28">
        <v>4.5999999999999996</v>
      </c>
      <c r="C495" s="29">
        <v>4.21</v>
      </c>
      <c r="D495" s="29">
        <v>4</v>
      </c>
      <c r="E495" s="30">
        <v>3.8901972603442823</v>
      </c>
      <c r="F495" s="29">
        <v>3.78</v>
      </c>
      <c r="G495" s="159">
        <f t="shared" si="72"/>
        <v>-4.0000000000000034E-4</v>
      </c>
      <c r="H495" s="154">
        <f t="shared" si="73"/>
        <v>-4.0000000000000034E-4</v>
      </c>
      <c r="I495" s="154">
        <f t="shared" si="74"/>
        <v>-3.0000000000000247E-4</v>
      </c>
      <c r="J495" s="154">
        <f t="shared" si="75"/>
        <v>-2.0268229365207004E-4</v>
      </c>
      <c r="K495" s="160">
        <f t="shared" si="76"/>
        <v>-1.0000000000000231E-4</v>
      </c>
      <c r="L495" s="161">
        <f t="shared" si="77"/>
        <v>-8.6206896551723755E-3</v>
      </c>
      <c r="M495" s="155">
        <f t="shared" si="78"/>
        <v>-9.4117647058823417E-3</v>
      </c>
      <c r="N495" s="155">
        <f t="shared" si="79"/>
        <v>-7.4441687344913854E-3</v>
      </c>
      <c r="O495" s="155">
        <f t="shared" si="80"/>
        <v>-5.1830733242739235E-3</v>
      </c>
      <c r="P495" s="162">
        <f t="shared" si="81"/>
        <v>-2.6385224274406704E-3</v>
      </c>
    </row>
    <row r="496" spans="1:16">
      <c r="A496" s="319">
        <v>44917</v>
      </c>
      <c r="B496" s="28">
        <v>4.6399999999999997</v>
      </c>
      <c r="C496" s="29">
        <v>4.24</v>
      </c>
      <c r="D496" s="29">
        <v>4.0199999999999996</v>
      </c>
      <c r="E496" s="30">
        <v>3.9051983734182514</v>
      </c>
      <c r="F496" s="29">
        <v>3.79</v>
      </c>
      <c r="G496" s="159">
        <f t="shared" si="72"/>
        <v>4.0000000000000034E-4</v>
      </c>
      <c r="H496" s="154">
        <f t="shared" si="73"/>
        <v>3.0000000000000247E-4</v>
      </c>
      <c r="I496" s="154">
        <f t="shared" si="74"/>
        <v>1.9999999999999573E-4</v>
      </c>
      <c r="J496" s="154">
        <f t="shared" si="75"/>
        <v>1.5001113073969118E-4</v>
      </c>
      <c r="K496" s="160">
        <f t="shared" si="76"/>
        <v>1.0000000000000231E-4</v>
      </c>
      <c r="L496" s="161">
        <f t="shared" si="77"/>
        <v>8.6956521739129933E-3</v>
      </c>
      <c r="M496" s="155">
        <f t="shared" si="78"/>
        <v>7.1258907363420665E-3</v>
      </c>
      <c r="N496" s="155">
        <f t="shared" si="79"/>
        <v>4.9999999999998934E-3</v>
      </c>
      <c r="O496" s="155">
        <f t="shared" si="80"/>
        <v>3.8561317254748317E-3</v>
      </c>
      <c r="P496" s="162">
        <f t="shared" si="81"/>
        <v>2.6455026455027841E-3</v>
      </c>
    </row>
    <row r="497" spans="1:16">
      <c r="A497" s="319">
        <v>44918</v>
      </c>
      <c r="B497" s="28">
        <v>4.66</v>
      </c>
      <c r="C497" s="29">
        <v>4.3099999999999996</v>
      </c>
      <c r="D497" s="29">
        <v>4.09</v>
      </c>
      <c r="E497" s="30">
        <v>3.9751722349494441</v>
      </c>
      <c r="F497" s="29">
        <v>3.86</v>
      </c>
      <c r="G497" s="159">
        <f t="shared" si="72"/>
        <v>2.0000000000000462E-4</v>
      </c>
      <c r="H497" s="154">
        <f t="shared" si="73"/>
        <v>6.9999999999999392E-4</v>
      </c>
      <c r="I497" s="154">
        <f t="shared" si="74"/>
        <v>7.0000000000000281E-4</v>
      </c>
      <c r="J497" s="154">
        <f t="shared" si="75"/>
        <v>6.9973861531192672E-4</v>
      </c>
      <c r="K497" s="160">
        <f t="shared" si="76"/>
        <v>6.9999999999999837E-4</v>
      </c>
      <c r="L497" s="161">
        <f t="shared" si="77"/>
        <v>4.3103448275862988E-3</v>
      </c>
      <c r="M497" s="155">
        <f t="shared" si="78"/>
        <v>1.6509433962264008E-2</v>
      </c>
      <c r="N497" s="155">
        <f t="shared" si="79"/>
        <v>1.7412935323383172E-2</v>
      </c>
      <c r="O497" s="155">
        <f t="shared" si="80"/>
        <v>1.7918132407175102E-2</v>
      </c>
      <c r="P497" s="162">
        <f t="shared" si="81"/>
        <v>1.846965699208436E-2</v>
      </c>
    </row>
    <row r="498" spans="1:16">
      <c r="A498" s="319">
        <v>44922</v>
      </c>
      <c r="B498" s="28">
        <v>4.75</v>
      </c>
      <c r="C498" s="29">
        <v>4.32</v>
      </c>
      <c r="D498" s="29">
        <v>4.17</v>
      </c>
      <c r="E498" s="30">
        <v>4.0550722826436303</v>
      </c>
      <c r="F498" s="29">
        <v>3.94</v>
      </c>
      <c r="G498" s="159">
        <f t="shared" si="72"/>
        <v>8.9999999999999857E-4</v>
      </c>
      <c r="H498" s="154">
        <f t="shared" si="73"/>
        <v>1.0000000000000675E-4</v>
      </c>
      <c r="I498" s="154">
        <f t="shared" si="74"/>
        <v>8.0000000000000069E-4</v>
      </c>
      <c r="J498" s="154">
        <f t="shared" si="75"/>
        <v>7.9900047694186243E-4</v>
      </c>
      <c r="K498" s="160">
        <f t="shared" si="76"/>
        <v>8.0000000000000069E-4</v>
      </c>
      <c r="L498" s="161">
        <f t="shared" si="77"/>
        <v>1.93133047210301E-2</v>
      </c>
      <c r="M498" s="155">
        <f t="shared" si="78"/>
        <v>2.3201856148493682E-3</v>
      </c>
      <c r="N498" s="155">
        <f t="shared" si="79"/>
        <v>1.9559902200489088E-2</v>
      </c>
      <c r="O498" s="155">
        <f t="shared" si="80"/>
        <v>2.0099770015424845E-2</v>
      </c>
      <c r="P498" s="162">
        <f t="shared" si="81"/>
        <v>2.0725388601036343E-2</v>
      </c>
    </row>
    <row r="499" spans="1:16">
      <c r="A499" s="319">
        <v>44923</v>
      </c>
      <c r="B499" s="28">
        <v>4.71</v>
      </c>
      <c r="C499" s="29">
        <v>4.3099999999999996</v>
      </c>
      <c r="D499" s="29">
        <v>4.18</v>
      </c>
      <c r="E499" s="30">
        <v>4.0750996366049659</v>
      </c>
      <c r="F499" s="29">
        <v>3.97</v>
      </c>
      <c r="G499" s="159">
        <f t="shared" si="72"/>
        <v>-4.0000000000000034E-4</v>
      </c>
      <c r="H499" s="154">
        <f t="shared" si="73"/>
        <v>-1.0000000000000675E-4</v>
      </c>
      <c r="I499" s="154">
        <f t="shared" si="74"/>
        <v>9.9999999999997863E-5</v>
      </c>
      <c r="J499" s="154">
        <f t="shared" si="75"/>
        <v>2.0027353961335592E-4</v>
      </c>
      <c r="K499" s="160">
        <f t="shared" si="76"/>
        <v>3.0000000000000247E-4</v>
      </c>
      <c r="L499" s="161">
        <f t="shared" si="77"/>
        <v>-8.4210526315789958E-3</v>
      </c>
      <c r="M499" s="155">
        <f t="shared" si="78"/>
        <v>-2.3148148148149916E-3</v>
      </c>
      <c r="N499" s="155">
        <f t="shared" si="79"/>
        <v>2.3980815347721673E-3</v>
      </c>
      <c r="O499" s="155">
        <f t="shared" si="80"/>
        <v>4.9388401896202083E-3</v>
      </c>
      <c r="P499" s="162">
        <f t="shared" si="81"/>
        <v>7.6142131979695105E-3</v>
      </c>
    </row>
    <row r="500" spans="1:16">
      <c r="A500" s="319">
        <v>44924</v>
      </c>
      <c r="B500" s="28">
        <v>4.71</v>
      </c>
      <c r="C500" s="29">
        <v>4.34</v>
      </c>
      <c r="D500" s="29">
        <v>4.16</v>
      </c>
      <c r="E500" s="30">
        <v>4.0504672282775598</v>
      </c>
      <c r="F500" s="29">
        <v>3.94</v>
      </c>
      <c r="G500" s="159">
        <f t="shared" si="72"/>
        <v>0</v>
      </c>
      <c r="H500" s="154">
        <f t="shared" si="73"/>
        <v>3.0000000000000247E-4</v>
      </c>
      <c r="I500" s="154">
        <f t="shared" si="74"/>
        <v>-1.9999999999999573E-4</v>
      </c>
      <c r="J500" s="154">
        <f t="shared" si="75"/>
        <v>-2.4632408327406095E-4</v>
      </c>
      <c r="K500" s="160">
        <f t="shared" si="76"/>
        <v>-3.0000000000000247E-4</v>
      </c>
      <c r="L500" s="161">
        <f t="shared" si="77"/>
        <v>0</v>
      </c>
      <c r="M500" s="155">
        <f t="shared" si="78"/>
        <v>6.9605568445476607E-3</v>
      </c>
      <c r="N500" s="155">
        <f t="shared" si="79"/>
        <v>-4.7846889952152249E-3</v>
      </c>
      <c r="O500" s="155">
        <f t="shared" si="80"/>
        <v>-6.0446149846602459E-3</v>
      </c>
      <c r="P500" s="162">
        <f t="shared" si="81"/>
        <v>-7.5566750629723067E-3</v>
      </c>
    </row>
    <row r="501" spans="1:16">
      <c r="A501" s="319">
        <v>44925</v>
      </c>
      <c r="B501" s="28">
        <v>4.7300000000000004</v>
      </c>
      <c r="C501" s="29">
        <v>4.41</v>
      </c>
      <c r="D501" s="29">
        <v>4.22</v>
      </c>
      <c r="E501" s="30">
        <v>4.1052780156192856</v>
      </c>
      <c r="F501" s="29">
        <v>3.99</v>
      </c>
      <c r="G501" s="159">
        <f t="shared" si="72"/>
        <v>2.0000000000000462E-4</v>
      </c>
      <c r="H501" s="154">
        <f t="shared" si="73"/>
        <v>7.0000000000000281E-4</v>
      </c>
      <c r="I501" s="154">
        <f t="shared" si="74"/>
        <v>5.9999999999999604E-4</v>
      </c>
      <c r="J501" s="154">
        <f t="shared" si="75"/>
        <v>5.4810787341725837E-4</v>
      </c>
      <c r="K501" s="160">
        <f t="shared" si="76"/>
        <v>5.0000000000000261E-4</v>
      </c>
      <c r="L501" s="161">
        <f t="shared" si="77"/>
        <v>4.2462845010615702E-3</v>
      </c>
      <c r="M501" s="155">
        <f t="shared" si="78"/>
        <v>1.6129032258064502E-2</v>
      </c>
      <c r="N501" s="155">
        <f t="shared" si="79"/>
        <v>1.4423076923076872E-2</v>
      </c>
      <c r="O501" s="155">
        <f t="shared" si="80"/>
        <v>1.353196662327627E-2</v>
      </c>
      <c r="P501" s="162">
        <f t="shared" si="81"/>
        <v>1.2690355329949332E-2</v>
      </c>
    </row>
    <row r="502" spans="1:16">
      <c r="A502" s="319">
        <v>44929</v>
      </c>
      <c r="B502" s="28">
        <v>4.72</v>
      </c>
      <c r="C502" s="29">
        <v>4.4000000000000004</v>
      </c>
      <c r="D502" s="29">
        <v>4.18</v>
      </c>
      <c r="E502" s="30">
        <v>4.0602548916656147</v>
      </c>
      <c r="F502" s="29">
        <v>3.94</v>
      </c>
      <c r="G502" s="159">
        <f t="shared" si="72"/>
        <v>-1.0000000000000675E-4</v>
      </c>
      <c r="H502" s="154">
        <f t="shared" si="73"/>
        <v>-9.9999999999997863E-5</v>
      </c>
      <c r="I502" s="154">
        <f t="shared" si="74"/>
        <v>-4.0000000000000034E-4</v>
      </c>
      <c r="J502" s="154">
        <f t="shared" si="75"/>
        <v>-4.502312395367092E-4</v>
      </c>
      <c r="K502" s="160">
        <f t="shared" si="76"/>
        <v>-5.0000000000000261E-4</v>
      </c>
      <c r="L502" s="161">
        <f t="shared" si="77"/>
        <v>-2.1141649048627142E-3</v>
      </c>
      <c r="M502" s="155">
        <f t="shared" si="78"/>
        <v>-2.2675736961450532E-3</v>
      </c>
      <c r="N502" s="155">
        <f t="shared" si="79"/>
        <v>-9.4786729857819774E-3</v>
      </c>
      <c r="O502" s="155">
        <f t="shared" si="80"/>
        <v>-1.0967131527358731E-2</v>
      </c>
      <c r="P502" s="162">
        <f t="shared" si="81"/>
        <v>-1.253132832080206E-2</v>
      </c>
    </row>
    <row r="503" spans="1:16">
      <c r="A503" s="319">
        <v>44930</v>
      </c>
      <c r="B503" s="28">
        <v>4.71</v>
      </c>
      <c r="C503" s="29">
        <v>4.3600000000000003</v>
      </c>
      <c r="D503" s="29">
        <v>4.1100000000000003</v>
      </c>
      <c r="E503" s="30">
        <v>3.9802658950220677</v>
      </c>
      <c r="F503" s="29">
        <v>3.85</v>
      </c>
      <c r="G503" s="159">
        <f t="shared" si="72"/>
        <v>-9.9999999999997863E-5</v>
      </c>
      <c r="H503" s="154">
        <f t="shared" si="73"/>
        <v>-4.0000000000000034E-4</v>
      </c>
      <c r="I503" s="154">
        <f t="shared" si="74"/>
        <v>-6.9999999999999392E-4</v>
      </c>
      <c r="J503" s="154">
        <f t="shared" si="75"/>
        <v>-7.9988996643546976E-4</v>
      </c>
      <c r="K503" s="160">
        <f t="shared" si="76"/>
        <v>-8.9999999999999857E-4</v>
      </c>
      <c r="L503" s="161">
        <f t="shared" si="77"/>
        <v>-2.1186440677966045E-3</v>
      </c>
      <c r="M503" s="155">
        <f t="shared" si="78"/>
        <v>-9.0909090909091494E-3</v>
      </c>
      <c r="N503" s="155">
        <f t="shared" si="79"/>
        <v>-1.6746411483253398E-2</v>
      </c>
      <c r="O503" s="155">
        <f t="shared" si="80"/>
        <v>-1.9700486491066926E-2</v>
      </c>
      <c r="P503" s="162">
        <f t="shared" si="81"/>
        <v>-2.2842639593908642E-2</v>
      </c>
    </row>
    <row r="504" spans="1:16">
      <c r="A504" s="319">
        <v>44931</v>
      </c>
      <c r="B504" s="28">
        <v>4.78</v>
      </c>
      <c r="C504" s="29">
        <v>4.45</v>
      </c>
      <c r="D504" s="29">
        <v>4.18</v>
      </c>
      <c r="E504" s="30">
        <v>4.0401621986535696</v>
      </c>
      <c r="F504" s="29">
        <v>3.9</v>
      </c>
      <c r="G504" s="159">
        <f t="shared" si="72"/>
        <v>7.0000000000000281E-4</v>
      </c>
      <c r="H504" s="154">
        <f t="shared" si="73"/>
        <v>8.9999999999999857E-4</v>
      </c>
      <c r="I504" s="154">
        <f t="shared" si="74"/>
        <v>6.9999999999999392E-4</v>
      </c>
      <c r="J504" s="154">
        <f t="shared" si="75"/>
        <v>5.9896303631501891E-4</v>
      </c>
      <c r="K504" s="160">
        <f t="shared" si="76"/>
        <v>4.9999999999999828E-4</v>
      </c>
      <c r="L504" s="161">
        <f t="shared" si="77"/>
        <v>1.4861995753715496E-2</v>
      </c>
      <c r="M504" s="155">
        <f t="shared" si="78"/>
        <v>2.0642201834862428E-2</v>
      </c>
      <c r="N504" s="155">
        <f t="shared" si="79"/>
        <v>1.703163017031617E-2</v>
      </c>
      <c r="O504" s="155">
        <f t="shared" si="80"/>
        <v>1.5048317175596626E-2</v>
      </c>
      <c r="P504" s="162">
        <f t="shared" si="81"/>
        <v>1.298701298701288E-2</v>
      </c>
    </row>
    <row r="505" spans="1:16">
      <c r="A505" s="319">
        <v>44932</v>
      </c>
      <c r="B505" s="28">
        <v>4.71</v>
      </c>
      <c r="C505" s="29">
        <v>4.24</v>
      </c>
      <c r="D505" s="29">
        <v>3.96</v>
      </c>
      <c r="E505" s="30">
        <v>3.8250413804333729</v>
      </c>
      <c r="F505" s="29">
        <v>3.69</v>
      </c>
      <c r="G505" s="159">
        <f t="shared" si="72"/>
        <v>-7.0000000000000281E-4</v>
      </c>
      <c r="H505" s="154">
        <f t="shared" si="73"/>
        <v>-2.0999999999999994E-3</v>
      </c>
      <c r="I505" s="154">
        <f t="shared" si="74"/>
        <v>-2.1999999999999975E-3</v>
      </c>
      <c r="J505" s="154">
        <f t="shared" si="75"/>
        <v>-2.151208182201967E-3</v>
      </c>
      <c r="K505" s="160">
        <f t="shared" si="76"/>
        <v>-2.0999999999999994E-3</v>
      </c>
      <c r="L505" s="161">
        <f t="shared" si="77"/>
        <v>-1.4644351464435212E-2</v>
      </c>
      <c r="M505" s="155">
        <f t="shared" si="78"/>
        <v>-4.7191011235955038E-2</v>
      </c>
      <c r="N505" s="155">
        <f t="shared" si="79"/>
        <v>-5.2631578947368363E-2</v>
      </c>
      <c r="O505" s="155">
        <f t="shared" si="80"/>
        <v>-5.3245589568628793E-2</v>
      </c>
      <c r="P505" s="162">
        <f t="shared" si="81"/>
        <v>-5.3846153846153877E-2</v>
      </c>
    </row>
    <row r="506" spans="1:16">
      <c r="A506" s="319">
        <v>44935</v>
      </c>
      <c r="B506" s="28">
        <v>4.6900000000000004</v>
      </c>
      <c r="C506" s="29">
        <v>4.1900000000000004</v>
      </c>
      <c r="D506" s="29">
        <v>3.93</v>
      </c>
      <c r="E506" s="30">
        <v>3.7951345759267494</v>
      </c>
      <c r="F506" s="29">
        <v>3.66</v>
      </c>
      <c r="G506" s="159">
        <f t="shared" si="72"/>
        <v>-1.9999999999999573E-4</v>
      </c>
      <c r="H506" s="154">
        <f t="shared" si="73"/>
        <v>-4.9999999999999828E-4</v>
      </c>
      <c r="I506" s="154">
        <f t="shared" si="74"/>
        <v>-2.9999999999999802E-4</v>
      </c>
      <c r="J506" s="154">
        <f t="shared" si="75"/>
        <v>-2.9906804506623529E-4</v>
      </c>
      <c r="K506" s="160">
        <f t="shared" si="76"/>
        <v>-2.9999999999999802E-4</v>
      </c>
      <c r="L506" s="161">
        <f t="shared" si="77"/>
        <v>-4.2462845010614592E-3</v>
      </c>
      <c r="M506" s="155">
        <f t="shared" si="78"/>
        <v>-1.1792452830188593E-2</v>
      </c>
      <c r="N506" s="155">
        <f t="shared" si="79"/>
        <v>-7.575757575757569E-3</v>
      </c>
      <c r="O506" s="155">
        <f t="shared" si="80"/>
        <v>-7.8186878342306754E-3</v>
      </c>
      <c r="P506" s="162">
        <f t="shared" si="81"/>
        <v>-8.1300813008129413E-3</v>
      </c>
    </row>
    <row r="507" spans="1:16">
      <c r="A507" s="319">
        <v>44936</v>
      </c>
      <c r="B507" s="28">
        <v>4.74</v>
      </c>
      <c r="C507" s="29">
        <v>4.24</v>
      </c>
      <c r="D507" s="29">
        <v>3.94</v>
      </c>
      <c r="E507" s="30">
        <v>3.8300140264796734</v>
      </c>
      <c r="F507" s="29">
        <v>3.72</v>
      </c>
      <c r="G507" s="159">
        <f t="shared" si="72"/>
        <v>4.9999999999999828E-4</v>
      </c>
      <c r="H507" s="154">
        <f t="shared" si="73"/>
        <v>4.9999999999999828E-4</v>
      </c>
      <c r="I507" s="154">
        <f t="shared" si="74"/>
        <v>9.9999999999997863E-5</v>
      </c>
      <c r="J507" s="154">
        <f t="shared" si="75"/>
        <v>3.4879450552923965E-4</v>
      </c>
      <c r="K507" s="160">
        <f t="shared" si="76"/>
        <v>6.0000000000000049E-4</v>
      </c>
      <c r="L507" s="161">
        <f t="shared" si="77"/>
        <v>1.0660980810234477E-2</v>
      </c>
      <c r="M507" s="155">
        <f t="shared" si="78"/>
        <v>1.193317422434359E-2</v>
      </c>
      <c r="N507" s="155">
        <f t="shared" si="79"/>
        <v>2.5445292620864812E-3</v>
      </c>
      <c r="O507" s="155">
        <f t="shared" si="80"/>
        <v>9.1905701511010296E-3</v>
      </c>
      <c r="P507" s="162">
        <f t="shared" si="81"/>
        <v>1.6393442622950838E-2</v>
      </c>
    </row>
    <row r="508" spans="1:16">
      <c r="A508" s="319">
        <v>44937</v>
      </c>
      <c r="B508" s="28">
        <v>4.7300000000000004</v>
      </c>
      <c r="C508" s="29">
        <v>4.2</v>
      </c>
      <c r="D508" s="29">
        <v>3.9</v>
      </c>
      <c r="E508" s="30">
        <v>3.7801133373415912</v>
      </c>
      <c r="F508" s="29">
        <v>3.66</v>
      </c>
      <c r="G508" s="159">
        <f t="shared" si="72"/>
        <v>-9.9999999999997863E-5</v>
      </c>
      <c r="H508" s="154">
        <f t="shared" si="73"/>
        <v>-4.0000000000000034E-4</v>
      </c>
      <c r="I508" s="154">
        <f t="shared" si="74"/>
        <v>-4.0000000000000034E-4</v>
      </c>
      <c r="J508" s="154">
        <f t="shared" si="75"/>
        <v>-4.990068913808221E-4</v>
      </c>
      <c r="K508" s="160">
        <f t="shared" si="76"/>
        <v>-6.0000000000000049E-4</v>
      </c>
      <c r="L508" s="161">
        <f t="shared" si="77"/>
        <v>-2.1097046413501852E-3</v>
      </c>
      <c r="M508" s="155">
        <f t="shared" si="78"/>
        <v>-9.4339622641509413E-3</v>
      </c>
      <c r="N508" s="155">
        <f t="shared" si="79"/>
        <v>-1.0152284263959421E-2</v>
      </c>
      <c r="O508" s="155">
        <f t="shared" si="80"/>
        <v>-1.3028852843118166E-2</v>
      </c>
      <c r="P508" s="162">
        <f t="shared" si="81"/>
        <v>-1.6129032258064502E-2</v>
      </c>
    </row>
    <row r="509" spans="1:16">
      <c r="A509" s="319">
        <v>44938</v>
      </c>
      <c r="B509" s="28">
        <v>4.66</v>
      </c>
      <c r="C509" s="29">
        <v>4.12</v>
      </c>
      <c r="D509" s="29">
        <v>3.79</v>
      </c>
      <c r="E509" s="30">
        <v>3.6602634450966836</v>
      </c>
      <c r="F509" s="29">
        <v>3.53</v>
      </c>
      <c r="G509" s="159">
        <f t="shared" si="72"/>
        <v>-7.0000000000000281E-4</v>
      </c>
      <c r="H509" s="154">
        <f t="shared" si="73"/>
        <v>-8.0000000000000069E-4</v>
      </c>
      <c r="I509" s="154">
        <f t="shared" si="74"/>
        <v>-1.0999999999999988E-3</v>
      </c>
      <c r="J509" s="154">
        <f t="shared" si="75"/>
        <v>-1.198498922449076E-3</v>
      </c>
      <c r="K509" s="160">
        <f t="shared" si="76"/>
        <v>-1.3000000000000034E-3</v>
      </c>
      <c r="L509" s="161">
        <f t="shared" si="77"/>
        <v>-1.4799154334038112E-2</v>
      </c>
      <c r="M509" s="155">
        <f t="shared" si="78"/>
        <v>-1.9047619047619091E-2</v>
      </c>
      <c r="N509" s="155">
        <f t="shared" si="79"/>
        <v>-2.8205128205128216E-2</v>
      </c>
      <c r="O509" s="155">
        <f t="shared" si="80"/>
        <v>-3.1705370064166738E-2</v>
      </c>
      <c r="P509" s="162">
        <f t="shared" si="81"/>
        <v>-3.5519125683060149E-2</v>
      </c>
    </row>
    <row r="510" spans="1:16">
      <c r="A510" s="319">
        <v>44939</v>
      </c>
      <c r="B510" s="28">
        <v>4.6900000000000004</v>
      </c>
      <c r="C510" s="29">
        <v>4.22</v>
      </c>
      <c r="D510" s="29">
        <v>3.88</v>
      </c>
      <c r="E510" s="30">
        <v>3.7404802922274456</v>
      </c>
      <c r="F510" s="29">
        <v>3.6</v>
      </c>
      <c r="G510" s="159">
        <f t="shared" si="72"/>
        <v>3.0000000000000247E-4</v>
      </c>
      <c r="H510" s="154">
        <f t="shared" si="73"/>
        <v>9.9999999999999655E-4</v>
      </c>
      <c r="I510" s="154">
        <f t="shared" si="74"/>
        <v>8.9999999999999857E-4</v>
      </c>
      <c r="J510" s="154">
        <f t="shared" si="75"/>
        <v>8.0216847130762045E-4</v>
      </c>
      <c r="K510" s="160">
        <f t="shared" si="76"/>
        <v>7.0000000000000281E-4</v>
      </c>
      <c r="L510" s="161">
        <f t="shared" si="77"/>
        <v>6.4377682403433667E-3</v>
      </c>
      <c r="M510" s="155">
        <f t="shared" si="78"/>
        <v>2.4271844660194164E-2</v>
      </c>
      <c r="N510" s="155">
        <f t="shared" si="79"/>
        <v>2.3746701846965701E-2</v>
      </c>
      <c r="O510" s="155">
        <f t="shared" si="80"/>
        <v>2.1915593872954942E-2</v>
      </c>
      <c r="P510" s="162">
        <f t="shared" si="81"/>
        <v>1.9830028328611915E-2</v>
      </c>
    </row>
    <row r="511" spans="1:16">
      <c r="A511" s="319">
        <v>44943</v>
      </c>
      <c r="B511" s="28">
        <v>4.67</v>
      </c>
      <c r="C511" s="29">
        <v>4.18</v>
      </c>
      <c r="D511" s="29">
        <v>3.86</v>
      </c>
      <c r="E511" s="30">
        <v>3.7304868171037207</v>
      </c>
      <c r="F511" s="29">
        <v>3.6</v>
      </c>
      <c r="G511" s="159">
        <f t="shared" si="72"/>
        <v>-2.0000000000000462E-4</v>
      </c>
      <c r="H511" s="154">
        <f t="shared" si="73"/>
        <v>-4.0000000000000034E-4</v>
      </c>
      <c r="I511" s="154">
        <f t="shared" si="74"/>
        <v>-2.0000000000000017E-4</v>
      </c>
      <c r="J511" s="154">
        <f t="shared" si="75"/>
        <v>-9.9934751237249487E-5</v>
      </c>
      <c r="K511" s="160">
        <f t="shared" si="76"/>
        <v>0</v>
      </c>
      <c r="L511" s="161">
        <f t="shared" si="77"/>
        <v>-4.2643923240939241E-3</v>
      </c>
      <c r="M511" s="155">
        <f t="shared" si="78"/>
        <v>-9.4786729857819774E-3</v>
      </c>
      <c r="N511" s="155">
        <f t="shared" si="79"/>
        <v>-5.1546391752577136E-3</v>
      </c>
      <c r="O511" s="155">
        <f t="shared" si="80"/>
        <v>-2.6717090702204072E-3</v>
      </c>
      <c r="P511" s="162">
        <f t="shared" si="81"/>
        <v>0</v>
      </c>
    </row>
    <row r="512" spans="1:16">
      <c r="A512" s="319">
        <v>44944</v>
      </c>
      <c r="B512" s="28">
        <v>4.63</v>
      </c>
      <c r="C512" s="29">
        <v>4.0599999999999996</v>
      </c>
      <c r="D512" s="29">
        <v>3.72</v>
      </c>
      <c r="E512" s="30">
        <v>3.5750415858365363</v>
      </c>
      <c r="F512" s="29">
        <v>3.43</v>
      </c>
      <c r="G512" s="159">
        <f t="shared" si="72"/>
        <v>-4.0000000000000034E-4</v>
      </c>
      <c r="H512" s="154">
        <f t="shared" si="73"/>
        <v>-1.200000000000001E-3</v>
      </c>
      <c r="I512" s="154">
        <f t="shared" si="74"/>
        <v>-1.3999999999999967E-3</v>
      </c>
      <c r="J512" s="154">
        <f t="shared" si="75"/>
        <v>-1.5544523126718435E-3</v>
      </c>
      <c r="K512" s="160">
        <f t="shared" si="76"/>
        <v>-1.6999999999999993E-3</v>
      </c>
      <c r="L512" s="161">
        <f t="shared" si="77"/>
        <v>-8.565310492505307E-3</v>
      </c>
      <c r="M512" s="155">
        <f t="shared" si="78"/>
        <v>-2.8708133971291905E-2</v>
      </c>
      <c r="N512" s="155">
        <f t="shared" si="79"/>
        <v>-3.6269430051813378E-2</v>
      </c>
      <c r="O512" s="155">
        <f t="shared" si="80"/>
        <v>-4.1668886364774504E-2</v>
      </c>
      <c r="P512" s="162">
        <f t="shared" si="81"/>
        <v>-4.7222222222222165E-2</v>
      </c>
    </row>
    <row r="513" spans="1:16">
      <c r="A513" s="319">
        <v>44945</v>
      </c>
      <c r="B513" s="28">
        <v>4.6500000000000004</v>
      </c>
      <c r="C513" s="29">
        <v>4.09</v>
      </c>
      <c r="D513" s="29">
        <v>3.76</v>
      </c>
      <c r="E513" s="30">
        <v>3.6204764521306196</v>
      </c>
      <c r="F513" s="29">
        <v>3.48</v>
      </c>
      <c r="G513" s="159">
        <f t="shared" si="72"/>
        <v>2.0000000000000462E-4</v>
      </c>
      <c r="H513" s="154">
        <f t="shared" si="73"/>
        <v>3.0000000000000247E-4</v>
      </c>
      <c r="I513" s="154">
        <f t="shared" si="74"/>
        <v>3.999999999999959E-4</v>
      </c>
      <c r="J513" s="154">
        <f t="shared" si="75"/>
        <v>4.5434866294083334E-4</v>
      </c>
      <c r="K513" s="160">
        <f t="shared" si="76"/>
        <v>4.9999999999999828E-4</v>
      </c>
      <c r="L513" s="161">
        <f t="shared" si="77"/>
        <v>4.3196544276458138E-3</v>
      </c>
      <c r="M513" s="155">
        <f t="shared" si="78"/>
        <v>7.3891625615765122E-3</v>
      </c>
      <c r="N513" s="155">
        <f t="shared" si="79"/>
        <v>1.0752688172043001E-2</v>
      </c>
      <c r="O513" s="155">
        <f t="shared" si="80"/>
        <v>1.2708905673736837E-2</v>
      </c>
      <c r="P513" s="162">
        <f t="shared" si="81"/>
        <v>1.4577259475218707E-2</v>
      </c>
    </row>
    <row r="514" spans="1:16">
      <c r="A514" s="319">
        <v>44946</v>
      </c>
      <c r="B514" s="28">
        <v>4.68</v>
      </c>
      <c r="C514" s="29">
        <v>4.1399999999999997</v>
      </c>
      <c r="D514" s="29">
        <v>3.83</v>
      </c>
      <c r="E514" s="30">
        <v>3.6952640438127862</v>
      </c>
      <c r="F514" s="29">
        <v>3.56</v>
      </c>
      <c r="G514" s="159">
        <f t="shared" si="72"/>
        <v>2.9999999999999363E-4</v>
      </c>
      <c r="H514" s="154">
        <f t="shared" si="73"/>
        <v>4.9999999999999828E-4</v>
      </c>
      <c r="I514" s="154">
        <f t="shared" si="74"/>
        <v>7.0000000000000281E-4</v>
      </c>
      <c r="J514" s="154">
        <f t="shared" si="75"/>
        <v>7.478759168216653E-4</v>
      </c>
      <c r="K514" s="160">
        <f t="shared" si="76"/>
        <v>8.0000000000000069E-4</v>
      </c>
      <c r="L514" s="161">
        <f t="shared" si="77"/>
        <v>6.4516129032257119E-3</v>
      </c>
      <c r="M514" s="155">
        <f t="shared" si="78"/>
        <v>1.2224938875305513E-2</v>
      </c>
      <c r="N514" s="155">
        <f t="shared" si="79"/>
        <v>1.8617021276595924E-2</v>
      </c>
      <c r="O514" s="155">
        <f t="shared" si="80"/>
        <v>2.0656836930441846E-2</v>
      </c>
      <c r="P514" s="162">
        <f t="shared" si="81"/>
        <v>2.2988505747126409E-2</v>
      </c>
    </row>
    <row r="515" spans="1:16">
      <c r="A515" s="319">
        <v>44949</v>
      </c>
      <c r="B515" s="28">
        <v>4.7</v>
      </c>
      <c r="C515" s="29">
        <v>4.21</v>
      </c>
      <c r="D515" s="29">
        <v>3.88</v>
      </c>
      <c r="E515" s="30">
        <v>3.7452892340814259</v>
      </c>
      <c r="F515" s="29">
        <v>3.61</v>
      </c>
      <c r="G515" s="159">
        <f t="shared" si="72"/>
        <v>2.0000000000000462E-4</v>
      </c>
      <c r="H515" s="154">
        <f t="shared" si="73"/>
        <v>7.0000000000000281E-4</v>
      </c>
      <c r="I515" s="154">
        <f t="shared" si="74"/>
        <v>4.9999999999999828E-4</v>
      </c>
      <c r="J515" s="154">
        <f t="shared" si="75"/>
        <v>5.0025190268639715E-4</v>
      </c>
      <c r="K515" s="160">
        <f t="shared" si="76"/>
        <v>4.9999999999999828E-4</v>
      </c>
      <c r="L515" s="161">
        <f t="shared" si="77"/>
        <v>4.2735042735044804E-3</v>
      </c>
      <c r="M515" s="155">
        <f t="shared" si="78"/>
        <v>1.6908212560386549E-2</v>
      </c>
      <c r="N515" s="155">
        <f t="shared" si="79"/>
        <v>1.3054830287206221E-2</v>
      </c>
      <c r="O515" s="155">
        <f t="shared" si="80"/>
        <v>1.3537649725572365E-2</v>
      </c>
      <c r="P515" s="162">
        <f t="shared" si="81"/>
        <v>1.4044943820224587E-2</v>
      </c>
    </row>
    <row r="516" spans="1:16">
      <c r="A516" s="319">
        <v>44950</v>
      </c>
      <c r="B516" s="28">
        <v>4.7</v>
      </c>
      <c r="C516" s="29">
        <v>4.12</v>
      </c>
      <c r="D516" s="29">
        <v>3.86</v>
      </c>
      <c r="E516" s="30">
        <v>3.7203913597278837</v>
      </c>
      <c r="F516" s="29">
        <v>3.58</v>
      </c>
      <c r="G516" s="159">
        <f t="shared" ref="G516:G579" si="82">(B516-B515)/100</f>
        <v>0</v>
      </c>
      <c r="H516" s="154">
        <f t="shared" ref="H516:H579" si="83">(C516-C515)/100</f>
        <v>-8.9999999999999857E-4</v>
      </c>
      <c r="I516" s="154">
        <f t="shared" ref="I516:I579" si="84">(D516-D515)/100</f>
        <v>-2.0000000000000017E-4</v>
      </c>
      <c r="J516" s="154">
        <f t="shared" ref="J516:J579" si="85">(E516-E515)/100</f>
        <v>-2.4897874353542183E-4</v>
      </c>
      <c r="K516" s="160">
        <f t="shared" ref="K516:K579" si="86">(F516-F515)/100</f>
        <v>-2.9999999999999802E-4</v>
      </c>
      <c r="L516" s="161">
        <f t="shared" ref="L516:L579" si="87">(B516/B515)-1</f>
        <v>0</v>
      </c>
      <c r="M516" s="155">
        <f t="shared" ref="M516:M579" si="88">(C516/C515)-1</f>
        <v>-2.1377672209026088E-2</v>
      </c>
      <c r="N516" s="155">
        <f t="shared" ref="N516:N579" si="89">(D516/D515)-1</f>
        <v>-5.1546391752577136E-3</v>
      </c>
      <c r="O516" s="155">
        <f t="shared" ref="O516:O579" si="90">(E516/E515)-1</f>
        <v>-6.6477841355953027E-3</v>
      </c>
      <c r="P516" s="162">
        <f t="shared" ref="P516:P579" si="91">(F516/F515)-1</f>
        <v>-8.310249307479145E-3</v>
      </c>
    </row>
    <row r="517" spans="1:16">
      <c r="A517" s="319">
        <v>44951</v>
      </c>
      <c r="B517" s="28">
        <v>4.67</v>
      </c>
      <c r="C517" s="29">
        <v>4.1100000000000003</v>
      </c>
      <c r="D517" s="29">
        <v>3.84</v>
      </c>
      <c r="E517" s="30">
        <v>3.6902228643823065</v>
      </c>
      <c r="F517" s="29">
        <v>3.54</v>
      </c>
      <c r="G517" s="159">
        <f t="shared" si="82"/>
        <v>-3.0000000000000247E-4</v>
      </c>
      <c r="H517" s="154">
        <f t="shared" si="83"/>
        <v>-9.9999999999997863E-5</v>
      </c>
      <c r="I517" s="154">
        <f t="shared" si="84"/>
        <v>-2.0000000000000017E-4</v>
      </c>
      <c r="J517" s="154">
        <f t="shared" si="85"/>
        <v>-3.0168495345577194E-4</v>
      </c>
      <c r="K517" s="160">
        <f t="shared" si="86"/>
        <v>-4.0000000000000034E-4</v>
      </c>
      <c r="L517" s="161">
        <f t="shared" si="87"/>
        <v>-6.38297872340432E-3</v>
      </c>
      <c r="M517" s="155">
        <f t="shared" si="88"/>
        <v>-2.4271844660194164E-3</v>
      </c>
      <c r="N517" s="155">
        <f t="shared" si="89"/>
        <v>-5.1813471502590858E-3</v>
      </c>
      <c r="O517" s="155">
        <f t="shared" si="90"/>
        <v>-8.108957480157053E-3</v>
      </c>
      <c r="P517" s="162">
        <f t="shared" si="91"/>
        <v>-1.1173184357541888E-2</v>
      </c>
    </row>
    <row r="518" spans="1:16">
      <c r="A518" s="319">
        <v>44952</v>
      </c>
      <c r="B518" s="28">
        <v>4.68</v>
      </c>
      <c r="C518" s="29">
        <v>4.17</v>
      </c>
      <c r="D518" s="29">
        <v>3.88</v>
      </c>
      <c r="E518" s="30">
        <v>3.7304857356840873</v>
      </c>
      <c r="F518" s="29">
        <v>3.58</v>
      </c>
      <c r="G518" s="159">
        <f t="shared" si="82"/>
        <v>9.9999999999997863E-5</v>
      </c>
      <c r="H518" s="154">
        <f t="shared" si="83"/>
        <v>5.9999999999999604E-4</v>
      </c>
      <c r="I518" s="154">
        <f t="shared" si="84"/>
        <v>4.0000000000000034E-4</v>
      </c>
      <c r="J518" s="154">
        <f t="shared" si="85"/>
        <v>4.0262871301780743E-4</v>
      </c>
      <c r="K518" s="160">
        <f t="shared" si="86"/>
        <v>4.0000000000000034E-4</v>
      </c>
      <c r="L518" s="161">
        <f t="shared" si="87"/>
        <v>2.1413276231263545E-3</v>
      </c>
      <c r="M518" s="155">
        <f t="shared" si="88"/>
        <v>1.4598540145985384E-2</v>
      </c>
      <c r="N518" s="155">
        <f t="shared" si="89"/>
        <v>1.0416666666666741E-2</v>
      </c>
      <c r="O518" s="155">
        <f t="shared" si="90"/>
        <v>1.0910688265035162E-2</v>
      </c>
      <c r="P518" s="162">
        <f t="shared" si="91"/>
        <v>1.1299435028248705E-2</v>
      </c>
    </row>
    <row r="519" spans="1:16">
      <c r="A519" s="319">
        <v>44953</v>
      </c>
      <c r="B519" s="28">
        <v>4.68</v>
      </c>
      <c r="C519" s="29">
        <v>4.1900000000000004</v>
      </c>
      <c r="D519" s="29">
        <v>3.9</v>
      </c>
      <c r="E519" s="30">
        <v>3.7602624587015572</v>
      </c>
      <c r="F519" s="29">
        <v>3.62</v>
      </c>
      <c r="G519" s="159">
        <f t="shared" si="82"/>
        <v>0</v>
      </c>
      <c r="H519" s="154">
        <f t="shared" si="83"/>
        <v>2.0000000000000462E-4</v>
      </c>
      <c r="I519" s="154">
        <f t="shared" si="84"/>
        <v>2.0000000000000017E-4</v>
      </c>
      <c r="J519" s="154">
        <f t="shared" si="85"/>
        <v>2.9776723017469918E-4</v>
      </c>
      <c r="K519" s="160">
        <f t="shared" si="86"/>
        <v>4.0000000000000034E-4</v>
      </c>
      <c r="L519" s="161">
        <f t="shared" si="87"/>
        <v>0</v>
      </c>
      <c r="M519" s="155">
        <f t="shared" si="88"/>
        <v>4.7961630695445567E-3</v>
      </c>
      <c r="N519" s="155">
        <f t="shared" si="89"/>
        <v>5.1546391752577136E-3</v>
      </c>
      <c r="O519" s="155">
        <f t="shared" si="90"/>
        <v>7.9819962136939981E-3</v>
      </c>
      <c r="P519" s="162">
        <f t="shared" si="91"/>
        <v>1.1173184357541999E-2</v>
      </c>
    </row>
    <row r="520" spans="1:16">
      <c r="A520" s="319">
        <v>44956</v>
      </c>
      <c r="B520" s="28">
        <v>4.71</v>
      </c>
      <c r="C520" s="29">
        <v>4.25</v>
      </c>
      <c r="D520" s="29">
        <v>3.96</v>
      </c>
      <c r="E520" s="30">
        <v>3.8200917779778454</v>
      </c>
      <c r="F520" s="29">
        <v>3.68</v>
      </c>
      <c r="G520" s="159">
        <f t="shared" si="82"/>
        <v>3.0000000000000247E-4</v>
      </c>
      <c r="H520" s="154">
        <f t="shared" si="83"/>
        <v>5.9999999999999604E-4</v>
      </c>
      <c r="I520" s="154">
        <f t="shared" si="84"/>
        <v>6.0000000000000049E-4</v>
      </c>
      <c r="J520" s="154">
        <f t="shared" si="85"/>
        <v>5.9829319276288211E-4</v>
      </c>
      <c r="K520" s="160">
        <f t="shared" si="86"/>
        <v>6.0000000000000049E-4</v>
      </c>
      <c r="L520" s="161">
        <f t="shared" si="87"/>
        <v>6.4102564102563875E-3</v>
      </c>
      <c r="M520" s="155">
        <f t="shared" si="88"/>
        <v>1.4319809069212264E-2</v>
      </c>
      <c r="N520" s="155">
        <f t="shared" si="89"/>
        <v>1.538461538461533E-2</v>
      </c>
      <c r="O520" s="155">
        <f t="shared" si="90"/>
        <v>1.5910942369950387E-2</v>
      </c>
      <c r="P520" s="162">
        <f t="shared" si="91"/>
        <v>1.6574585635359185E-2</v>
      </c>
    </row>
    <row r="521" spans="1:16">
      <c r="A521" s="319">
        <v>44957</v>
      </c>
      <c r="B521" s="28">
        <v>4.68</v>
      </c>
      <c r="C521" s="29">
        <v>4.21</v>
      </c>
      <c r="D521" s="29">
        <v>3.9</v>
      </c>
      <c r="E521" s="30">
        <v>3.7653787389656572</v>
      </c>
      <c r="F521" s="29">
        <v>3.63</v>
      </c>
      <c r="G521" s="159">
        <f t="shared" si="82"/>
        <v>-3.0000000000000247E-4</v>
      </c>
      <c r="H521" s="154">
        <f t="shared" si="83"/>
        <v>-4.0000000000000034E-4</v>
      </c>
      <c r="I521" s="154">
        <f t="shared" si="84"/>
        <v>-6.0000000000000049E-4</v>
      </c>
      <c r="J521" s="154">
        <f t="shared" si="85"/>
        <v>-5.4713039012188158E-4</v>
      </c>
      <c r="K521" s="160">
        <f t="shared" si="86"/>
        <v>-5.0000000000000261E-4</v>
      </c>
      <c r="L521" s="161">
        <f t="shared" si="87"/>
        <v>-6.3694267515923553E-3</v>
      </c>
      <c r="M521" s="155">
        <f t="shared" si="88"/>
        <v>-9.4117647058823417E-3</v>
      </c>
      <c r="N521" s="155">
        <f t="shared" si="89"/>
        <v>-1.5151515151515138E-2</v>
      </c>
      <c r="O521" s="155">
        <f t="shared" si="90"/>
        <v>-1.4322440975789941E-2</v>
      </c>
      <c r="P521" s="162">
        <f t="shared" si="91"/>
        <v>-1.3586956521739246E-2</v>
      </c>
    </row>
    <row r="522" spans="1:16">
      <c r="A522" s="319">
        <v>44958</v>
      </c>
      <c r="B522" s="28">
        <v>4.66</v>
      </c>
      <c r="C522" s="29">
        <v>4.09</v>
      </c>
      <c r="D522" s="29">
        <v>3.75</v>
      </c>
      <c r="E522" s="30">
        <v>3.6152164858191425</v>
      </c>
      <c r="F522" s="29">
        <v>3.48</v>
      </c>
      <c r="G522" s="159">
        <f t="shared" si="82"/>
        <v>-1.9999999999999573E-4</v>
      </c>
      <c r="H522" s="154">
        <f t="shared" si="83"/>
        <v>-1.200000000000001E-3</v>
      </c>
      <c r="I522" s="154">
        <f t="shared" si="84"/>
        <v>-1.4999999999999992E-3</v>
      </c>
      <c r="J522" s="154">
        <f t="shared" si="85"/>
        <v>-1.5016225314651477E-3</v>
      </c>
      <c r="K522" s="160">
        <f t="shared" si="86"/>
        <v>-1.4999999999999992E-3</v>
      </c>
      <c r="L522" s="161">
        <f t="shared" si="87"/>
        <v>-4.2735042735041473E-3</v>
      </c>
      <c r="M522" s="155">
        <f t="shared" si="88"/>
        <v>-2.8503562945368155E-2</v>
      </c>
      <c r="N522" s="155">
        <f t="shared" si="89"/>
        <v>-3.8461538461538436E-2</v>
      </c>
      <c r="O522" s="155">
        <f t="shared" si="90"/>
        <v>-3.9879720887722403E-2</v>
      </c>
      <c r="P522" s="162">
        <f t="shared" si="91"/>
        <v>-4.132231404958675E-2</v>
      </c>
    </row>
    <row r="523" spans="1:16">
      <c r="A523" s="319">
        <v>44959</v>
      </c>
      <c r="B523" s="28">
        <v>4.6399999999999997</v>
      </c>
      <c r="C523" s="29">
        <v>4.09</v>
      </c>
      <c r="D523" s="29">
        <v>3.75</v>
      </c>
      <c r="E523" s="30">
        <v>3.6202946777009344</v>
      </c>
      <c r="F523" s="29">
        <v>3.49</v>
      </c>
      <c r="G523" s="159">
        <f t="shared" si="82"/>
        <v>-2.0000000000000462E-4</v>
      </c>
      <c r="H523" s="154">
        <f t="shared" si="83"/>
        <v>0</v>
      </c>
      <c r="I523" s="154">
        <f t="shared" si="84"/>
        <v>0</v>
      </c>
      <c r="J523" s="154">
        <f t="shared" si="85"/>
        <v>5.0781918817919271E-5</v>
      </c>
      <c r="K523" s="160">
        <f t="shared" si="86"/>
        <v>1.0000000000000231E-4</v>
      </c>
      <c r="L523" s="161">
        <f t="shared" si="87"/>
        <v>-4.2918454935623185E-3</v>
      </c>
      <c r="M523" s="155">
        <f t="shared" si="88"/>
        <v>0</v>
      </c>
      <c r="N523" s="155">
        <f t="shared" si="89"/>
        <v>0</v>
      </c>
      <c r="O523" s="155">
        <f t="shared" si="90"/>
        <v>1.4046715879150184E-3</v>
      </c>
      <c r="P523" s="162">
        <f t="shared" si="91"/>
        <v>2.8735632183909399E-3</v>
      </c>
    </row>
    <row r="524" spans="1:16">
      <c r="A524" s="319">
        <v>44960</v>
      </c>
      <c r="B524" s="28">
        <v>4.79</v>
      </c>
      <c r="C524" s="29">
        <v>4.3</v>
      </c>
      <c r="D524" s="29">
        <v>3.96</v>
      </c>
      <c r="E524" s="30">
        <v>3.8153198492672971</v>
      </c>
      <c r="F524" s="29">
        <v>3.67</v>
      </c>
      <c r="G524" s="159">
        <f t="shared" si="82"/>
        <v>1.5000000000000035E-3</v>
      </c>
      <c r="H524" s="154">
        <f t="shared" si="83"/>
        <v>2.0999999999999994E-3</v>
      </c>
      <c r="I524" s="154">
        <f t="shared" si="84"/>
        <v>2.0999999999999994E-3</v>
      </c>
      <c r="J524" s="154">
        <f t="shared" si="85"/>
        <v>1.9502517156636267E-3</v>
      </c>
      <c r="K524" s="160">
        <f t="shared" si="86"/>
        <v>1.7999999999999971E-3</v>
      </c>
      <c r="L524" s="161">
        <f t="shared" si="87"/>
        <v>3.2327586206896575E-2</v>
      </c>
      <c r="M524" s="155">
        <f t="shared" si="88"/>
        <v>5.1344743276283689E-2</v>
      </c>
      <c r="N524" s="155">
        <f t="shared" si="89"/>
        <v>5.600000000000005E-2</v>
      </c>
      <c r="O524" s="155">
        <f t="shared" si="90"/>
        <v>5.3869971626236079E-2</v>
      </c>
      <c r="P524" s="162">
        <f t="shared" si="91"/>
        <v>5.1575931232091587E-2</v>
      </c>
    </row>
    <row r="525" spans="1:16">
      <c r="A525" s="319">
        <v>44963</v>
      </c>
      <c r="B525" s="28">
        <v>4.8499999999999996</v>
      </c>
      <c r="C525" s="29">
        <v>4.4400000000000004</v>
      </c>
      <c r="D525" s="29">
        <v>4.0999999999999996</v>
      </c>
      <c r="E525" s="30">
        <v>3.9553967939667922</v>
      </c>
      <c r="F525" s="29">
        <v>3.81</v>
      </c>
      <c r="G525" s="159">
        <f t="shared" si="82"/>
        <v>5.9999999999999604E-4</v>
      </c>
      <c r="H525" s="154">
        <f t="shared" si="83"/>
        <v>1.4000000000000056E-3</v>
      </c>
      <c r="I525" s="154">
        <f t="shared" si="84"/>
        <v>1.3999999999999967E-3</v>
      </c>
      <c r="J525" s="154">
        <f t="shared" si="85"/>
        <v>1.4007694469949517E-3</v>
      </c>
      <c r="K525" s="160">
        <f t="shared" si="86"/>
        <v>1.4000000000000013E-3</v>
      </c>
      <c r="L525" s="161">
        <f t="shared" si="87"/>
        <v>1.2526096033402823E-2</v>
      </c>
      <c r="M525" s="155">
        <f t="shared" si="88"/>
        <v>3.2558139534883956E-2</v>
      </c>
      <c r="N525" s="155">
        <f t="shared" si="89"/>
        <v>3.5353535353535248E-2</v>
      </c>
      <c r="O525" s="155">
        <f t="shared" si="90"/>
        <v>3.671433857017159E-2</v>
      </c>
      <c r="P525" s="162">
        <f t="shared" si="91"/>
        <v>3.8147138964577776E-2</v>
      </c>
    </row>
    <row r="526" spans="1:16">
      <c r="A526" s="319">
        <v>44964</v>
      </c>
      <c r="B526" s="28">
        <v>4.88</v>
      </c>
      <c r="C526" s="29">
        <v>4.47</v>
      </c>
      <c r="D526" s="29">
        <v>4.1100000000000003</v>
      </c>
      <c r="E526" s="30">
        <v>3.9803125018266727</v>
      </c>
      <c r="F526" s="29">
        <v>3.85</v>
      </c>
      <c r="G526" s="159">
        <f t="shared" si="82"/>
        <v>3.0000000000000247E-4</v>
      </c>
      <c r="H526" s="154">
        <f t="shared" si="83"/>
        <v>2.9999999999999363E-4</v>
      </c>
      <c r="I526" s="154">
        <f t="shared" si="84"/>
        <v>1.0000000000000675E-4</v>
      </c>
      <c r="J526" s="154">
        <f t="shared" si="85"/>
        <v>2.491570785988051E-4</v>
      </c>
      <c r="K526" s="160">
        <f t="shared" si="86"/>
        <v>4.0000000000000034E-4</v>
      </c>
      <c r="L526" s="161">
        <f t="shared" si="87"/>
        <v>6.1855670103092564E-3</v>
      </c>
      <c r="M526" s="155">
        <f t="shared" si="88"/>
        <v>6.7567567567565767E-3</v>
      </c>
      <c r="N526" s="155">
        <f t="shared" si="89"/>
        <v>2.4390243902441266E-3</v>
      </c>
      <c r="O526" s="155">
        <f t="shared" si="90"/>
        <v>6.2991677340398233E-3</v>
      </c>
      <c r="P526" s="162">
        <f t="shared" si="91"/>
        <v>1.049868766404205E-2</v>
      </c>
    </row>
    <row r="527" spans="1:16">
      <c r="A527" s="319">
        <v>44965</v>
      </c>
      <c r="B527" s="28">
        <v>4.87</v>
      </c>
      <c r="C527" s="29">
        <v>4.45</v>
      </c>
      <c r="D527" s="29">
        <v>4.08</v>
      </c>
      <c r="E527" s="30">
        <v>3.9502597486359532</v>
      </c>
      <c r="F527" s="29">
        <v>3.82</v>
      </c>
      <c r="G527" s="159">
        <f t="shared" si="82"/>
        <v>-9.9999999999997863E-5</v>
      </c>
      <c r="H527" s="154">
        <f t="shared" si="83"/>
        <v>-1.9999999999999573E-4</v>
      </c>
      <c r="I527" s="154">
        <f t="shared" si="84"/>
        <v>-3.0000000000000247E-4</v>
      </c>
      <c r="J527" s="154">
        <f t="shared" si="85"/>
        <v>-3.005275319071954E-4</v>
      </c>
      <c r="K527" s="160">
        <f t="shared" si="86"/>
        <v>-3.0000000000000247E-4</v>
      </c>
      <c r="L527" s="161">
        <f t="shared" si="87"/>
        <v>-2.049180327868827E-3</v>
      </c>
      <c r="M527" s="155">
        <f t="shared" si="88"/>
        <v>-4.4742729306487261E-3</v>
      </c>
      <c r="N527" s="155">
        <f t="shared" si="89"/>
        <v>-7.2992700729928028E-3</v>
      </c>
      <c r="O527" s="155">
        <f t="shared" si="90"/>
        <v>-7.5503501739945245E-3</v>
      </c>
      <c r="P527" s="162">
        <f t="shared" si="91"/>
        <v>-7.7922077922079058E-3</v>
      </c>
    </row>
    <row r="528" spans="1:16">
      <c r="A528" s="319">
        <v>44966</v>
      </c>
      <c r="B528" s="28">
        <v>4.88</v>
      </c>
      <c r="C528" s="29">
        <v>4.4800000000000004</v>
      </c>
      <c r="D528" s="29">
        <v>4.1500000000000004</v>
      </c>
      <c r="E528" s="30">
        <v>4.0101941975470696</v>
      </c>
      <c r="F528" s="29">
        <v>3.87</v>
      </c>
      <c r="G528" s="159">
        <f t="shared" si="82"/>
        <v>9.9999999999997863E-5</v>
      </c>
      <c r="H528" s="154">
        <f t="shared" si="83"/>
        <v>3.0000000000000247E-4</v>
      </c>
      <c r="I528" s="154">
        <f t="shared" si="84"/>
        <v>7.0000000000000281E-4</v>
      </c>
      <c r="J528" s="154">
        <f t="shared" si="85"/>
        <v>5.9934448911116436E-4</v>
      </c>
      <c r="K528" s="160">
        <f t="shared" si="86"/>
        <v>5.0000000000000261E-4</v>
      </c>
      <c r="L528" s="161">
        <f t="shared" si="87"/>
        <v>2.0533880903490509E-3</v>
      </c>
      <c r="M528" s="155">
        <f t="shared" si="88"/>
        <v>6.741573033707926E-3</v>
      </c>
      <c r="N528" s="155">
        <f t="shared" si="89"/>
        <v>1.71568627450982E-2</v>
      </c>
      <c r="O528" s="155">
        <f t="shared" si="90"/>
        <v>1.5172280489102574E-2</v>
      </c>
      <c r="P528" s="162">
        <f t="shared" si="91"/>
        <v>1.308900523560208E-2</v>
      </c>
    </row>
    <row r="529" spans="1:16">
      <c r="A529" s="319">
        <v>44967</v>
      </c>
      <c r="B529" s="28">
        <v>4.8899999999999997</v>
      </c>
      <c r="C529" s="29">
        <v>4.5</v>
      </c>
      <c r="D529" s="29">
        <v>4.1900000000000004</v>
      </c>
      <c r="E529" s="30">
        <v>4.0603504343810544</v>
      </c>
      <c r="F529" s="29">
        <v>3.93</v>
      </c>
      <c r="G529" s="159">
        <f t="shared" si="82"/>
        <v>9.9999999999997863E-5</v>
      </c>
      <c r="H529" s="154">
        <f t="shared" si="83"/>
        <v>1.9999999999999573E-4</v>
      </c>
      <c r="I529" s="154">
        <f t="shared" si="84"/>
        <v>4.0000000000000034E-4</v>
      </c>
      <c r="J529" s="154">
        <f t="shared" si="85"/>
        <v>5.0156236833984733E-4</v>
      </c>
      <c r="K529" s="160">
        <f t="shared" si="86"/>
        <v>6.0000000000000049E-4</v>
      </c>
      <c r="L529" s="161">
        <f t="shared" si="87"/>
        <v>2.049180327868827E-3</v>
      </c>
      <c r="M529" s="155">
        <f t="shared" si="88"/>
        <v>4.4642857142855874E-3</v>
      </c>
      <c r="N529" s="155">
        <f t="shared" si="89"/>
        <v>9.6385542168675453E-3</v>
      </c>
      <c r="O529" s="155">
        <f t="shared" si="90"/>
        <v>1.2507184032300556E-2</v>
      </c>
      <c r="P529" s="162">
        <f t="shared" si="91"/>
        <v>1.5503875968992276E-2</v>
      </c>
    </row>
    <row r="530" spans="1:16">
      <c r="A530" s="319">
        <v>44970</v>
      </c>
      <c r="B530" s="28">
        <v>4.91</v>
      </c>
      <c r="C530" s="29">
        <v>4.5199999999999996</v>
      </c>
      <c r="D530" s="29">
        <v>4.22</v>
      </c>
      <c r="E530" s="30">
        <v>4.0752547055046708</v>
      </c>
      <c r="F530" s="29">
        <v>3.93</v>
      </c>
      <c r="G530" s="159">
        <f t="shared" si="82"/>
        <v>2.0000000000000462E-4</v>
      </c>
      <c r="H530" s="154">
        <f t="shared" si="83"/>
        <v>1.9999999999999573E-4</v>
      </c>
      <c r="I530" s="154">
        <f t="shared" si="84"/>
        <v>2.9999999999999363E-4</v>
      </c>
      <c r="J530" s="154">
        <f t="shared" si="85"/>
        <v>1.4904271123616474E-4</v>
      </c>
      <c r="K530" s="160">
        <f t="shared" si="86"/>
        <v>0</v>
      </c>
      <c r="L530" s="161">
        <f t="shared" si="87"/>
        <v>4.0899795501023739E-3</v>
      </c>
      <c r="M530" s="155">
        <f t="shared" si="88"/>
        <v>4.444444444444251E-3</v>
      </c>
      <c r="N530" s="155">
        <f t="shared" si="89"/>
        <v>7.1599045346060208E-3</v>
      </c>
      <c r="O530" s="155">
        <f t="shared" si="90"/>
        <v>3.6706859086383936E-3</v>
      </c>
      <c r="P530" s="162">
        <f t="shared" si="91"/>
        <v>0</v>
      </c>
    </row>
    <row r="531" spans="1:16">
      <c r="A531" s="319">
        <v>44971</v>
      </c>
      <c r="B531" s="28">
        <v>4.99</v>
      </c>
      <c r="C531" s="29">
        <v>4.5999999999999996</v>
      </c>
      <c r="D531" s="29">
        <v>4.32</v>
      </c>
      <c r="E531" s="30">
        <v>4.160033741674015</v>
      </c>
      <c r="F531" s="29">
        <v>4</v>
      </c>
      <c r="G531" s="159">
        <f t="shared" si="82"/>
        <v>8.0000000000000069E-4</v>
      </c>
      <c r="H531" s="154">
        <f t="shared" si="83"/>
        <v>8.0000000000000069E-4</v>
      </c>
      <c r="I531" s="154">
        <f t="shared" si="84"/>
        <v>1.0000000000000052E-3</v>
      </c>
      <c r="J531" s="154">
        <f t="shared" si="85"/>
        <v>8.4779036169344122E-4</v>
      </c>
      <c r="K531" s="160">
        <f t="shared" si="86"/>
        <v>6.9999999999999837E-4</v>
      </c>
      <c r="L531" s="161">
        <f t="shared" si="87"/>
        <v>1.6293279022403295E-2</v>
      </c>
      <c r="M531" s="155">
        <f t="shared" si="88"/>
        <v>1.7699115044247815E-2</v>
      </c>
      <c r="N531" s="155">
        <f t="shared" si="89"/>
        <v>2.369668246445511E-2</v>
      </c>
      <c r="O531" s="155">
        <f t="shared" si="90"/>
        <v>2.0803371149986871E-2</v>
      </c>
      <c r="P531" s="162">
        <f t="shared" si="91"/>
        <v>1.7811704834605591E-2</v>
      </c>
    </row>
    <row r="532" spans="1:16">
      <c r="A532" s="319">
        <v>44972</v>
      </c>
      <c r="B532" s="28">
        <v>4.96</v>
      </c>
      <c r="C532" s="29">
        <v>4.62</v>
      </c>
      <c r="D532" s="29">
        <v>4.3499999999999996</v>
      </c>
      <c r="E532" s="30">
        <v>4.1951027871256548</v>
      </c>
      <c r="F532" s="29">
        <v>4.04</v>
      </c>
      <c r="G532" s="159">
        <f t="shared" si="82"/>
        <v>-3.0000000000000247E-4</v>
      </c>
      <c r="H532" s="154">
        <f t="shared" si="83"/>
        <v>2.0000000000000462E-4</v>
      </c>
      <c r="I532" s="154">
        <f t="shared" si="84"/>
        <v>2.9999999999999363E-4</v>
      </c>
      <c r="J532" s="154">
        <f t="shared" si="85"/>
        <v>3.5069045451639801E-4</v>
      </c>
      <c r="K532" s="160">
        <f t="shared" si="86"/>
        <v>4.0000000000000034E-4</v>
      </c>
      <c r="L532" s="161">
        <f t="shared" si="87"/>
        <v>-6.0120240480961984E-3</v>
      </c>
      <c r="M532" s="155">
        <f t="shared" si="88"/>
        <v>4.3478260869567187E-3</v>
      </c>
      <c r="N532" s="155">
        <f t="shared" si="89"/>
        <v>6.9444444444441977E-3</v>
      </c>
      <c r="O532" s="155">
        <f t="shared" si="90"/>
        <v>8.4299906273181957E-3</v>
      </c>
      <c r="P532" s="162">
        <f t="shared" si="91"/>
        <v>1.0000000000000009E-2</v>
      </c>
    </row>
    <row r="533" spans="1:16">
      <c r="A533" s="319">
        <v>44973</v>
      </c>
      <c r="B533" s="28">
        <v>4.99</v>
      </c>
      <c r="C533" s="29">
        <v>4.62</v>
      </c>
      <c r="D533" s="29">
        <v>4.3499999999999996</v>
      </c>
      <c r="E533" s="30">
        <v>4.2051388074267733</v>
      </c>
      <c r="F533" s="29">
        <v>4.0599999999999996</v>
      </c>
      <c r="G533" s="159">
        <f t="shared" si="82"/>
        <v>3.0000000000000247E-4</v>
      </c>
      <c r="H533" s="154">
        <f t="shared" si="83"/>
        <v>0</v>
      </c>
      <c r="I533" s="154">
        <f t="shared" si="84"/>
        <v>0</v>
      </c>
      <c r="J533" s="154">
        <f t="shared" si="85"/>
        <v>1.0036020301118498E-4</v>
      </c>
      <c r="K533" s="160">
        <f t="shared" si="86"/>
        <v>1.9999999999999573E-4</v>
      </c>
      <c r="L533" s="161">
        <f t="shared" si="87"/>
        <v>6.0483870967742437E-3</v>
      </c>
      <c r="M533" s="155">
        <f t="shared" si="88"/>
        <v>0</v>
      </c>
      <c r="N533" s="155">
        <f t="shared" si="89"/>
        <v>0</v>
      </c>
      <c r="O533" s="155">
        <f t="shared" si="90"/>
        <v>2.392318093353607E-3</v>
      </c>
      <c r="P533" s="162">
        <f t="shared" si="91"/>
        <v>4.9504950495049549E-3</v>
      </c>
    </row>
    <row r="534" spans="1:16">
      <c r="A534" s="319">
        <v>44974</v>
      </c>
      <c r="B534" s="28">
        <v>5</v>
      </c>
      <c r="C534" s="29">
        <v>4.5999999999999996</v>
      </c>
      <c r="D534" s="29">
        <v>4.33</v>
      </c>
      <c r="E534" s="30">
        <v>4.1801369269414375</v>
      </c>
      <c r="F534" s="29">
        <v>4.03</v>
      </c>
      <c r="G534" s="159">
        <f t="shared" si="82"/>
        <v>9.9999999999997863E-5</v>
      </c>
      <c r="H534" s="154">
        <f t="shared" si="83"/>
        <v>-2.0000000000000462E-4</v>
      </c>
      <c r="I534" s="154">
        <f t="shared" si="84"/>
        <v>-1.9999999999999573E-4</v>
      </c>
      <c r="J534" s="154">
        <f t="shared" si="85"/>
        <v>-2.5001880485335802E-4</v>
      </c>
      <c r="K534" s="160">
        <f t="shared" si="86"/>
        <v>-2.9999999999999363E-4</v>
      </c>
      <c r="L534" s="161">
        <f t="shared" si="87"/>
        <v>2.0040080160319551E-3</v>
      </c>
      <c r="M534" s="155">
        <f t="shared" si="88"/>
        <v>-4.3290043290044045E-3</v>
      </c>
      <c r="N534" s="155">
        <f t="shared" si="89"/>
        <v>-4.5977011494251485E-3</v>
      </c>
      <c r="O534" s="155">
        <f t="shared" si="90"/>
        <v>-5.9455541494086717E-3</v>
      </c>
      <c r="P534" s="162">
        <f t="shared" si="91"/>
        <v>-7.3891625615761791E-3</v>
      </c>
    </row>
    <row r="535" spans="1:16">
      <c r="A535" s="319">
        <v>44978</v>
      </c>
      <c r="B535" s="28">
        <v>5.07</v>
      </c>
      <c r="C535" s="29">
        <v>4.67</v>
      </c>
      <c r="D535" s="29">
        <v>4.4400000000000004</v>
      </c>
      <c r="E535" s="30">
        <v>4.3003166335912635</v>
      </c>
      <c r="F535" s="29">
        <v>4.16</v>
      </c>
      <c r="G535" s="159">
        <f t="shared" si="82"/>
        <v>7.0000000000000281E-4</v>
      </c>
      <c r="H535" s="154">
        <f t="shared" si="83"/>
        <v>7.0000000000000281E-4</v>
      </c>
      <c r="I535" s="154">
        <f t="shared" si="84"/>
        <v>1.1000000000000031E-3</v>
      </c>
      <c r="J535" s="154">
        <f t="shared" si="85"/>
        <v>1.2017970664982601E-3</v>
      </c>
      <c r="K535" s="160">
        <f t="shared" si="86"/>
        <v>1.2999999999999989E-3</v>
      </c>
      <c r="L535" s="161">
        <f t="shared" si="87"/>
        <v>1.4000000000000012E-2</v>
      </c>
      <c r="M535" s="155">
        <f t="shared" si="88"/>
        <v>1.5217391304347849E-2</v>
      </c>
      <c r="N535" s="155">
        <f t="shared" si="89"/>
        <v>2.5404157043879882E-2</v>
      </c>
      <c r="O535" s="155">
        <f t="shared" si="90"/>
        <v>2.875018420455433E-2</v>
      </c>
      <c r="P535" s="162">
        <f t="shared" si="91"/>
        <v>3.2258064516129004E-2</v>
      </c>
    </row>
    <row r="536" spans="1:16">
      <c r="A536" s="319">
        <v>44979</v>
      </c>
      <c r="B536" s="28">
        <v>5.07</v>
      </c>
      <c r="C536" s="29">
        <v>4.66</v>
      </c>
      <c r="D536" s="29">
        <v>4.43</v>
      </c>
      <c r="E536" s="30">
        <v>4.2804559265286635</v>
      </c>
      <c r="F536" s="29">
        <v>4.13</v>
      </c>
      <c r="G536" s="159">
        <f t="shared" si="82"/>
        <v>0</v>
      </c>
      <c r="H536" s="154">
        <f t="shared" si="83"/>
        <v>-9.9999999999997863E-5</v>
      </c>
      <c r="I536" s="154">
        <f t="shared" si="84"/>
        <v>-1.0000000000000675E-4</v>
      </c>
      <c r="J536" s="154">
        <f t="shared" si="85"/>
        <v>-1.9860707062600014E-4</v>
      </c>
      <c r="K536" s="160">
        <f t="shared" si="86"/>
        <v>-3.0000000000000247E-4</v>
      </c>
      <c r="L536" s="161">
        <f t="shared" si="87"/>
        <v>0</v>
      </c>
      <c r="M536" s="155">
        <f t="shared" si="88"/>
        <v>-2.1413276231262435E-3</v>
      </c>
      <c r="N536" s="155">
        <f t="shared" si="89"/>
        <v>-2.2522522522524513E-3</v>
      </c>
      <c r="O536" s="155">
        <f t="shared" si="90"/>
        <v>-4.6184290029858133E-3</v>
      </c>
      <c r="P536" s="162">
        <f t="shared" si="91"/>
        <v>-7.2115384615385469E-3</v>
      </c>
    </row>
    <row r="537" spans="1:16">
      <c r="A537" s="319">
        <v>44980</v>
      </c>
      <c r="B537" s="28">
        <v>5.03</v>
      </c>
      <c r="C537" s="29">
        <v>4.66</v>
      </c>
      <c r="D537" s="29">
        <v>4.4000000000000004</v>
      </c>
      <c r="E537" s="30">
        <v>4.245486629127611</v>
      </c>
      <c r="F537" s="29">
        <v>4.09</v>
      </c>
      <c r="G537" s="159">
        <f t="shared" si="82"/>
        <v>-4.0000000000000034E-4</v>
      </c>
      <c r="H537" s="154">
        <f t="shared" si="83"/>
        <v>0</v>
      </c>
      <c r="I537" s="154">
        <f t="shared" si="84"/>
        <v>-2.9999999999999363E-4</v>
      </c>
      <c r="J537" s="154">
        <f t="shared" si="85"/>
        <v>-3.4969297401052477E-4</v>
      </c>
      <c r="K537" s="160">
        <f t="shared" si="86"/>
        <v>-4.0000000000000034E-4</v>
      </c>
      <c r="L537" s="161">
        <f t="shared" si="87"/>
        <v>-7.8895463510848529E-3</v>
      </c>
      <c r="M537" s="155">
        <f t="shared" si="88"/>
        <v>0</v>
      </c>
      <c r="N537" s="155">
        <f t="shared" si="89"/>
        <v>-6.7720090293452717E-3</v>
      </c>
      <c r="O537" s="155">
        <f t="shared" si="90"/>
        <v>-8.1695263311382105E-3</v>
      </c>
      <c r="P537" s="162">
        <f t="shared" si="91"/>
        <v>-9.6852300242130651E-3</v>
      </c>
    </row>
    <row r="538" spans="1:16">
      <c r="A538" s="319">
        <v>44981</v>
      </c>
      <c r="B538" s="28">
        <v>5.05</v>
      </c>
      <c r="C538" s="29">
        <v>4.78</v>
      </c>
      <c r="D538" s="29">
        <v>4.5199999999999996</v>
      </c>
      <c r="E538" s="30">
        <v>4.3554470032708492</v>
      </c>
      <c r="F538" s="29">
        <v>4.1900000000000004</v>
      </c>
      <c r="G538" s="159">
        <f t="shared" si="82"/>
        <v>1.9999999999999573E-4</v>
      </c>
      <c r="H538" s="154">
        <f t="shared" si="83"/>
        <v>1.200000000000001E-3</v>
      </c>
      <c r="I538" s="154">
        <f t="shared" si="84"/>
        <v>1.1999999999999921E-3</v>
      </c>
      <c r="J538" s="154">
        <f t="shared" si="85"/>
        <v>1.0996037414323823E-3</v>
      </c>
      <c r="K538" s="160">
        <f t="shared" si="86"/>
        <v>1.0000000000000052E-3</v>
      </c>
      <c r="L538" s="161">
        <f t="shared" si="87"/>
        <v>3.9761431411529102E-3</v>
      </c>
      <c r="M538" s="155">
        <f t="shared" si="88"/>
        <v>2.5751072961373467E-2</v>
      </c>
      <c r="N538" s="155">
        <f t="shared" si="89"/>
        <v>2.7272727272727115E-2</v>
      </c>
      <c r="O538" s="155">
        <f t="shared" si="90"/>
        <v>2.5900534791186924E-2</v>
      </c>
      <c r="P538" s="162">
        <f t="shared" si="91"/>
        <v>2.4449877750611471E-2</v>
      </c>
    </row>
    <row r="539" spans="1:16">
      <c r="A539" s="319">
        <v>44984</v>
      </c>
      <c r="B539" s="28">
        <v>5.03</v>
      </c>
      <c r="C539" s="29">
        <v>4.78</v>
      </c>
      <c r="D539" s="29">
        <v>4.49</v>
      </c>
      <c r="E539" s="30">
        <v>4.3302498960250935</v>
      </c>
      <c r="F539" s="29">
        <v>4.17</v>
      </c>
      <c r="G539" s="159">
        <f t="shared" si="82"/>
        <v>-1.9999999999999573E-4</v>
      </c>
      <c r="H539" s="154">
        <f t="shared" si="83"/>
        <v>0</v>
      </c>
      <c r="I539" s="154">
        <f t="shared" si="84"/>
        <v>-2.9999999999999363E-4</v>
      </c>
      <c r="J539" s="154">
        <f t="shared" si="85"/>
        <v>-2.5197107245755745E-4</v>
      </c>
      <c r="K539" s="160">
        <f t="shared" si="86"/>
        <v>-2.0000000000000462E-4</v>
      </c>
      <c r="L539" s="161">
        <f t="shared" si="87"/>
        <v>-3.9603960396038529E-3</v>
      </c>
      <c r="M539" s="155">
        <f t="shared" si="88"/>
        <v>0</v>
      </c>
      <c r="N539" s="155">
        <f t="shared" si="89"/>
        <v>-6.6371681415927641E-3</v>
      </c>
      <c r="O539" s="155">
        <f t="shared" si="90"/>
        <v>-5.7851943157231078E-3</v>
      </c>
      <c r="P539" s="162">
        <f t="shared" si="91"/>
        <v>-4.7732696897375693E-3</v>
      </c>
    </row>
    <row r="540" spans="1:16">
      <c r="A540" s="319">
        <v>44985</v>
      </c>
      <c r="B540" s="28">
        <v>5.0199999999999996</v>
      </c>
      <c r="C540" s="29">
        <v>4.8099999999999996</v>
      </c>
      <c r="D540" s="29">
        <v>4.51</v>
      </c>
      <c r="E540" s="30">
        <v>4.3453010636360156</v>
      </c>
      <c r="F540" s="29">
        <v>4.18</v>
      </c>
      <c r="G540" s="159">
        <f t="shared" si="82"/>
        <v>-1.0000000000000675E-4</v>
      </c>
      <c r="H540" s="154">
        <f t="shared" si="83"/>
        <v>2.9999999999999363E-4</v>
      </c>
      <c r="I540" s="154">
        <f t="shared" si="84"/>
        <v>1.9999999999999573E-4</v>
      </c>
      <c r="J540" s="154">
        <f t="shared" si="85"/>
        <v>1.5051167610922179E-4</v>
      </c>
      <c r="K540" s="160">
        <f t="shared" si="86"/>
        <v>9.9999999999997863E-5</v>
      </c>
      <c r="L540" s="161">
        <f t="shared" si="87"/>
        <v>-1.9880715705766772E-3</v>
      </c>
      <c r="M540" s="155">
        <f t="shared" si="88"/>
        <v>6.2761506276149959E-3</v>
      </c>
      <c r="N540" s="155">
        <f t="shared" si="89"/>
        <v>4.4543429844097204E-3</v>
      </c>
      <c r="O540" s="155">
        <f t="shared" si="90"/>
        <v>3.4758196345061609E-3</v>
      </c>
      <c r="P540" s="162">
        <f t="shared" si="91"/>
        <v>2.3980815347721673E-3</v>
      </c>
    </row>
    <row r="541" spans="1:16">
      <c r="A541" s="319">
        <v>44986</v>
      </c>
      <c r="B541" s="28">
        <v>5.0599999999999996</v>
      </c>
      <c r="C541" s="29">
        <v>4.8899999999999997</v>
      </c>
      <c r="D541" s="29">
        <v>4.6100000000000003</v>
      </c>
      <c r="E541" s="30">
        <v>4.4404551624467921</v>
      </c>
      <c r="F541" s="29">
        <v>4.2699999999999996</v>
      </c>
      <c r="G541" s="159">
        <f t="shared" si="82"/>
        <v>4.0000000000000034E-4</v>
      </c>
      <c r="H541" s="154">
        <f t="shared" si="83"/>
        <v>8.0000000000000069E-4</v>
      </c>
      <c r="I541" s="154">
        <f t="shared" si="84"/>
        <v>1.0000000000000052E-3</v>
      </c>
      <c r="J541" s="154">
        <f t="shared" si="85"/>
        <v>9.5154098810776408E-4</v>
      </c>
      <c r="K541" s="160">
        <f t="shared" si="86"/>
        <v>8.9999999999999857E-4</v>
      </c>
      <c r="L541" s="161">
        <f t="shared" si="87"/>
        <v>7.9681274900398336E-3</v>
      </c>
      <c r="M541" s="155">
        <f t="shared" si="88"/>
        <v>1.6632016632016633E-2</v>
      </c>
      <c r="N541" s="155">
        <f t="shared" si="89"/>
        <v>2.2172949002217335E-2</v>
      </c>
      <c r="O541" s="155">
        <f t="shared" si="90"/>
        <v>2.1898160200470418E-2</v>
      </c>
      <c r="P541" s="162">
        <f t="shared" si="91"/>
        <v>2.1531100478468845E-2</v>
      </c>
    </row>
    <row r="542" spans="1:16">
      <c r="A542" s="319">
        <v>44987</v>
      </c>
      <c r="B542" s="28">
        <v>5.04</v>
      </c>
      <c r="C542" s="29">
        <v>4.8899999999999997</v>
      </c>
      <c r="D542" s="29">
        <v>4.63</v>
      </c>
      <c r="E542" s="30">
        <v>4.4750710603793653</v>
      </c>
      <c r="F542" s="29">
        <v>4.32</v>
      </c>
      <c r="G542" s="159">
        <f t="shared" si="82"/>
        <v>-1.9999999999999573E-4</v>
      </c>
      <c r="H542" s="154">
        <f t="shared" si="83"/>
        <v>0</v>
      </c>
      <c r="I542" s="154">
        <f t="shared" si="84"/>
        <v>1.9999999999999573E-4</v>
      </c>
      <c r="J542" s="154">
        <f t="shared" si="85"/>
        <v>3.4615897932573249E-4</v>
      </c>
      <c r="K542" s="160">
        <f t="shared" si="86"/>
        <v>5.0000000000000706E-4</v>
      </c>
      <c r="L542" s="161">
        <f t="shared" si="87"/>
        <v>-3.9525691699603405E-3</v>
      </c>
      <c r="M542" s="155">
        <f t="shared" si="88"/>
        <v>0</v>
      </c>
      <c r="N542" s="155">
        <f t="shared" si="89"/>
        <v>4.3383947939261702E-3</v>
      </c>
      <c r="O542" s="155">
        <f t="shared" si="90"/>
        <v>7.7955742522348714E-3</v>
      </c>
      <c r="P542" s="162">
        <f t="shared" si="91"/>
        <v>1.1709601873536535E-2</v>
      </c>
    </row>
    <row r="543" spans="1:16">
      <c r="A543" s="319">
        <v>44988</v>
      </c>
      <c r="B543" s="28">
        <v>5.03</v>
      </c>
      <c r="C543" s="29">
        <v>4.8600000000000003</v>
      </c>
      <c r="D543" s="29">
        <v>4.5999999999999996</v>
      </c>
      <c r="E543" s="30">
        <v>4.4301405063400541</v>
      </c>
      <c r="F543" s="29">
        <v>4.26</v>
      </c>
      <c r="G543" s="159">
        <f t="shared" si="82"/>
        <v>-9.9999999999997863E-5</v>
      </c>
      <c r="H543" s="154">
        <f t="shared" si="83"/>
        <v>-2.9999999999999363E-4</v>
      </c>
      <c r="I543" s="154">
        <f t="shared" si="84"/>
        <v>-3.0000000000000247E-4</v>
      </c>
      <c r="J543" s="154">
        <f t="shared" si="85"/>
        <v>-4.4930554039311231E-4</v>
      </c>
      <c r="K543" s="160">
        <f t="shared" si="86"/>
        <v>-6.0000000000000493E-4</v>
      </c>
      <c r="L543" s="161">
        <f t="shared" si="87"/>
        <v>-1.9841269841269771E-3</v>
      </c>
      <c r="M543" s="155">
        <f t="shared" si="88"/>
        <v>-6.1349693251532278E-3</v>
      </c>
      <c r="N543" s="155">
        <f t="shared" si="89"/>
        <v>-6.4794816414687206E-3</v>
      </c>
      <c r="O543" s="155">
        <f t="shared" si="90"/>
        <v>-1.0040187839051251E-2</v>
      </c>
      <c r="P543" s="162">
        <f t="shared" si="91"/>
        <v>-1.3888888888888951E-2</v>
      </c>
    </row>
    <row r="544" spans="1:16">
      <c r="A544" s="319">
        <v>44991</v>
      </c>
      <c r="B544" s="28">
        <v>5.05</v>
      </c>
      <c r="C544" s="29">
        <v>4.8899999999999997</v>
      </c>
      <c r="D544" s="29">
        <v>4.6100000000000003</v>
      </c>
      <c r="E544" s="30">
        <v>4.440380033729399</v>
      </c>
      <c r="F544" s="29">
        <v>4.2699999999999996</v>
      </c>
      <c r="G544" s="159">
        <f t="shared" si="82"/>
        <v>1.9999999999999573E-4</v>
      </c>
      <c r="H544" s="154">
        <f t="shared" si="83"/>
        <v>2.9999999999999363E-4</v>
      </c>
      <c r="I544" s="154">
        <f t="shared" si="84"/>
        <v>1.0000000000000675E-4</v>
      </c>
      <c r="J544" s="154">
        <f t="shared" si="85"/>
        <v>1.0239527389344971E-4</v>
      </c>
      <c r="K544" s="160">
        <f t="shared" si="86"/>
        <v>9.9999999999997863E-5</v>
      </c>
      <c r="L544" s="161">
        <f t="shared" si="87"/>
        <v>3.9761431411529102E-3</v>
      </c>
      <c r="M544" s="155">
        <f t="shared" si="88"/>
        <v>6.1728395061726449E-3</v>
      </c>
      <c r="N544" s="155">
        <f t="shared" si="89"/>
        <v>2.1739130434783593E-3</v>
      </c>
      <c r="O544" s="155">
        <f t="shared" si="90"/>
        <v>2.311332422682888E-3</v>
      </c>
      <c r="P544" s="162">
        <f t="shared" si="91"/>
        <v>2.3474178403755097E-3</v>
      </c>
    </row>
    <row r="545" spans="1:16">
      <c r="A545" s="319">
        <v>44992</v>
      </c>
      <c r="B545" s="28">
        <v>5.22</v>
      </c>
      <c r="C545" s="29">
        <v>5</v>
      </c>
      <c r="D545" s="29">
        <v>4.66</v>
      </c>
      <c r="E545" s="30">
        <v>4.4854919885137745</v>
      </c>
      <c r="F545" s="29">
        <v>4.3099999999999996</v>
      </c>
      <c r="G545" s="159">
        <f t="shared" si="82"/>
        <v>1.6999999999999993E-3</v>
      </c>
      <c r="H545" s="154">
        <f t="shared" si="83"/>
        <v>1.1000000000000031E-3</v>
      </c>
      <c r="I545" s="154">
        <f t="shared" si="84"/>
        <v>4.9999999999999828E-4</v>
      </c>
      <c r="J545" s="154">
        <f t="shared" si="85"/>
        <v>4.5111954784375462E-4</v>
      </c>
      <c r="K545" s="160">
        <f t="shared" si="86"/>
        <v>4.0000000000000034E-4</v>
      </c>
      <c r="L545" s="161">
        <f t="shared" si="87"/>
        <v>3.3663366336633693E-2</v>
      </c>
      <c r="M545" s="155">
        <f t="shared" si="88"/>
        <v>2.249488752556239E-2</v>
      </c>
      <c r="N545" s="155">
        <f t="shared" si="89"/>
        <v>1.0845986984815648E-2</v>
      </c>
      <c r="O545" s="155">
        <f t="shared" si="90"/>
        <v>1.0159480594386538E-2</v>
      </c>
      <c r="P545" s="162">
        <f t="shared" si="91"/>
        <v>9.3676814988290502E-3</v>
      </c>
    </row>
    <row r="546" spans="1:16">
      <c r="A546" s="319">
        <v>44993</v>
      </c>
      <c r="B546" s="28">
        <v>5.25</v>
      </c>
      <c r="C546" s="29">
        <v>5.05</v>
      </c>
      <c r="D546" s="29">
        <v>4.71</v>
      </c>
      <c r="E546" s="30">
        <v>4.5254994027922955</v>
      </c>
      <c r="F546" s="29">
        <v>4.34</v>
      </c>
      <c r="G546" s="159">
        <f t="shared" si="82"/>
        <v>3.0000000000000247E-4</v>
      </c>
      <c r="H546" s="154">
        <f t="shared" si="83"/>
        <v>4.9999999999999828E-4</v>
      </c>
      <c r="I546" s="154">
        <f t="shared" si="84"/>
        <v>4.9999999999999828E-4</v>
      </c>
      <c r="J546" s="154">
        <f t="shared" si="85"/>
        <v>4.0007414278520948E-4</v>
      </c>
      <c r="K546" s="160">
        <f t="shared" si="86"/>
        <v>3.0000000000000247E-4</v>
      </c>
      <c r="L546" s="161">
        <f t="shared" si="87"/>
        <v>5.7471264367816577E-3</v>
      </c>
      <c r="M546" s="155">
        <f t="shared" si="88"/>
        <v>1.0000000000000009E-2</v>
      </c>
      <c r="N546" s="155">
        <f t="shared" si="89"/>
        <v>1.0729613733905463E-2</v>
      </c>
      <c r="O546" s="155">
        <f t="shared" si="90"/>
        <v>8.9192923275684954E-3</v>
      </c>
      <c r="P546" s="162">
        <f t="shared" si="91"/>
        <v>6.9605568445476607E-3</v>
      </c>
    </row>
    <row r="547" spans="1:16">
      <c r="A547" s="319">
        <v>44994</v>
      </c>
      <c r="B547" s="31">
        <v>5.18</v>
      </c>
      <c r="C547" s="30">
        <v>4.9000000000000004</v>
      </c>
      <c r="D547" s="30">
        <v>4.5599999999999996</v>
      </c>
      <c r="E547" s="30">
        <v>4.4432999999999998</v>
      </c>
      <c r="F547" s="30">
        <v>4.22</v>
      </c>
      <c r="G547" s="159">
        <f t="shared" si="82"/>
        <v>-7.0000000000000281E-4</v>
      </c>
      <c r="H547" s="154">
        <f t="shared" si="83"/>
        <v>-1.4999999999999946E-3</v>
      </c>
      <c r="I547" s="154">
        <f t="shared" si="84"/>
        <v>-1.5000000000000035E-3</v>
      </c>
      <c r="J547" s="154">
        <f t="shared" si="85"/>
        <v>-8.2199402792295653E-4</v>
      </c>
      <c r="K547" s="160">
        <f t="shared" si="86"/>
        <v>-1.200000000000001E-3</v>
      </c>
      <c r="L547" s="161">
        <f t="shared" si="87"/>
        <v>-1.3333333333333419E-2</v>
      </c>
      <c r="M547" s="155">
        <f t="shared" si="88"/>
        <v>-2.9702970297029618E-2</v>
      </c>
      <c r="N547" s="155">
        <f t="shared" si="89"/>
        <v>-3.1847133757961887E-2</v>
      </c>
      <c r="O547" s="155">
        <f t="shared" si="90"/>
        <v>-1.8163609245330448E-2</v>
      </c>
      <c r="P547" s="162">
        <f t="shared" si="91"/>
        <v>-2.7649769585253448E-2</v>
      </c>
    </row>
    <row r="548" spans="1:16">
      <c r="A548" s="319">
        <v>44995</v>
      </c>
      <c r="B548" s="31">
        <v>4.9000000000000004</v>
      </c>
      <c r="C548" s="30">
        <v>4.5999999999999996</v>
      </c>
      <c r="D548" s="30">
        <v>4.3099999999999996</v>
      </c>
      <c r="E548" s="30">
        <v>4.2092000000000001</v>
      </c>
      <c r="F548" s="30">
        <v>3.96</v>
      </c>
      <c r="G548" s="159">
        <f t="shared" si="82"/>
        <v>-2.7999999999999935E-3</v>
      </c>
      <c r="H548" s="154">
        <f t="shared" si="83"/>
        <v>-3.000000000000007E-3</v>
      </c>
      <c r="I548" s="154">
        <f t="shared" si="84"/>
        <v>-2.5000000000000001E-3</v>
      </c>
      <c r="J548" s="154">
        <f t="shared" si="85"/>
        <v>-2.3409999999999976E-3</v>
      </c>
      <c r="K548" s="160">
        <f t="shared" si="86"/>
        <v>-2.5999999999999977E-3</v>
      </c>
      <c r="L548" s="161">
        <f t="shared" si="87"/>
        <v>-5.4054054054053946E-2</v>
      </c>
      <c r="M548" s="155">
        <f t="shared" si="88"/>
        <v>-6.1224489795918546E-2</v>
      </c>
      <c r="N548" s="155">
        <f t="shared" si="89"/>
        <v>-5.4824561403508776E-2</v>
      </c>
      <c r="O548" s="155">
        <f t="shared" si="90"/>
        <v>-5.2686066662165465E-2</v>
      </c>
      <c r="P548" s="162">
        <f t="shared" si="91"/>
        <v>-6.1611374407582908E-2</v>
      </c>
    </row>
    <row r="549" spans="1:16">
      <c r="A549" s="319">
        <v>44998</v>
      </c>
      <c r="B549" s="31">
        <v>4.3</v>
      </c>
      <c r="C549" s="30">
        <v>4.03</v>
      </c>
      <c r="D549" s="30">
        <v>3.88</v>
      </c>
      <c r="E549" s="30">
        <v>3.8530000000000002</v>
      </c>
      <c r="F549" s="30">
        <v>3.68</v>
      </c>
      <c r="G549" s="159">
        <f t="shared" si="82"/>
        <v>-6.0000000000000053E-3</v>
      </c>
      <c r="H549" s="154">
        <f t="shared" si="83"/>
        <v>-5.6999999999999941E-3</v>
      </c>
      <c r="I549" s="154">
        <f t="shared" si="84"/>
        <v>-4.2999999999999974E-3</v>
      </c>
      <c r="J549" s="154">
        <f t="shared" si="85"/>
        <v>-3.5619999999999983E-3</v>
      </c>
      <c r="K549" s="160">
        <f t="shared" si="86"/>
        <v>-2.7999999999999982E-3</v>
      </c>
      <c r="L549" s="161">
        <f t="shared" si="87"/>
        <v>-0.12244897959183687</v>
      </c>
      <c r="M549" s="155">
        <f t="shared" si="88"/>
        <v>-0.12391304347826071</v>
      </c>
      <c r="N549" s="155">
        <f t="shared" si="89"/>
        <v>-9.9767981438515063E-2</v>
      </c>
      <c r="O549" s="155">
        <f t="shared" si="90"/>
        <v>-8.4624156609331869E-2</v>
      </c>
      <c r="P549" s="162">
        <f t="shared" si="91"/>
        <v>-7.0707070707070607E-2</v>
      </c>
    </row>
    <row r="550" spans="1:16">
      <c r="A550" s="319">
        <v>44999</v>
      </c>
      <c r="B550" s="31">
        <v>4.45</v>
      </c>
      <c r="C550" s="30">
        <v>4.2</v>
      </c>
      <c r="D550" s="30">
        <v>4.05</v>
      </c>
      <c r="E550" s="30">
        <v>3.8782000000000001</v>
      </c>
      <c r="F550" s="30">
        <v>3.78</v>
      </c>
      <c r="G550" s="159">
        <f t="shared" si="82"/>
        <v>1.5000000000000035E-3</v>
      </c>
      <c r="H550" s="154">
        <f t="shared" si="83"/>
        <v>1.6999999999999993E-3</v>
      </c>
      <c r="I550" s="154">
        <f t="shared" si="84"/>
        <v>1.6999999999999993E-3</v>
      </c>
      <c r="J550" s="154">
        <f t="shared" si="85"/>
        <v>2.5199999999999892E-4</v>
      </c>
      <c r="K550" s="160">
        <f t="shared" si="86"/>
        <v>9.9999999999999655E-4</v>
      </c>
      <c r="L550" s="161">
        <f t="shared" si="87"/>
        <v>3.488372093023262E-2</v>
      </c>
      <c r="M550" s="155">
        <f t="shared" si="88"/>
        <v>4.2183622828784184E-2</v>
      </c>
      <c r="N550" s="155">
        <f t="shared" si="89"/>
        <v>4.3814432989690788E-2</v>
      </c>
      <c r="O550" s="155">
        <f t="shared" si="90"/>
        <v>6.5403581624707829E-3</v>
      </c>
      <c r="P550" s="162">
        <f t="shared" si="91"/>
        <v>2.7173913043478271E-2</v>
      </c>
    </row>
    <row r="551" spans="1:16">
      <c r="A551" s="319">
        <v>45000</v>
      </c>
      <c r="B551" s="31">
        <v>4.1900000000000004</v>
      </c>
      <c r="C551" s="30">
        <v>3.93</v>
      </c>
      <c r="D551" s="30">
        <v>3.83</v>
      </c>
      <c r="E551" s="30">
        <v>3.6987000000000001</v>
      </c>
      <c r="F551" s="30">
        <v>3.59</v>
      </c>
      <c r="G551" s="159">
        <f t="shared" si="82"/>
        <v>-2.5999999999999977E-3</v>
      </c>
      <c r="H551" s="154">
        <f t="shared" si="83"/>
        <v>-2.7000000000000001E-3</v>
      </c>
      <c r="I551" s="154">
        <f t="shared" si="84"/>
        <v>-2.1999999999999975E-3</v>
      </c>
      <c r="J551" s="154">
        <f t="shared" si="85"/>
        <v>-1.7949999999999999E-3</v>
      </c>
      <c r="K551" s="160">
        <f t="shared" si="86"/>
        <v>-1.8999999999999996E-3</v>
      </c>
      <c r="L551" s="161">
        <f t="shared" si="87"/>
        <v>-5.842696629213473E-2</v>
      </c>
      <c r="M551" s="155">
        <f t="shared" si="88"/>
        <v>-6.4285714285714279E-2</v>
      </c>
      <c r="N551" s="155">
        <f t="shared" si="89"/>
        <v>-5.4320987654320918E-2</v>
      </c>
      <c r="O551" s="155">
        <f t="shared" si="90"/>
        <v>-4.6284358723118979E-2</v>
      </c>
      <c r="P551" s="162">
        <f t="shared" si="91"/>
        <v>-5.0264550264550234E-2</v>
      </c>
    </row>
    <row r="552" spans="1:16">
      <c r="A552" s="319">
        <v>45001</v>
      </c>
      <c r="B552" s="31">
        <v>4.49</v>
      </c>
      <c r="C552" s="30">
        <v>4.1399999999999997</v>
      </c>
      <c r="D552" s="30">
        <v>3.99</v>
      </c>
      <c r="E552" s="30">
        <v>3.7869000000000002</v>
      </c>
      <c r="F552" s="30">
        <v>3.72</v>
      </c>
      <c r="G552" s="159">
        <f t="shared" si="82"/>
        <v>2.9999999999999983E-3</v>
      </c>
      <c r="H552" s="154">
        <f t="shared" si="83"/>
        <v>2.0999999999999951E-3</v>
      </c>
      <c r="I552" s="154">
        <f t="shared" si="84"/>
        <v>1.6000000000000014E-3</v>
      </c>
      <c r="J552" s="154">
        <f t="shared" si="85"/>
        <v>8.8200000000000051E-4</v>
      </c>
      <c r="K552" s="160">
        <f t="shared" si="86"/>
        <v>1.3000000000000034E-3</v>
      </c>
      <c r="L552" s="161">
        <f t="shared" si="87"/>
        <v>7.1599045346061985E-2</v>
      </c>
      <c r="M552" s="155">
        <f t="shared" si="88"/>
        <v>5.3435114503816772E-2</v>
      </c>
      <c r="N552" s="155">
        <f t="shared" si="89"/>
        <v>4.1775456919060039E-2</v>
      </c>
      <c r="O552" s="155">
        <f t="shared" si="90"/>
        <v>2.3846216238137652E-2</v>
      </c>
      <c r="P552" s="162">
        <f t="shared" si="91"/>
        <v>3.6211699164345523E-2</v>
      </c>
    </row>
    <row r="553" spans="1:16">
      <c r="A553" s="319">
        <v>45002</v>
      </c>
      <c r="B553" s="31">
        <v>4.26</v>
      </c>
      <c r="C553" s="30">
        <v>3.81</v>
      </c>
      <c r="D553" s="30">
        <v>3.68</v>
      </c>
      <c r="E553" s="30">
        <v>3.5901000000000001</v>
      </c>
      <c r="F553" s="30">
        <v>3.44</v>
      </c>
      <c r="G553" s="159">
        <f t="shared" si="82"/>
        <v>-2.3000000000000043E-3</v>
      </c>
      <c r="H553" s="154">
        <f t="shared" si="83"/>
        <v>-3.2999999999999961E-3</v>
      </c>
      <c r="I553" s="154">
        <f t="shared" si="84"/>
        <v>-3.1000000000000003E-3</v>
      </c>
      <c r="J553" s="154">
        <f t="shared" si="85"/>
        <v>-1.968000000000001E-3</v>
      </c>
      <c r="K553" s="160">
        <f t="shared" si="86"/>
        <v>-2.8000000000000026E-3</v>
      </c>
      <c r="L553" s="161">
        <f t="shared" si="87"/>
        <v>-5.1224944320712784E-2</v>
      </c>
      <c r="M553" s="155">
        <f t="shared" si="88"/>
        <v>-7.9710144927536142E-2</v>
      </c>
      <c r="N553" s="155">
        <f t="shared" si="89"/>
        <v>-7.7694235588972482E-2</v>
      </c>
      <c r="O553" s="155">
        <f t="shared" si="90"/>
        <v>-5.1968628693654484E-2</v>
      </c>
      <c r="P553" s="162">
        <f t="shared" si="91"/>
        <v>-7.5268817204301119E-2</v>
      </c>
    </row>
    <row r="554" spans="1:16">
      <c r="A554" s="319">
        <v>45005</v>
      </c>
      <c r="B554" s="31">
        <v>4.34</v>
      </c>
      <c r="C554" s="30">
        <v>3.92</v>
      </c>
      <c r="D554" s="30">
        <v>3.77</v>
      </c>
      <c r="E554" s="30">
        <v>3.6377999999999999</v>
      </c>
      <c r="F554" s="30">
        <v>3.56</v>
      </c>
      <c r="G554" s="159">
        <f t="shared" si="82"/>
        <v>8.0000000000000069E-4</v>
      </c>
      <c r="H554" s="154">
        <f t="shared" si="83"/>
        <v>1.0999999999999988E-3</v>
      </c>
      <c r="I554" s="154">
        <f t="shared" si="84"/>
        <v>8.9999999999999857E-4</v>
      </c>
      <c r="J554" s="154">
        <f t="shared" si="85"/>
        <v>4.7699999999999853E-4</v>
      </c>
      <c r="K554" s="160">
        <f t="shared" si="86"/>
        <v>1.200000000000001E-3</v>
      </c>
      <c r="L554" s="161">
        <f t="shared" si="87"/>
        <v>1.8779342723004744E-2</v>
      </c>
      <c r="M554" s="155">
        <f t="shared" si="88"/>
        <v>2.887139107611536E-2</v>
      </c>
      <c r="N554" s="155">
        <f t="shared" si="89"/>
        <v>2.4456521739130377E-2</v>
      </c>
      <c r="O554" s="155">
        <f t="shared" si="90"/>
        <v>1.3286537979443347E-2</v>
      </c>
      <c r="P554" s="162">
        <f t="shared" si="91"/>
        <v>3.488372093023262E-2</v>
      </c>
    </row>
    <row r="555" spans="1:16">
      <c r="A555" s="319">
        <v>45006</v>
      </c>
      <c r="B555" s="31">
        <v>4.68</v>
      </c>
      <c r="C555" s="30">
        <v>4.17</v>
      </c>
      <c r="D555" s="30">
        <v>3.98</v>
      </c>
      <c r="E555" s="30">
        <v>3.7873000000000001</v>
      </c>
      <c r="F555" s="30">
        <v>3.73</v>
      </c>
      <c r="G555" s="159">
        <f t="shared" si="82"/>
        <v>3.3999999999999985E-3</v>
      </c>
      <c r="H555" s="154">
        <f t="shared" si="83"/>
        <v>2.5000000000000001E-3</v>
      </c>
      <c r="I555" s="154">
        <f t="shared" si="84"/>
        <v>2.0999999999999994E-3</v>
      </c>
      <c r="J555" s="154">
        <f t="shared" si="85"/>
        <v>1.495000000000002E-3</v>
      </c>
      <c r="K555" s="160">
        <f t="shared" si="86"/>
        <v>1.6999999999999993E-3</v>
      </c>
      <c r="L555" s="161">
        <f t="shared" si="87"/>
        <v>7.8341013824884786E-2</v>
      </c>
      <c r="M555" s="155">
        <f t="shared" si="88"/>
        <v>6.3775510204081565E-2</v>
      </c>
      <c r="N555" s="155">
        <f t="shared" si="89"/>
        <v>5.5702917771883298E-2</v>
      </c>
      <c r="O555" s="155">
        <f t="shared" si="90"/>
        <v>4.1096266974545159E-2</v>
      </c>
      <c r="P555" s="162">
        <f t="shared" si="91"/>
        <v>4.7752808988763995E-2</v>
      </c>
    </row>
    <row r="556" spans="1:16">
      <c r="A556" s="319">
        <v>45007</v>
      </c>
      <c r="B556" s="31">
        <v>4.5599999999999996</v>
      </c>
      <c r="C556" s="30">
        <v>3.96</v>
      </c>
      <c r="D556" s="30">
        <v>3.76</v>
      </c>
      <c r="E556" s="30">
        <v>3.6840000000000002</v>
      </c>
      <c r="F556" s="30">
        <v>3.54</v>
      </c>
      <c r="G556" s="159">
        <f t="shared" si="82"/>
        <v>-1.200000000000001E-3</v>
      </c>
      <c r="H556" s="154">
        <f t="shared" si="83"/>
        <v>-2.0999999999999994E-3</v>
      </c>
      <c r="I556" s="154">
        <f t="shared" si="84"/>
        <v>-2.2000000000000019E-3</v>
      </c>
      <c r="J556" s="154">
        <f t="shared" si="85"/>
        <v>-1.0329999999999994E-3</v>
      </c>
      <c r="K556" s="160">
        <f t="shared" si="86"/>
        <v>-1.8999999999999996E-3</v>
      </c>
      <c r="L556" s="161">
        <f t="shared" si="87"/>
        <v>-2.5641025641025661E-2</v>
      </c>
      <c r="M556" s="155">
        <f t="shared" si="88"/>
        <v>-5.0359712230215847E-2</v>
      </c>
      <c r="N556" s="155">
        <f t="shared" si="89"/>
        <v>-5.5276381909547756E-2</v>
      </c>
      <c r="O556" s="155">
        <f t="shared" si="90"/>
        <v>-2.7275367676180884E-2</v>
      </c>
      <c r="P556" s="162">
        <f t="shared" si="91"/>
        <v>-5.0938337801608613E-2</v>
      </c>
    </row>
    <row r="557" spans="1:16">
      <c r="A557" s="319">
        <v>45008</v>
      </c>
      <c r="B557" s="31">
        <v>4.38</v>
      </c>
      <c r="C557" s="30">
        <v>3.76</v>
      </c>
      <c r="D557" s="30">
        <v>3.57</v>
      </c>
      <c r="E557" s="30">
        <v>3.5165000000000002</v>
      </c>
      <c r="F557" s="30">
        <v>3.39</v>
      </c>
      <c r="G557" s="159">
        <f t="shared" si="82"/>
        <v>-1.7999999999999971E-3</v>
      </c>
      <c r="H557" s="154">
        <f t="shared" si="83"/>
        <v>-2.0000000000000018E-3</v>
      </c>
      <c r="I557" s="154">
        <f t="shared" si="84"/>
        <v>-1.8999999999999996E-3</v>
      </c>
      <c r="J557" s="154">
        <f t="shared" si="85"/>
        <v>-1.6749999999999998E-3</v>
      </c>
      <c r="K557" s="160">
        <f t="shared" si="86"/>
        <v>-1.4999999999999992E-3</v>
      </c>
      <c r="L557" s="161">
        <f t="shared" si="87"/>
        <v>-3.9473684210526216E-2</v>
      </c>
      <c r="M557" s="155">
        <f t="shared" si="88"/>
        <v>-5.0505050505050497E-2</v>
      </c>
      <c r="N557" s="155">
        <f t="shared" si="89"/>
        <v>-5.0531914893616969E-2</v>
      </c>
      <c r="O557" s="155">
        <f t="shared" si="90"/>
        <v>-4.5466883821932647E-2</v>
      </c>
      <c r="P557" s="162">
        <f t="shared" si="91"/>
        <v>-4.2372881355932202E-2</v>
      </c>
    </row>
    <row r="558" spans="1:16">
      <c r="A558" s="319">
        <v>45009</v>
      </c>
      <c r="B558" s="31">
        <v>4.32</v>
      </c>
      <c r="C558" s="30">
        <v>3.76</v>
      </c>
      <c r="D558" s="30">
        <v>3.58</v>
      </c>
      <c r="E558" s="30">
        <v>3.4742000000000002</v>
      </c>
      <c r="F558" s="30">
        <v>3.41</v>
      </c>
      <c r="G558" s="159">
        <f t="shared" si="82"/>
        <v>-5.9999999999999604E-4</v>
      </c>
      <c r="H558" s="154">
        <f t="shared" si="83"/>
        <v>0</v>
      </c>
      <c r="I558" s="154">
        <f t="shared" si="84"/>
        <v>1.0000000000000231E-4</v>
      </c>
      <c r="J558" s="154">
        <f t="shared" si="85"/>
        <v>-4.2300000000000004E-4</v>
      </c>
      <c r="K558" s="160">
        <f t="shared" si="86"/>
        <v>2.0000000000000017E-4</v>
      </c>
      <c r="L558" s="161">
        <f t="shared" si="87"/>
        <v>-1.3698630136986245E-2</v>
      </c>
      <c r="M558" s="155">
        <f t="shared" si="88"/>
        <v>0</v>
      </c>
      <c r="N558" s="155">
        <f t="shared" si="89"/>
        <v>2.8011204481792618E-3</v>
      </c>
      <c r="O558" s="155">
        <f t="shared" si="90"/>
        <v>-1.2029006114033791E-2</v>
      </c>
      <c r="P558" s="162">
        <f t="shared" si="91"/>
        <v>5.8997050147493457E-3</v>
      </c>
    </row>
    <row r="559" spans="1:16">
      <c r="A559" s="319">
        <v>45012</v>
      </c>
      <c r="B559" s="31">
        <v>4.51</v>
      </c>
      <c r="C559" s="30">
        <v>3.94</v>
      </c>
      <c r="D559" s="30">
        <v>3.79</v>
      </c>
      <c r="E559" s="30">
        <v>3.6191</v>
      </c>
      <c r="F559" s="30">
        <v>3.59</v>
      </c>
      <c r="G559" s="159">
        <f t="shared" si="82"/>
        <v>1.899999999999995E-3</v>
      </c>
      <c r="H559" s="154">
        <f t="shared" si="83"/>
        <v>1.8000000000000017E-3</v>
      </c>
      <c r="I559" s="154">
        <f t="shared" si="84"/>
        <v>2.0999999999999994E-3</v>
      </c>
      <c r="J559" s="154">
        <f t="shared" si="85"/>
        <v>1.448999999999998E-3</v>
      </c>
      <c r="K559" s="160">
        <f t="shared" si="86"/>
        <v>1.7999999999999971E-3</v>
      </c>
      <c r="L559" s="161">
        <f t="shared" si="87"/>
        <v>4.3981481481481399E-2</v>
      </c>
      <c r="M559" s="155">
        <f t="shared" si="88"/>
        <v>4.7872340425531901E-2</v>
      </c>
      <c r="N559" s="155">
        <f t="shared" si="89"/>
        <v>5.8659217877095049E-2</v>
      </c>
      <c r="O559" s="155">
        <f t="shared" si="90"/>
        <v>4.1707443440216485E-2</v>
      </c>
      <c r="P559" s="162">
        <f t="shared" si="91"/>
        <v>5.2785923753665642E-2</v>
      </c>
    </row>
    <row r="560" spans="1:16">
      <c r="A560" s="319">
        <v>45013</v>
      </c>
      <c r="B560" s="31">
        <v>4.55</v>
      </c>
      <c r="C560" s="30">
        <v>4.0199999999999996</v>
      </c>
      <c r="D560" s="30">
        <v>3.84</v>
      </c>
      <c r="E560" s="30">
        <v>3.6783999999999999</v>
      </c>
      <c r="F560" s="30">
        <v>3.63</v>
      </c>
      <c r="G560" s="159">
        <f t="shared" si="82"/>
        <v>4.0000000000000034E-4</v>
      </c>
      <c r="H560" s="154">
        <f t="shared" si="83"/>
        <v>7.9999999999999624E-4</v>
      </c>
      <c r="I560" s="154">
        <f t="shared" si="84"/>
        <v>4.9999999999999828E-4</v>
      </c>
      <c r="J560" s="154">
        <f t="shared" si="85"/>
        <v>5.9299999999999913E-4</v>
      </c>
      <c r="K560" s="160">
        <f t="shared" si="86"/>
        <v>4.0000000000000034E-4</v>
      </c>
      <c r="L560" s="161">
        <f t="shared" si="87"/>
        <v>8.8691796008868451E-3</v>
      </c>
      <c r="M560" s="155">
        <f t="shared" si="88"/>
        <v>2.0304568527918621E-2</v>
      </c>
      <c r="N560" s="155">
        <f t="shared" si="89"/>
        <v>1.3192612137203019E-2</v>
      </c>
      <c r="O560" s="155">
        <f t="shared" si="90"/>
        <v>1.6385289160288474E-2</v>
      </c>
      <c r="P560" s="162">
        <f t="shared" si="91"/>
        <v>1.1142061281337101E-2</v>
      </c>
    </row>
    <row r="561" spans="1:16">
      <c r="A561" s="319">
        <v>45014</v>
      </c>
      <c r="B561" s="31">
        <v>4.59</v>
      </c>
      <c r="C561" s="30">
        <v>4.08</v>
      </c>
      <c r="D561" s="30">
        <v>3.87</v>
      </c>
      <c r="E561" s="30">
        <v>3.7170000000000001</v>
      </c>
      <c r="F561" s="30">
        <v>3.67</v>
      </c>
      <c r="G561" s="159">
        <f t="shared" si="82"/>
        <v>4.0000000000000034E-4</v>
      </c>
      <c r="H561" s="154">
        <f t="shared" si="83"/>
        <v>6.0000000000000493E-4</v>
      </c>
      <c r="I561" s="154">
        <f t="shared" si="84"/>
        <v>3.0000000000000247E-4</v>
      </c>
      <c r="J561" s="154">
        <f t="shared" si="85"/>
        <v>3.860000000000019E-4</v>
      </c>
      <c r="K561" s="160">
        <f t="shared" si="86"/>
        <v>4.0000000000000034E-4</v>
      </c>
      <c r="L561" s="161">
        <f t="shared" si="87"/>
        <v>8.79120879120876E-3</v>
      </c>
      <c r="M561" s="155">
        <f t="shared" si="88"/>
        <v>1.4925373134328401E-2</v>
      </c>
      <c r="N561" s="155">
        <f t="shared" si="89"/>
        <v>7.8125E-3</v>
      </c>
      <c r="O561" s="155">
        <f t="shared" si="90"/>
        <v>1.0493692909960828E-2</v>
      </c>
      <c r="P561" s="162">
        <f t="shared" si="91"/>
        <v>1.1019283746556585E-2</v>
      </c>
    </row>
    <row r="562" spans="1:16">
      <c r="A562" s="319">
        <v>45015</v>
      </c>
      <c r="B562" s="31">
        <v>4.63</v>
      </c>
      <c r="C562" s="30">
        <v>4.0999999999999996</v>
      </c>
      <c r="D562" s="30">
        <v>3.87</v>
      </c>
      <c r="E562" s="30">
        <v>3.7246000000000001</v>
      </c>
      <c r="F562" s="30">
        <v>3.66</v>
      </c>
      <c r="G562" s="159">
        <f t="shared" si="82"/>
        <v>4.0000000000000034E-4</v>
      </c>
      <c r="H562" s="154">
        <f t="shared" si="83"/>
        <v>1.9999999999999573E-4</v>
      </c>
      <c r="I562" s="154">
        <f t="shared" si="84"/>
        <v>0</v>
      </c>
      <c r="J562" s="154">
        <f t="shared" si="85"/>
        <v>7.6000000000000506E-5</v>
      </c>
      <c r="K562" s="160">
        <f t="shared" si="86"/>
        <v>-9.9999999999997863E-5</v>
      </c>
      <c r="L562" s="161">
        <f t="shared" si="87"/>
        <v>8.7145969498911846E-3</v>
      </c>
      <c r="M562" s="155">
        <f t="shared" si="88"/>
        <v>4.9019607843137081E-3</v>
      </c>
      <c r="N562" s="155">
        <f t="shared" si="89"/>
        <v>0</v>
      </c>
      <c r="O562" s="155">
        <f t="shared" si="90"/>
        <v>2.0446596717782484E-3</v>
      </c>
      <c r="P562" s="162">
        <f t="shared" si="91"/>
        <v>-2.7247956403269047E-3</v>
      </c>
    </row>
    <row r="563" spans="1:16">
      <c r="A563" s="319">
        <v>45016</v>
      </c>
      <c r="B563" s="31">
        <v>4.6399999999999997</v>
      </c>
      <c r="C563" s="30">
        <v>4.0599999999999996</v>
      </c>
      <c r="D563" s="30">
        <v>3.81</v>
      </c>
      <c r="E563" s="30">
        <v>3.6787000000000001</v>
      </c>
      <c r="F563" s="30">
        <v>3.6</v>
      </c>
      <c r="G563" s="159">
        <f t="shared" si="82"/>
        <v>9.9999999999997863E-5</v>
      </c>
      <c r="H563" s="154">
        <f t="shared" si="83"/>
        <v>-4.0000000000000034E-4</v>
      </c>
      <c r="I563" s="154">
        <f t="shared" si="84"/>
        <v>-6.0000000000000049E-4</v>
      </c>
      <c r="J563" s="154">
        <f t="shared" si="85"/>
        <v>-4.5900000000000053E-4</v>
      </c>
      <c r="K563" s="160">
        <f t="shared" si="86"/>
        <v>-6.0000000000000049E-4</v>
      </c>
      <c r="L563" s="161">
        <f t="shared" si="87"/>
        <v>2.1598272138227959E-3</v>
      </c>
      <c r="M563" s="155">
        <f t="shared" si="88"/>
        <v>-9.7560975609756184E-3</v>
      </c>
      <c r="N563" s="155">
        <f t="shared" si="89"/>
        <v>-1.5503875968992276E-2</v>
      </c>
      <c r="O563" s="155">
        <f t="shared" si="90"/>
        <v>-1.232347097674924E-2</v>
      </c>
      <c r="P563" s="162">
        <f t="shared" si="91"/>
        <v>-1.6393442622950838E-2</v>
      </c>
    </row>
    <row r="564" spans="1:16">
      <c r="A564" s="319">
        <v>45019</v>
      </c>
      <c r="B564" s="31">
        <v>4.5999999999999996</v>
      </c>
      <c r="C564" s="30">
        <v>3.97</v>
      </c>
      <c r="D564" s="30">
        <v>3.73</v>
      </c>
      <c r="E564" s="30">
        <v>3.6111</v>
      </c>
      <c r="F564" s="30">
        <v>3.52</v>
      </c>
      <c r="G564" s="159">
        <f t="shared" si="82"/>
        <v>-4.0000000000000034E-4</v>
      </c>
      <c r="H564" s="154">
        <f t="shared" si="83"/>
        <v>-8.9999999999999412E-4</v>
      </c>
      <c r="I564" s="154">
        <f t="shared" si="84"/>
        <v>-8.0000000000000069E-4</v>
      </c>
      <c r="J564" s="154">
        <f t="shared" si="85"/>
        <v>-6.7600000000000104E-4</v>
      </c>
      <c r="K564" s="160">
        <f t="shared" si="86"/>
        <v>-8.0000000000000069E-4</v>
      </c>
      <c r="L564" s="161">
        <f t="shared" si="87"/>
        <v>-8.6206896551723755E-3</v>
      </c>
      <c r="M564" s="155">
        <f t="shared" si="88"/>
        <v>-2.216748768472887E-2</v>
      </c>
      <c r="N564" s="155">
        <f t="shared" si="89"/>
        <v>-2.0997375328083989E-2</v>
      </c>
      <c r="O564" s="155">
        <f t="shared" si="90"/>
        <v>-1.8376056759181303E-2</v>
      </c>
      <c r="P564" s="162">
        <f t="shared" si="91"/>
        <v>-2.2222222222222254E-2</v>
      </c>
    </row>
    <row r="565" spans="1:16">
      <c r="A565" s="319">
        <v>45020</v>
      </c>
      <c r="B565" s="31">
        <v>4.5</v>
      </c>
      <c r="C565" s="30">
        <v>3.84</v>
      </c>
      <c r="D565" s="30">
        <v>3.6</v>
      </c>
      <c r="E565" s="30">
        <v>3.4952999999999999</v>
      </c>
      <c r="F565" s="30">
        <v>3.39</v>
      </c>
      <c r="G565" s="159">
        <f t="shared" si="82"/>
        <v>-9.9999999999999655E-4</v>
      </c>
      <c r="H565" s="154">
        <f t="shared" si="83"/>
        <v>-1.3000000000000034E-3</v>
      </c>
      <c r="I565" s="154">
        <f t="shared" si="84"/>
        <v>-1.2999999999999989E-3</v>
      </c>
      <c r="J565" s="154">
        <f t="shared" si="85"/>
        <v>-1.1580000000000013E-3</v>
      </c>
      <c r="K565" s="160">
        <f t="shared" si="86"/>
        <v>-1.2999999999999989E-3</v>
      </c>
      <c r="L565" s="161">
        <f t="shared" si="87"/>
        <v>-2.1739130434782483E-2</v>
      </c>
      <c r="M565" s="155">
        <f t="shared" si="88"/>
        <v>-3.2745591939546737E-2</v>
      </c>
      <c r="N565" s="155">
        <f t="shared" si="89"/>
        <v>-3.4852546916890104E-2</v>
      </c>
      <c r="O565" s="155">
        <f t="shared" si="90"/>
        <v>-3.2067790977818422E-2</v>
      </c>
      <c r="P565" s="162">
        <f t="shared" si="91"/>
        <v>-3.6931818181818121E-2</v>
      </c>
    </row>
    <row r="566" spans="1:16">
      <c r="A566" s="319">
        <v>45021</v>
      </c>
      <c r="B566" s="31">
        <v>4.43</v>
      </c>
      <c r="C566" s="30">
        <v>3.79</v>
      </c>
      <c r="D566" s="30">
        <v>3.55</v>
      </c>
      <c r="E566" s="30">
        <v>3.4329000000000001</v>
      </c>
      <c r="F566" s="30">
        <v>3.36</v>
      </c>
      <c r="G566" s="159">
        <f t="shared" si="82"/>
        <v>-7.0000000000000281E-4</v>
      </c>
      <c r="H566" s="154">
        <f t="shared" si="83"/>
        <v>-4.9999999999999828E-4</v>
      </c>
      <c r="I566" s="154">
        <f t="shared" si="84"/>
        <v>-5.0000000000000261E-4</v>
      </c>
      <c r="J566" s="154">
        <f t="shared" si="85"/>
        <v>-6.2399999999999793E-4</v>
      </c>
      <c r="K566" s="160">
        <f t="shared" si="86"/>
        <v>-3.0000000000000247E-4</v>
      </c>
      <c r="L566" s="161">
        <f t="shared" si="87"/>
        <v>-1.5555555555555656E-2</v>
      </c>
      <c r="M566" s="155">
        <f t="shared" si="88"/>
        <v>-1.3020833333333259E-2</v>
      </c>
      <c r="N566" s="155">
        <f t="shared" si="89"/>
        <v>-1.3888888888888951E-2</v>
      </c>
      <c r="O566" s="155">
        <f t="shared" si="90"/>
        <v>-1.7852544845935903E-2</v>
      </c>
      <c r="P566" s="162">
        <f t="shared" si="91"/>
        <v>-8.8495575221240186E-3</v>
      </c>
    </row>
    <row r="567" spans="1:16">
      <c r="A567" s="319">
        <v>45022</v>
      </c>
      <c r="B567" s="31">
        <v>4.51</v>
      </c>
      <c r="C567" s="30">
        <v>3.82</v>
      </c>
      <c r="D567" s="30">
        <v>3.59</v>
      </c>
      <c r="E567" s="30">
        <v>3.4317000000000002</v>
      </c>
      <c r="F567" s="30">
        <v>3.37</v>
      </c>
      <c r="G567" s="159">
        <f t="shared" si="82"/>
        <v>8.0000000000000069E-4</v>
      </c>
      <c r="H567" s="154">
        <f t="shared" si="83"/>
        <v>2.9999999999999802E-4</v>
      </c>
      <c r="I567" s="154">
        <f t="shared" si="84"/>
        <v>4.0000000000000034E-4</v>
      </c>
      <c r="J567" s="154">
        <f t="shared" si="85"/>
        <v>-1.1999999999998679E-5</v>
      </c>
      <c r="K567" s="160">
        <f t="shared" si="86"/>
        <v>1.0000000000000231E-4</v>
      </c>
      <c r="L567" s="161">
        <f t="shared" si="87"/>
        <v>1.8058690744920947E-2</v>
      </c>
      <c r="M567" s="155">
        <f t="shared" si="88"/>
        <v>7.9155672823219003E-3</v>
      </c>
      <c r="N567" s="155">
        <f t="shared" si="89"/>
        <v>1.1267605633802802E-2</v>
      </c>
      <c r="O567" s="155">
        <f t="shared" si="90"/>
        <v>-3.4955868216368646E-4</v>
      </c>
      <c r="P567" s="162">
        <f t="shared" si="91"/>
        <v>2.9761904761904656E-3</v>
      </c>
    </row>
    <row r="568" spans="1:16">
      <c r="A568" s="319">
        <v>45023</v>
      </c>
      <c r="B568" s="31">
        <v>4.6100000000000003</v>
      </c>
      <c r="C568" s="30">
        <v>3.97</v>
      </c>
      <c r="D568" s="30">
        <v>3.72</v>
      </c>
      <c r="E568" s="30">
        <v>3.5274999999999999</v>
      </c>
      <c r="F568" s="30">
        <v>3.49</v>
      </c>
      <c r="G568" s="159">
        <f t="shared" si="82"/>
        <v>1.0000000000000052E-3</v>
      </c>
      <c r="H568" s="154">
        <f t="shared" si="83"/>
        <v>1.5000000000000035E-3</v>
      </c>
      <c r="I568" s="154">
        <f t="shared" si="84"/>
        <v>1.3000000000000034E-3</v>
      </c>
      <c r="J568" s="154">
        <f t="shared" si="85"/>
        <v>9.5799999999999661E-4</v>
      </c>
      <c r="K568" s="160">
        <f t="shared" si="86"/>
        <v>1.200000000000001E-3</v>
      </c>
      <c r="L568" s="161">
        <f t="shared" si="87"/>
        <v>2.2172949002217335E-2</v>
      </c>
      <c r="M568" s="155">
        <f t="shared" si="88"/>
        <v>3.9267015706806463E-2</v>
      </c>
      <c r="N568" s="155">
        <f t="shared" si="89"/>
        <v>3.6211699164345523E-2</v>
      </c>
      <c r="O568" s="155">
        <f t="shared" si="90"/>
        <v>2.7916193140425927E-2</v>
      </c>
      <c r="P568" s="162">
        <f t="shared" si="91"/>
        <v>3.5608308605341366E-2</v>
      </c>
    </row>
    <row r="569" spans="1:16">
      <c r="A569" s="319">
        <v>45026</v>
      </c>
      <c r="B569" s="31">
        <v>4.6500000000000004</v>
      </c>
      <c r="C569" s="30">
        <v>4</v>
      </c>
      <c r="D569" s="30">
        <v>3.75</v>
      </c>
      <c r="E569" s="30">
        <v>3.5634999999999999</v>
      </c>
      <c r="F569" s="30">
        <v>3.52</v>
      </c>
      <c r="G569" s="159">
        <f t="shared" si="82"/>
        <v>4.0000000000000034E-4</v>
      </c>
      <c r="H569" s="154">
        <f t="shared" si="83"/>
        <v>2.9999999999999802E-4</v>
      </c>
      <c r="I569" s="154">
        <f t="shared" si="84"/>
        <v>2.9999999999999802E-4</v>
      </c>
      <c r="J569" s="154">
        <f t="shared" si="85"/>
        <v>3.6000000000000029E-4</v>
      </c>
      <c r="K569" s="160">
        <f t="shared" si="86"/>
        <v>2.9999999999999802E-4</v>
      </c>
      <c r="L569" s="161">
        <f t="shared" si="87"/>
        <v>8.6767895878525625E-3</v>
      </c>
      <c r="M569" s="155">
        <f t="shared" si="88"/>
        <v>7.5566750629723067E-3</v>
      </c>
      <c r="N569" s="155">
        <f t="shared" si="89"/>
        <v>8.0645161290322509E-3</v>
      </c>
      <c r="O569" s="155">
        <f t="shared" si="90"/>
        <v>1.0205527994330277E-2</v>
      </c>
      <c r="P569" s="162">
        <f t="shared" si="91"/>
        <v>8.5959885386819312E-3</v>
      </c>
    </row>
    <row r="570" spans="1:16">
      <c r="A570" s="319">
        <v>45027</v>
      </c>
      <c r="B570" s="31">
        <v>4.67</v>
      </c>
      <c r="C570" s="30">
        <v>4.03</v>
      </c>
      <c r="D570" s="30">
        <v>3.76</v>
      </c>
      <c r="E570" s="30">
        <v>3.5828000000000002</v>
      </c>
      <c r="F570" s="30">
        <v>3.54</v>
      </c>
      <c r="G570" s="159">
        <f t="shared" si="82"/>
        <v>1.9999999999999573E-4</v>
      </c>
      <c r="H570" s="154">
        <f t="shared" si="83"/>
        <v>3.0000000000000247E-4</v>
      </c>
      <c r="I570" s="154">
        <f t="shared" si="84"/>
        <v>9.9999999999997863E-5</v>
      </c>
      <c r="J570" s="154">
        <f t="shared" si="85"/>
        <v>1.9300000000000317E-4</v>
      </c>
      <c r="K570" s="160">
        <f t="shared" si="86"/>
        <v>2.0000000000000017E-4</v>
      </c>
      <c r="L570" s="161">
        <f t="shared" si="87"/>
        <v>4.3010752688170673E-3</v>
      </c>
      <c r="M570" s="155">
        <f t="shared" si="88"/>
        <v>7.5000000000000622E-3</v>
      </c>
      <c r="N570" s="155">
        <f t="shared" si="89"/>
        <v>2.666666666666595E-3</v>
      </c>
      <c r="O570" s="155">
        <f t="shared" si="90"/>
        <v>5.4160235723306194E-3</v>
      </c>
      <c r="P570" s="162">
        <f t="shared" si="91"/>
        <v>5.6818181818181213E-3</v>
      </c>
    </row>
    <row r="571" spans="1:16">
      <c r="A571" s="319">
        <v>45028</v>
      </c>
      <c r="B571" s="31">
        <v>4.6399999999999997</v>
      </c>
      <c r="C571" s="30">
        <v>3.95</v>
      </c>
      <c r="D571" s="30">
        <v>3.68</v>
      </c>
      <c r="E571" s="30">
        <v>3.5381</v>
      </c>
      <c r="F571" s="30">
        <v>3.46</v>
      </c>
      <c r="G571" s="159">
        <f t="shared" si="82"/>
        <v>-3.0000000000000247E-4</v>
      </c>
      <c r="H571" s="154">
        <f t="shared" si="83"/>
        <v>-8.0000000000000069E-4</v>
      </c>
      <c r="I571" s="154">
        <f t="shared" si="84"/>
        <v>-7.9999999999999624E-4</v>
      </c>
      <c r="J571" s="154">
        <f t="shared" si="85"/>
        <v>-4.4700000000000187E-4</v>
      </c>
      <c r="K571" s="160">
        <f t="shared" si="86"/>
        <v>-8.0000000000000069E-4</v>
      </c>
      <c r="L571" s="161">
        <f t="shared" si="87"/>
        <v>-6.4239828693790635E-3</v>
      </c>
      <c r="M571" s="155">
        <f t="shared" si="88"/>
        <v>-1.9851116625310139E-2</v>
      </c>
      <c r="N571" s="155">
        <f t="shared" si="89"/>
        <v>-2.1276595744680771E-2</v>
      </c>
      <c r="O571" s="155">
        <f t="shared" si="90"/>
        <v>-1.2476275538684911E-2</v>
      </c>
      <c r="P571" s="162">
        <f t="shared" si="91"/>
        <v>-2.2598870056497189E-2</v>
      </c>
    </row>
    <row r="572" spans="1:16">
      <c r="A572" s="319">
        <v>45029</v>
      </c>
      <c r="B572" s="31">
        <v>4.66</v>
      </c>
      <c r="C572" s="30">
        <v>3.96</v>
      </c>
      <c r="D572" s="30">
        <v>3.7</v>
      </c>
      <c r="E572" s="30">
        <v>3.5510000000000002</v>
      </c>
      <c r="F572" s="30">
        <v>3.51</v>
      </c>
      <c r="G572" s="159">
        <f t="shared" si="82"/>
        <v>2.0000000000000462E-4</v>
      </c>
      <c r="H572" s="154">
        <f t="shared" si="83"/>
        <v>9.9999999999997863E-5</v>
      </c>
      <c r="I572" s="154">
        <f t="shared" si="84"/>
        <v>2.0000000000000017E-4</v>
      </c>
      <c r="J572" s="154">
        <f t="shared" si="85"/>
        <v>1.2900000000000135E-4</v>
      </c>
      <c r="K572" s="160">
        <f t="shared" si="86"/>
        <v>4.9999999999999828E-4</v>
      </c>
      <c r="L572" s="161">
        <f t="shared" si="87"/>
        <v>4.3103448275862988E-3</v>
      </c>
      <c r="M572" s="155">
        <f t="shared" si="88"/>
        <v>2.5316455696202667E-3</v>
      </c>
      <c r="N572" s="155">
        <f t="shared" si="89"/>
        <v>5.4347826086955653E-3</v>
      </c>
      <c r="O572" s="155">
        <f t="shared" si="90"/>
        <v>3.6460247025240644E-3</v>
      </c>
      <c r="P572" s="162">
        <f t="shared" si="91"/>
        <v>1.4450867052023142E-2</v>
      </c>
    </row>
    <row r="573" spans="1:16">
      <c r="A573" s="319">
        <v>45030</v>
      </c>
      <c r="B573" s="31">
        <v>4.7699999999999996</v>
      </c>
      <c r="C573" s="30">
        <v>4.08</v>
      </c>
      <c r="D573" s="30">
        <v>3.83</v>
      </c>
      <c r="E573" s="30">
        <v>3.6333000000000002</v>
      </c>
      <c r="F573" s="30">
        <v>3.6</v>
      </c>
      <c r="G573" s="159">
        <f t="shared" si="82"/>
        <v>1.0999999999999942E-3</v>
      </c>
      <c r="H573" s="154">
        <f t="shared" si="83"/>
        <v>1.200000000000001E-3</v>
      </c>
      <c r="I573" s="154">
        <f t="shared" si="84"/>
        <v>1.2999999999999989E-3</v>
      </c>
      <c r="J573" s="154">
        <f t="shared" si="85"/>
        <v>8.2300000000000038E-4</v>
      </c>
      <c r="K573" s="160">
        <f t="shared" si="86"/>
        <v>9.0000000000000301E-4</v>
      </c>
      <c r="L573" s="161">
        <f t="shared" si="87"/>
        <v>2.3605150214592197E-2</v>
      </c>
      <c r="M573" s="155">
        <f t="shared" si="88"/>
        <v>3.0303030303030276E-2</v>
      </c>
      <c r="N573" s="155">
        <f t="shared" si="89"/>
        <v>3.5135135135134998E-2</v>
      </c>
      <c r="O573" s="155">
        <f t="shared" si="90"/>
        <v>2.3176569980287276E-2</v>
      </c>
      <c r="P573" s="162">
        <f t="shared" si="91"/>
        <v>2.5641025641025772E-2</v>
      </c>
    </row>
    <row r="574" spans="1:16">
      <c r="A574" s="319">
        <v>45033</v>
      </c>
      <c r="B574" s="31">
        <v>4.8</v>
      </c>
      <c r="C574" s="30">
        <v>4.18</v>
      </c>
      <c r="D574" s="30">
        <v>3.92</v>
      </c>
      <c r="E574" s="30">
        <v>3.7143999999999999</v>
      </c>
      <c r="F574" s="30">
        <v>3.69</v>
      </c>
      <c r="G574" s="159">
        <f t="shared" si="82"/>
        <v>3.0000000000000247E-4</v>
      </c>
      <c r="H574" s="154">
        <f t="shared" si="83"/>
        <v>9.9999999999999655E-4</v>
      </c>
      <c r="I574" s="154">
        <f t="shared" si="84"/>
        <v>8.9999999999999857E-4</v>
      </c>
      <c r="J574" s="154">
        <f t="shared" si="85"/>
        <v>8.1099999999999727E-4</v>
      </c>
      <c r="K574" s="160">
        <f t="shared" si="86"/>
        <v>8.9999999999999857E-4</v>
      </c>
      <c r="L574" s="161">
        <f t="shared" si="87"/>
        <v>6.2893081761006275E-3</v>
      </c>
      <c r="M574" s="155">
        <f t="shared" si="88"/>
        <v>2.450980392156854E-2</v>
      </c>
      <c r="N574" s="155">
        <f t="shared" si="89"/>
        <v>2.3498694516971286E-2</v>
      </c>
      <c r="O574" s="155">
        <f t="shared" si="90"/>
        <v>2.2321305700052196E-2</v>
      </c>
      <c r="P574" s="162">
        <f t="shared" si="91"/>
        <v>2.4999999999999911E-2</v>
      </c>
    </row>
    <row r="575" spans="1:16">
      <c r="A575" s="319">
        <v>45034</v>
      </c>
      <c r="B575" s="31">
        <v>4.8099999999999996</v>
      </c>
      <c r="C575" s="30">
        <v>4.1900000000000004</v>
      </c>
      <c r="D575" s="30">
        <v>3.92</v>
      </c>
      <c r="E575" s="30">
        <v>3.7271000000000001</v>
      </c>
      <c r="F575" s="30">
        <v>3.69</v>
      </c>
      <c r="G575" s="159">
        <f t="shared" si="82"/>
        <v>9.9999999999997863E-5</v>
      </c>
      <c r="H575" s="154">
        <f t="shared" si="83"/>
        <v>1.0000000000000675E-4</v>
      </c>
      <c r="I575" s="154">
        <f t="shared" si="84"/>
        <v>0</v>
      </c>
      <c r="J575" s="154">
        <f t="shared" si="85"/>
        <v>1.2700000000000157E-4</v>
      </c>
      <c r="K575" s="160">
        <f t="shared" si="86"/>
        <v>0</v>
      </c>
      <c r="L575" s="161">
        <f t="shared" si="87"/>
        <v>2.0833333333332149E-3</v>
      </c>
      <c r="M575" s="155">
        <f t="shared" si="88"/>
        <v>2.3923444976077235E-3</v>
      </c>
      <c r="N575" s="155">
        <f t="shared" si="89"/>
        <v>0</v>
      </c>
      <c r="O575" s="155">
        <f t="shared" si="90"/>
        <v>3.4191255653672759E-3</v>
      </c>
      <c r="P575" s="162">
        <f t="shared" si="91"/>
        <v>0</v>
      </c>
    </row>
    <row r="576" spans="1:16">
      <c r="A576" s="319">
        <v>45035</v>
      </c>
      <c r="B576" s="31">
        <v>4.84</v>
      </c>
      <c r="C576" s="30">
        <v>4.24</v>
      </c>
      <c r="D576" s="30">
        <v>3.97</v>
      </c>
      <c r="E576" s="30">
        <v>3.7599</v>
      </c>
      <c r="F576" s="30">
        <v>3.71</v>
      </c>
      <c r="G576" s="159">
        <f t="shared" si="82"/>
        <v>3.0000000000000247E-4</v>
      </c>
      <c r="H576" s="154">
        <f t="shared" si="83"/>
        <v>4.9999999999999828E-4</v>
      </c>
      <c r="I576" s="154">
        <f t="shared" si="84"/>
        <v>5.0000000000000261E-4</v>
      </c>
      <c r="J576" s="154">
        <f t="shared" si="85"/>
        <v>3.2799999999999941E-4</v>
      </c>
      <c r="K576" s="160">
        <f t="shared" si="86"/>
        <v>2.0000000000000017E-4</v>
      </c>
      <c r="L576" s="161">
        <f t="shared" si="87"/>
        <v>6.2370062370062929E-3</v>
      </c>
      <c r="M576" s="155">
        <f t="shared" si="88"/>
        <v>1.193317422434359E-2</v>
      </c>
      <c r="N576" s="155">
        <f t="shared" si="89"/>
        <v>1.2755102040816313E-2</v>
      </c>
      <c r="O576" s="155">
        <f t="shared" si="90"/>
        <v>8.8004078237771122E-3</v>
      </c>
      <c r="P576" s="162">
        <f t="shared" si="91"/>
        <v>5.4200542005420349E-3</v>
      </c>
    </row>
    <row r="577" spans="1:16">
      <c r="A577" s="319">
        <v>45036</v>
      </c>
      <c r="B577" s="31">
        <v>4.7699999999999996</v>
      </c>
      <c r="C577" s="30">
        <v>4.1399999999999997</v>
      </c>
      <c r="D577" s="30">
        <v>3.87</v>
      </c>
      <c r="E577" s="30">
        <v>3.7002999999999999</v>
      </c>
      <c r="F577" s="30">
        <v>3.63</v>
      </c>
      <c r="G577" s="159">
        <f t="shared" si="82"/>
        <v>-7.0000000000000281E-4</v>
      </c>
      <c r="H577" s="154">
        <f t="shared" si="83"/>
        <v>-1.0000000000000052E-3</v>
      </c>
      <c r="I577" s="154">
        <f t="shared" si="84"/>
        <v>-1.0000000000000009E-3</v>
      </c>
      <c r="J577" s="154">
        <f t="shared" si="85"/>
        <v>-5.9600000000000093E-4</v>
      </c>
      <c r="K577" s="160">
        <f t="shared" si="86"/>
        <v>-8.0000000000000069E-4</v>
      </c>
      <c r="L577" s="161">
        <f t="shared" si="87"/>
        <v>-1.4462809917355379E-2</v>
      </c>
      <c r="M577" s="155">
        <f t="shared" si="88"/>
        <v>-2.358490566037752E-2</v>
      </c>
      <c r="N577" s="155">
        <f t="shared" si="89"/>
        <v>-2.5188916876574319E-2</v>
      </c>
      <c r="O577" s="155">
        <f t="shared" si="90"/>
        <v>-1.5851485411846111E-2</v>
      </c>
      <c r="P577" s="162">
        <f t="shared" si="91"/>
        <v>-2.1563342318059342E-2</v>
      </c>
    </row>
    <row r="578" spans="1:16">
      <c r="A578" s="319">
        <v>45037</v>
      </c>
      <c r="B578" s="31">
        <v>4.78</v>
      </c>
      <c r="C578" s="30">
        <v>4.17</v>
      </c>
      <c r="D578" s="30">
        <v>3.89</v>
      </c>
      <c r="E578" s="30">
        <v>3.7111999999999998</v>
      </c>
      <c r="F578" s="30">
        <v>3.66</v>
      </c>
      <c r="G578" s="159">
        <f t="shared" si="82"/>
        <v>1.0000000000000675E-4</v>
      </c>
      <c r="H578" s="154">
        <f t="shared" si="83"/>
        <v>3.0000000000000247E-4</v>
      </c>
      <c r="I578" s="154">
        <f t="shared" si="84"/>
        <v>2.0000000000000017E-4</v>
      </c>
      <c r="J578" s="154">
        <f t="shared" si="85"/>
        <v>1.089999999999991E-4</v>
      </c>
      <c r="K578" s="160">
        <f t="shared" si="86"/>
        <v>3.0000000000000247E-4</v>
      </c>
      <c r="L578" s="161">
        <f t="shared" si="87"/>
        <v>2.0964360587003572E-3</v>
      </c>
      <c r="M578" s="155">
        <f t="shared" si="88"/>
        <v>7.2463768115942351E-3</v>
      </c>
      <c r="N578" s="155">
        <f t="shared" si="89"/>
        <v>5.1679586563306845E-3</v>
      </c>
      <c r="O578" s="155">
        <f t="shared" si="90"/>
        <v>2.9457071048293315E-3</v>
      </c>
      <c r="P578" s="162">
        <f t="shared" si="91"/>
        <v>8.2644628099173278E-3</v>
      </c>
    </row>
    <row r="579" spans="1:16">
      <c r="A579" s="319">
        <v>45040</v>
      </c>
      <c r="B579" s="31">
        <v>4.76</v>
      </c>
      <c r="C579" s="30">
        <v>4.12</v>
      </c>
      <c r="D579" s="30">
        <v>3.84</v>
      </c>
      <c r="E579" s="30">
        <v>3.669</v>
      </c>
      <c r="F579" s="30">
        <v>3.6</v>
      </c>
      <c r="G579" s="159">
        <f t="shared" si="82"/>
        <v>-2.0000000000000462E-4</v>
      </c>
      <c r="H579" s="154">
        <f t="shared" si="83"/>
        <v>-4.9999999999999828E-4</v>
      </c>
      <c r="I579" s="154">
        <f t="shared" si="84"/>
        <v>-5.0000000000000261E-4</v>
      </c>
      <c r="J579" s="154">
        <f t="shared" si="85"/>
        <v>-4.2199999999999795E-4</v>
      </c>
      <c r="K579" s="160">
        <f t="shared" si="86"/>
        <v>-6.0000000000000049E-4</v>
      </c>
      <c r="L579" s="161">
        <f t="shared" si="87"/>
        <v>-4.1841004184101083E-3</v>
      </c>
      <c r="M579" s="155">
        <f t="shared" si="88"/>
        <v>-1.1990407673860837E-2</v>
      </c>
      <c r="N579" s="155">
        <f t="shared" si="89"/>
        <v>-1.2853470437018011E-2</v>
      </c>
      <c r="O579" s="155">
        <f t="shared" si="90"/>
        <v>-1.1370985126104682E-2</v>
      </c>
      <c r="P579" s="162">
        <f t="shared" si="91"/>
        <v>-1.6393442622950838E-2</v>
      </c>
    </row>
    <row r="580" spans="1:16">
      <c r="A580" s="319">
        <v>45041</v>
      </c>
      <c r="B580" s="31">
        <v>4.5999999999999996</v>
      </c>
      <c r="C580" s="30">
        <v>3.86</v>
      </c>
      <c r="D580" s="30">
        <v>3.62</v>
      </c>
      <c r="E580" s="30">
        <v>3.5213000000000001</v>
      </c>
      <c r="F580" s="30">
        <v>3.43</v>
      </c>
      <c r="G580" s="159">
        <f t="shared" ref="G580:G643" si="92">(B580-B579)/100</f>
        <v>-1.6000000000000014E-3</v>
      </c>
      <c r="H580" s="154">
        <f t="shared" ref="H580:H643" si="93">(C580-C579)/100</f>
        <v>-2.6000000000000025E-3</v>
      </c>
      <c r="I580" s="154">
        <f t="shared" ref="I580:I643" si="94">(D580-D579)/100</f>
        <v>-2.1999999999999975E-3</v>
      </c>
      <c r="J580" s="154">
        <f t="shared" ref="J580:J643" si="95">(E580-E579)/100</f>
        <v>-1.4769999999999994E-3</v>
      </c>
      <c r="K580" s="160">
        <f t="shared" ref="K580:K643" si="96">(F580-F579)/100</f>
        <v>-1.6999999999999993E-3</v>
      </c>
      <c r="L580" s="161">
        <f t="shared" ref="L580:L643" si="97">(B580/B579)-1</f>
        <v>-3.3613445378151252E-2</v>
      </c>
      <c r="M580" s="155">
        <f t="shared" ref="M580:M643" si="98">(C580/C579)-1</f>
        <v>-6.3106796116504937E-2</v>
      </c>
      <c r="N580" s="155">
        <f t="shared" ref="N580:N643" si="99">(D580/D579)-1</f>
        <v>-5.729166666666663E-2</v>
      </c>
      <c r="O580" s="155">
        <f t="shared" ref="O580:O643" si="100">(E580/E579)-1</f>
        <v>-4.025620059961843E-2</v>
      </c>
      <c r="P580" s="162">
        <f t="shared" ref="P580:P643" si="101">(F580/F579)-1</f>
        <v>-4.7222222222222165E-2</v>
      </c>
    </row>
    <row r="581" spans="1:16">
      <c r="A581" s="319">
        <v>45042</v>
      </c>
      <c r="B581" s="31">
        <v>4.6399999999999997</v>
      </c>
      <c r="C581" s="30">
        <v>3.9</v>
      </c>
      <c r="D581" s="30">
        <v>3.65</v>
      </c>
      <c r="E581" s="30">
        <v>3.5169999999999999</v>
      </c>
      <c r="F581" s="30">
        <v>3.46</v>
      </c>
      <c r="G581" s="159">
        <f t="shared" si="92"/>
        <v>4.0000000000000034E-4</v>
      </c>
      <c r="H581" s="154">
        <f t="shared" si="93"/>
        <v>4.0000000000000034E-4</v>
      </c>
      <c r="I581" s="154">
        <f t="shared" si="94"/>
        <v>2.9999999999999802E-4</v>
      </c>
      <c r="J581" s="154">
        <f t="shared" si="95"/>
        <v>-4.3000000000001926E-5</v>
      </c>
      <c r="K581" s="160">
        <f t="shared" si="96"/>
        <v>2.9999999999999802E-4</v>
      </c>
      <c r="L581" s="161">
        <f t="shared" si="97"/>
        <v>8.6956521739129933E-3</v>
      </c>
      <c r="M581" s="155">
        <f t="shared" si="98"/>
        <v>1.0362694300518172E-2</v>
      </c>
      <c r="N581" s="155">
        <f t="shared" si="99"/>
        <v>8.2872928176795924E-3</v>
      </c>
      <c r="O581" s="155">
        <f t="shared" si="100"/>
        <v>-1.2211399199160144E-3</v>
      </c>
      <c r="P581" s="162">
        <f t="shared" si="101"/>
        <v>8.7463556851310464E-3</v>
      </c>
    </row>
    <row r="582" spans="1:16">
      <c r="A582" s="319">
        <v>45043</v>
      </c>
      <c r="B582" s="31">
        <v>4.78</v>
      </c>
      <c r="C582" s="30">
        <v>4.07</v>
      </c>
      <c r="D582" s="30">
        <v>3.82</v>
      </c>
      <c r="E582" s="30">
        <v>3.6272000000000002</v>
      </c>
      <c r="F582" s="30">
        <v>3.6</v>
      </c>
      <c r="G582" s="159">
        <f t="shared" si="92"/>
        <v>1.4000000000000056E-3</v>
      </c>
      <c r="H582" s="154">
        <f t="shared" si="93"/>
        <v>1.7000000000000038E-3</v>
      </c>
      <c r="I582" s="154">
        <f t="shared" si="94"/>
        <v>1.6999999999999993E-3</v>
      </c>
      <c r="J582" s="154">
        <f t="shared" si="95"/>
        <v>1.1020000000000029E-3</v>
      </c>
      <c r="K582" s="160">
        <f t="shared" si="96"/>
        <v>1.4000000000000013E-3</v>
      </c>
      <c r="L582" s="161">
        <f t="shared" si="97"/>
        <v>3.0172413793103647E-2</v>
      </c>
      <c r="M582" s="155">
        <f t="shared" si="98"/>
        <v>4.3589743589743657E-2</v>
      </c>
      <c r="N582" s="155">
        <f t="shared" si="99"/>
        <v>4.6575342465753344E-2</v>
      </c>
      <c r="O582" s="155">
        <f t="shared" si="100"/>
        <v>3.1333522888825849E-2</v>
      </c>
      <c r="P582" s="162">
        <f t="shared" si="101"/>
        <v>4.0462427745664886E-2</v>
      </c>
    </row>
    <row r="583" spans="1:16">
      <c r="A583" s="319">
        <v>45044</v>
      </c>
      <c r="B583" s="31">
        <v>4.8</v>
      </c>
      <c r="C583" s="30">
        <v>4.04</v>
      </c>
      <c r="D583" s="30">
        <v>3.75</v>
      </c>
      <c r="E583" s="30">
        <v>3.5962999999999998</v>
      </c>
      <c r="F583" s="30">
        <v>3.51</v>
      </c>
      <c r="G583" s="159">
        <f t="shared" si="92"/>
        <v>1.9999999999999573E-4</v>
      </c>
      <c r="H583" s="154">
        <f t="shared" si="93"/>
        <v>-3.0000000000000247E-4</v>
      </c>
      <c r="I583" s="154">
        <f t="shared" si="94"/>
        <v>-6.9999999999999837E-4</v>
      </c>
      <c r="J583" s="154">
        <f t="shared" si="95"/>
        <v>-3.0900000000000372E-4</v>
      </c>
      <c r="K583" s="160">
        <f t="shared" si="96"/>
        <v>-9.0000000000000301E-4</v>
      </c>
      <c r="L583" s="161">
        <f t="shared" si="97"/>
        <v>4.1841004184099972E-3</v>
      </c>
      <c r="M583" s="155">
        <f t="shared" si="98"/>
        <v>-7.3710073710073765E-3</v>
      </c>
      <c r="N583" s="155">
        <f t="shared" si="99"/>
        <v>-1.8324607329842868E-2</v>
      </c>
      <c r="O583" s="155">
        <f t="shared" si="100"/>
        <v>-8.5189677988531942E-3</v>
      </c>
      <c r="P583" s="162">
        <f t="shared" si="101"/>
        <v>-2.5000000000000133E-2</v>
      </c>
    </row>
    <row r="584" spans="1:16">
      <c r="A584" s="319">
        <v>45047</v>
      </c>
      <c r="B584" s="31">
        <v>4.8600000000000003</v>
      </c>
      <c r="C584" s="30">
        <v>4.1399999999999997</v>
      </c>
      <c r="D584" s="30">
        <v>3.85</v>
      </c>
      <c r="E584" s="30">
        <v>3.6823000000000001</v>
      </c>
      <c r="F584" s="30">
        <v>3.64</v>
      </c>
      <c r="G584" s="159">
        <f t="shared" si="92"/>
        <v>6.0000000000000493E-4</v>
      </c>
      <c r="H584" s="154">
        <f t="shared" si="93"/>
        <v>9.9999999999999655E-4</v>
      </c>
      <c r="I584" s="154">
        <f t="shared" si="94"/>
        <v>1.0000000000000009E-3</v>
      </c>
      <c r="J584" s="154">
        <f t="shared" si="95"/>
        <v>8.6000000000000301E-4</v>
      </c>
      <c r="K584" s="160">
        <f t="shared" si="96"/>
        <v>1.3000000000000034E-3</v>
      </c>
      <c r="L584" s="161">
        <f t="shared" si="97"/>
        <v>1.2500000000000178E-2</v>
      </c>
      <c r="M584" s="155">
        <f t="shared" si="98"/>
        <v>2.4752475247524774E-2</v>
      </c>
      <c r="N584" s="155">
        <f t="shared" si="99"/>
        <v>2.6666666666666616E-2</v>
      </c>
      <c r="O584" s="155">
        <f t="shared" si="100"/>
        <v>2.3913466618469048E-2</v>
      </c>
      <c r="P584" s="162">
        <f t="shared" si="101"/>
        <v>3.7037037037037202E-2</v>
      </c>
    </row>
    <row r="585" spans="1:16">
      <c r="A585" s="319">
        <v>45048</v>
      </c>
      <c r="B585" s="31">
        <v>4.74</v>
      </c>
      <c r="C585" s="30">
        <v>3.97</v>
      </c>
      <c r="D585" s="30">
        <v>3.67</v>
      </c>
      <c r="E585" s="30">
        <v>3.5577999999999999</v>
      </c>
      <c r="F585" s="30">
        <v>3.46</v>
      </c>
      <c r="G585" s="159">
        <f t="shared" si="92"/>
        <v>-1.200000000000001E-3</v>
      </c>
      <c r="H585" s="154">
        <f t="shared" si="93"/>
        <v>-1.6999999999999949E-3</v>
      </c>
      <c r="I585" s="154">
        <f t="shared" si="94"/>
        <v>-1.8000000000000017E-3</v>
      </c>
      <c r="J585" s="154">
        <f t="shared" si="95"/>
        <v>-1.2450000000000028E-3</v>
      </c>
      <c r="K585" s="160">
        <f t="shared" si="96"/>
        <v>-1.8000000000000017E-3</v>
      </c>
      <c r="L585" s="161">
        <f t="shared" si="97"/>
        <v>-2.4691358024691357E-2</v>
      </c>
      <c r="M585" s="155">
        <f t="shared" si="98"/>
        <v>-4.1062801932366999E-2</v>
      </c>
      <c r="N585" s="155">
        <f t="shared" si="99"/>
        <v>-4.6753246753246769E-2</v>
      </c>
      <c r="O585" s="155">
        <f t="shared" si="100"/>
        <v>-3.3810390245227251E-2</v>
      </c>
      <c r="P585" s="162">
        <f t="shared" si="101"/>
        <v>-4.9450549450549497E-2</v>
      </c>
    </row>
    <row r="586" spans="1:16">
      <c r="A586" s="319">
        <v>45049</v>
      </c>
      <c r="B586" s="31">
        <v>4.7</v>
      </c>
      <c r="C586" s="30">
        <v>3.89</v>
      </c>
      <c r="D586" s="30">
        <v>3.58</v>
      </c>
      <c r="E586" s="30">
        <v>3.4710999999999999</v>
      </c>
      <c r="F586" s="30">
        <v>3.37</v>
      </c>
      <c r="G586" s="159">
        <f t="shared" si="92"/>
        <v>-4.0000000000000034E-4</v>
      </c>
      <c r="H586" s="154">
        <f t="shared" si="93"/>
        <v>-8.0000000000000069E-4</v>
      </c>
      <c r="I586" s="154">
        <f t="shared" si="94"/>
        <v>-8.9999999999999857E-4</v>
      </c>
      <c r="J586" s="154">
        <f t="shared" si="95"/>
        <v>-8.6700000000000004E-4</v>
      </c>
      <c r="K586" s="160">
        <f t="shared" si="96"/>
        <v>-8.9999999999999857E-4</v>
      </c>
      <c r="L586" s="161">
        <f t="shared" si="97"/>
        <v>-8.4388185654008518E-3</v>
      </c>
      <c r="M586" s="155">
        <f t="shared" si="98"/>
        <v>-2.0151133501259411E-2</v>
      </c>
      <c r="N586" s="155">
        <f t="shared" si="99"/>
        <v>-2.4523160762942697E-2</v>
      </c>
      <c r="O586" s="155">
        <f t="shared" si="100"/>
        <v>-2.4368992073753426E-2</v>
      </c>
      <c r="P586" s="162">
        <f t="shared" si="101"/>
        <v>-2.6011560693641522E-2</v>
      </c>
    </row>
    <row r="587" spans="1:16">
      <c r="A587" s="319">
        <v>45050</v>
      </c>
      <c r="B587" s="31">
        <v>4.59</v>
      </c>
      <c r="C587" s="30">
        <v>3.75</v>
      </c>
      <c r="D587" s="30">
        <v>3.47</v>
      </c>
      <c r="E587" s="30">
        <v>3.3797000000000001</v>
      </c>
      <c r="F587" s="30">
        <v>3.29</v>
      </c>
      <c r="G587" s="159">
        <f t="shared" si="92"/>
        <v>-1.1000000000000031E-3</v>
      </c>
      <c r="H587" s="154">
        <f t="shared" si="93"/>
        <v>-1.4000000000000013E-3</v>
      </c>
      <c r="I587" s="154">
        <f t="shared" si="94"/>
        <v>-1.0999999999999988E-3</v>
      </c>
      <c r="J587" s="154">
        <f t="shared" si="95"/>
        <v>-9.1399999999999706E-4</v>
      </c>
      <c r="K587" s="160">
        <f t="shared" si="96"/>
        <v>-8.0000000000000069E-4</v>
      </c>
      <c r="L587" s="161">
        <f t="shared" si="97"/>
        <v>-2.3404255319149025E-2</v>
      </c>
      <c r="M587" s="155">
        <f t="shared" si="98"/>
        <v>-3.5989717223650408E-2</v>
      </c>
      <c r="N587" s="155">
        <f t="shared" si="99"/>
        <v>-3.0726256983240163E-2</v>
      </c>
      <c r="O587" s="155">
        <f t="shared" si="100"/>
        <v>-2.6331710408803999E-2</v>
      </c>
      <c r="P587" s="162">
        <f t="shared" si="101"/>
        <v>-2.3738872403560873E-2</v>
      </c>
    </row>
    <row r="588" spans="1:16">
      <c r="A588" s="319">
        <v>45051</v>
      </c>
      <c r="B588" s="31">
        <v>4.7300000000000004</v>
      </c>
      <c r="C588" s="30">
        <v>3.92</v>
      </c>
      <c r="D588" s="30">
        <v>3.63</v>
      </c>
      <c r="E588" s="30">
        <v>3.4525000000000001</v>
      </c>
      <c r="F588" s="30">
        <v>3.41</v>
      </c>
      <c r="G588" s="159">
        <f t="shared" si="92"/>
        <v>1.4000000000000056E-3</v>
      </c>
      <c r="H588" s="154">
        <f t="shared" si="93"/>
        <v>1.6999999999999993E-3</v>
      </c>
      <c r="I588" s="154">
        <f t="shared" si="94"/>
        <v>1.599999999999997E-3</v>
      </c>
      <c r="J588" s="154">
        <f t="shared" si="95"/>
        <v>7.2799999999999981E-4</v>
      </c>
      <c r="K588" s="160">
        <f t="shared" si="96"/>
        <v>1.200000000000001E-3</v>
      </c>
      <c r="L588" s="161">
        <f t="shared" si="97"/>
        <v>3.0501089324618924E-2</v>
      </c>
      <c r="M588" s="155">
        <f t="shared" si="98"/>
        <v>4.5333333333333226E-2</v>
      </c>
      <c r="N588" s="155">
        <f t="shared" si="99"/>
        <v>4.6109510086455252E-2</v>
      </c>
      <c r="O588" s="155">
        <f t="shared" si="100"/>
        <v>2.154037340592363E-2</v>
      </c>
      <c r="P588" s="162">
        <f t="shared" si="101"/>
        <v>3.6474164133738718E-2</v>
      </c>
    </row>
    <row r="589" spans="1:16">
      <c r="A589" s="319">
        <v>45054</v>
      </c>
      <c r="B589" s="31">
        <v>4.79</v>
      </c>
      <c r="C589" s="30">
        <v>4</v>
      </c>
      <c r="D589" s="30">
        <v>3.7</v>
      </c>
      <c r="E589" s="30">
        <v>3.5287999999999999</v>
      </c>
      <c r="F589" s="30">
        <v>3.49</v>
      </c>
      <c r="G589" s="159">
        <f t="shared" si="92"/>
        <v>5.9999999999999604E-4</v>
      </c>
      <c r="H589" s="154">
        <f t="shared" si="93"/>
        <v>8.0000000000000069E-4</v>
      </c>
      <c r="I589" s="154">
        <f t="shared" si="94"/>
        <v>7.0000000000000281E-4</v>
      </c>
      <c r="J589" s="154">
        <f t="shared" si="95"/>
        <v>7.6299999999999816E-4</v>
      </c>
      <c r="K589" s="160">
        <f t="shared" si="96"/>
        <v>8.0000000000000069E-4</v>
      </c>
      <c r="L589" s="161">
        <f t="shared" si="97"/>
        <v>1.2684989429175397E-2</v>
      </c>
      <c r="M589" s="155">
        <f t="shared" si="98"/>
        <v>2.0408163265306145E-2</v>
      </c>
      <c r="N589" s="155">
        <f t="shared" si="99"/>
        <v>1.9283746556473913E-2</v>
      </c>
      <c r="O589" s="155">
        <f t="shared" si="100"/>
        <v>2.2099927588703716E-2</v>
      </c>
      <c r="P589" s="162">
        <f t="shared" si="101"/>
        <v>2.346041055718473E-2</v>
      </c>
    </row>
    <row r="590" spans="1:16">
      <c r="A590" s="319">
        <v>45055</v>
      </c>
      <c r="B590" s="31">
        <v>4.8099999999999996</v>
      </c>
      <c r="C590" s="30">
        <v>4.01</v>
      </c>
      <c r="D590" s="30">
        <v>3.67</v>
      </c>
      <c r="E590" s="30">
        <v>3.5531999999999999</v>
      </c>
      <c r="F590" s="30">
        <v>3.51</v>
      </c>
      <c r="G590" s="159">
        <f t="shared" si="92"/>
        <v>1.9999999999999573E-4</v>
      </c>
      <c r="H590" s="154">
        <f t="shared" si="93"/>
        <v>9.9999999999997863E-5</v>
      </c>
      <c r="I590" s="154">
        <f t="shared" si="94"/>
        <v>-3.0000000000000247E-4</v>
      </c>
      <c r="J590" s="154">
        <f t="shared" si="95"/>
        <v>2.4399999999999978E-4</v>
      </c>
      <c r="K590" s="160">
        <f t="shared" si="96"/>
        <v>1.9999999999999573E-4</v>
      </c>
      <c r="L590" s="161">
        <f t="shared" si="97"/>
        <v>4.1753653444676075E-3</v>
      </c>
      <c r="M590" s="155">
        <f t="shared" si="98"/>
        <v>2.4999999999999467E-3</v>
      </c>
      <c r="N590" s="155">
        <f t="shared" si="99"/>
        <v>-8.1081081081081363E-3</v>
      </c>
      <c r="O590" s="155">
        <f t="shared" si="100"/>
        <v>6.9145318521877108E-3</v>
      </c>
      <c r="P590" s="162">
        <f t="shared" si="101"/>
        <v>5.7306590257877321E-3</v>
      </c>
    </row>
    <row r="591" spans="1:16">
      <c r="A591" s="319">
        <v>45056</v>
      </c>
      <c r="B591" s="31">
        <v>4.7</v>
      </c>
      <c r="C591" s="30">
        <v>3.9</v>
      </c>
      <c r="D591" s="30">
        <v>3.55</v>
      </c>
      <c r="E591" s="30">
        <v>3.4668000000000001</v>
      </c>
      <c r="F591" s="30">
        <v>3.37</v>
      </c>
      <c r="G591" s="159">
        <f t="shared" si="92"/>
        <v>-1.0999999999999942E-3</v>
      </c>
      <c r="H591" s="154">
        <f t="shared" si="93"/>
        <v>-1.0999999999999988E-3</v>
      </c>
      <c r="I591" s="154">
        <f t="shared" si="94"/>
        <v>-1.200000000000001E-3</v>
      </c>
      <c r="J591" s="154">
        <f t="shared" si="95"/>
        <v>-8.6399999999999812E-4</v>
      </c>
      <c r="K591" s="160">
        <f t="shared" si="96"/>
        <v>-1.3999999999999967E-3</v>
      </c>
      <c r="L591" s="161">
        <f t="shared" si="97"/>
        <v>-2.2869022869022704E-2</v>
      </c>
      <c r="M591" s="155">
        <f t="shared" si="98"/>
        <v>-2.7431421446383997E-2</v>
      </c>
      <c r="N591" s="155">
        <f t="shared" si="99"/>
        <v>-3.2697547683923744E-2</v>
      </c>
      <c r="O591" s="155">
        <f t="shared" si="100"/>
        <v>-2.4316109422492294E-2</v>
      </c>
      <c r="P591" s="162">
        <f t="shared" si="101"/>
        <v>-3.9886039886039781E-2</v>
      </c>
    </row>
    <row r="592" spans="1:16">
      <c r="A592" s="319">
        <v>45057</v>
      </c>
      <c r="B592" s="31">
        <v>4.7</v>
      </c>
      <c r="C592" s="30">
        <v>3.89</v>
      </c>
      <c r="D592" s="30">
        <v>3.56</v>
      </c>
      <c r="E592" s="30">
        <v>3.4291999999999998</v>
      </c>
      <c r="F592" s="30">
        <v>3.36</v>
      </c>
      <c r="G592" s="159">
        <f t="shared" si="92"/>
        <v>0</v>
      </c>
      <c r="H592" s="154">
        <f t="shared" si="93"/>
        <v>-9.9999999999997863E-5</v>
      </c>
      <c r="I592" s="154">
        <f t="shared" si="94"/>
        <v>1.0000000000000231E-4</v>
      </c>
      <c r="J592" s="154">
        <f t="shared" si="95"/>
        <v>-3.7600000000000301E-4</v>
      </c>
      <c r="K592" s="160">
        <f t="shared" si="96"/>
        <v>-1.0000000000000231E-4</v>
      </c>
      <c r="L592" s="161">
        <f t="shared" si="97"/>
        <v>0</v>
      </c>
      <c r="M592" s="155">
        <f t="shared" si="98"/>
        <v>-2.564102564102555E-3</v>
      </c>
      <c r="N592" s="155">
        <f t="shared" si="99"/>
        <v>2.8169014084507005E-3</v>
      </c>
      <c r="O592" s="155">
        <f t="shared" si="100"/>
        <v>-1.0845736702434605E-2</v>
      </c>
      <c r="P592" s="162">
        <f t="shared" si="101"/>
        <v>-2.9673590504452063E-3</v>
      </c>
    </row>
    <row r="593" spans="1:16">
      <c r="A593" s="319">
        <v>45058</v>
      </c>
      <c r="B593" s="31">
        <v>4.75</v>
      </c>
      <c r="C593" s="30">
        <v>3.98</v>
      </c>
      <c r="D593" s="30">
        <v>3.65</v>
      </c>
      <c r="E593" s="30">
        <v>3.4882</v>
      </c>
      <c r="F593" s="30">
        <v>3.45</v>
      </c>
      <c r="G593" s="159">
        <f t="shared" si="92"/>
        <v>4.9999999999999828E-4</v>
      </c>
      <c r="H593" s="154">
        <f t="shared" si="93"/>
        <v>8.9999999999999857E-4</v>
      </c>
      <c r="I593" s="154">
        <f t="shared" si="94"/>
        <v>8.9999999999999857E-4</v>
      </c>
      <c r="J593" s="154">
        <f t="shared" si="95"/>
        <v>5.9000000000000166E-4</v>
      </c>
      <c r="K593" s="160">
        <f t="shared" si="96"/>
        <v>9.0000000000000301E-4</v>
      </c>
      <c r="L593" s="161">
        <f t="shared" si="97"/>
        <v>1.0638297872340496E-2</v>
      </c>
      <c r="M593" s="155">
        <f t="shared" si="98"/>
        <v>2.3136246786632286E-2</v>
      </c>
      <c r="N593" s="155">
        <f t="shared" si="99"/>
        <v>2.528089887640439E-2</v>
      </c>
      <c r="O593" s="155">
        <f t="shared" si="100"/>
        <v>1.7205179050507446E-2</v>
      </c>
      <c r="P593" s="162">
        <f t="shared" si="101"/>
        <v>2.6785714285714413E-2</v>
      </c>
    </row>
    <row r="594" spans="1:16">
      <c r="A594" s="319">
        <v>45061</v>
      </c>
      <c r="B594" s="31">
        <v>4.7300000000000004</v>
      </c>
      <c r="C594" s="30">
        <v>3.99</v>
      </c>
      <c r="D594" s="30">
        <v>3.67</v>
      </c>
      <c r="E594" s="30">
        <v>3.5182000000000002</v>
      </c>
      <c r="F594" s="30">
        <v>3.46</v>
      </c>
      <c r="G594" s="159">
        <f t="shared" si="92"/>
        <v>-1.9999999999999573E-4</v>
      </c>
      <c r="H594" s="154">
        <f t="shared" si="93"/>
        <v>1.0000000000000231E-4</v>
      </c>
      <c r="I594" s="154">
        <f t="shared" si="94"/>
        <v>2.0000000000000017E-4</v>
      </c>
      <c r="J594" s="154">
        <f t="shared" si="95"/>
        <v>3.0000000000000247E-4</v>
      </c>
      <c r="K594" s="160">
        <f t="shared" si="96"/>
        <v>9.9999999999997863E-5</v>
      </c>
      <c r="L594" s="161">
        <f t="shared" si="97"/>
        <v>-4.2105263157893313E-3</v>
      </c>
      <c r="M594" s="155">
        <f t="shared" si="98"/>
        <v>2.5125628140703071E-3</v>
      </c>
      <c r="N594" s="155">
        <f t="shared" si="99"/>
        <v>5.479452054794498E-3</v>
      </c>
      <c r="O594" s="155">
        <f t="shared" si="100"/>
        <v>8.6004242875983294E-3</v>
      </c>
      <c r="P594" s="162">
        <f t="shared" si="101"/>
        <v>2.8985507246375164E-3</v>
      </c>
    </row>
    <row r="595" spans="1:16">
      <c r="A595" s="319">
        <v>45062</v>
      </c>
      <c r="B595" s="31">
        <v>4.88</v>
      </c>
      <c r="C595" s="30">
        <v>4.0599999999999996</v>
      </c>
      <c r="D595" s="30">
        <v>3.74</v>
      </c>
      <c r="E595" s="30">
        <v>3.5733000000000001</v>
      </c>
      <c r="F595" s="30">
        <v>3.52</v>
      </c>
      <c r="G595" s="159">
        <f t="shared" si="92"/>
        <v>1.4999999999999946E-3</v>
      </c>
      <c r="H595" s="154">
        <f t="shared" si="93"/>
        <v>6.9999999999999392E-4</v>
      </c>
      <c r="I595" s="154">
        <f t="shared" si="94"/>
        <v>7.0000000000000281E-4</v>
      </c>
      <c r="J595" s="154">
        <f t="shared" si="95"/>
        <v>5.509999999999993E-4</v>
      </c>
      <c r="K595" s="160">
        <f t="shared" si="96"/>
        <v>6.0000000000000049E-4</v>
      </c>
      <c r="L595" s="161">
        <f t="shared" si="97"/>
        <v>3.1712473572938604E-2</v>
      </c>
      <c r="M595" s="155">
        <f t="shared" si="98"/>
        <v>1.754385964912264E-2</v>
      </c>
      <c r="N595" s="155">
        <f t="shared" si="99"/>
        <v>1.9073569482288999E-2</v>
      </c>
      <c r="O595" s="155">
        <f t="shared" si="100"/>
        <v>1.5661417770450825E-2</v>
      </c>
      <c r="P595" s="162">
        <f t="shared" si="101"/>
        <v>1.7341040462427681E-2</v>
      </c>
    </row>
    <row r="596" spans="1:16">
      <c r="A596" s="319">
        <v>45063</v>
      </c>
      <c r="B596" s="31">
        <v>4.92</v>
      </c>
      <c r="C596" s="30">
        <v>4.12</v>
      </c>
      <c r="D596" s="30">
        <v>3.8</v>
      </c>
      <c r="E596" s="30">
        <v>3.6313</v>
      </c>
      <c r="F596" s="30">
        <v>3.58</v>
      </c>
      <c r="G596" s="159">
        <f t="shared" si="92"/>
        <v>4.0000000000000034E-4</v>
      </c>
      <c r="H596" s="154">
        <f t="shared" si="93"/>
        <v>6.0000000000000493E-4</v>
      </c>
      <c r="I596" s="154">
        <f t="shared" si="94"/>
        <v>5.9999999999999604E-4</v>
      </c>
      <c r="J596" s="154">
        <f t="shared" si="95"/>
        <v>5.7999999999999827E-4</v>
      </c>
      <c r="K596" s="160">
        <f t="shared" si="96"/>
        <v>6.0000000000000049E-4</v>
      </c>
      <c r="L596" s="161">
        <f t="shared" si="97"/>
        <v>8.1967213114753079E-3</v>
      </c>
      <c r="M596" s="155">
        <f t="shared" si="98"/>
        <v>1.4778325123152802E-2</v>
      </c>
      <c r="N596" s="155">
        <f t="shared" si="99"/>
        <v>1.6042780748662944E-2</v>
      </c>
      <c r="O596" s="155">
        <f t="shared" si="100"/>
        <v>1.6231494696778759E-2</v>
      </c>
      <c r="P596" s="162">
        <f t="shared" si="101"/>
        <v>1.7045454545454586E-2</v>
      </c>
    </row>
    <row r="597" spans="1:16">
      <c r="A597" s="319">
        <v>45064</v>
      </c>
      <c r="B597" s="31">
        <v>5.0199999999999996</v>
      </c>
      <c r="C597" s="30">
        <v>4.24</v>
      </c>
      <c r="D597" s="30">
        <v>3.94</v>
      </c>
      <c r="E597" s="30">
        <v>3.7353999999999998</v>
      </c>
      <c r="F597" s="30">
        <v>3.69</v>
      </c>
      <c r="G597" s="159">
        <f t="shared" si="92"/>
        <v>9.9999999999999655E-4</v>
      </c>
      <c r="H597" s="154">
        <f t="shared" si="93"/>
        <v>1.200000000000001E-3</v>
      </c>
      <c r="I597" s="154">
        <f t="shared" si="94"/>
        <v>1.4000000000000013E-3</v>
      </c>
      <c r="J597" s="154">
        <f t="shared" si="95"/>
        <v>1.0409999999999985E-3</v>
      </c>
      <c r="K597" s="160">
        <f t="shared" si="96"/>
        <v>1.0999999999999988E-3</v>
      </c>
      <c r="L597" s="161">
        <f t="shared" si="97"/>
        <v>2.0325203252032464E-2</v>
      </c>
      <c r="M597" s="155">
        <f t="shared" si="98"/>
        <v>2.9126213592232997E-2</v>
      </c>
      <c r="N597" s="155">
        <f t="shared" si="99"/>
        <v>3.6842105263158009E-2</v>
      </c>
      <c r="O597" s="155">
        <f t="shared" si="100"/>
        <v>2.8667419381488646E-2</v>
      </c>
      <c r="P597" s="162">
        <f t="shared" si="101"/>
        <v>3.0726256983240274E-2</v>
      </c>
    </row>
    <row r="598" spans="1:16">
      <c r="A598" s="319">
        <v>45065</v>
      </c>
      <c r="B598" s="31">
        <v>5.0199999999999996</v>
      </c>
      <c r="C598" s="30">
        <v>4.28</v>
      </c>
      <c r="D598" s="30">
        <v>3.98</v>
      </c>
      <c r="E598" s="30">
        <v>3.7945000000000002</v>
      </c>
      <c r="F598" s="30">
        <v>3.76</v>
      </c>
      <c r="G598" s="159">
        <f t="shared" si="92"/>
        <v>0</v>
      </c>
      <c r="H598" s="154">
        <f t="shared" si="93"/>
        <v>4.0000000000000034E-4</v>
      </c>
      <c r="I598" s="154">
        <f t="shared" si="94"/>
        <v>4.0000000000000034E-4</v>
      </c>
      <c r="J598" s="154">
        <f t="shared" si="95"/>
        <v>5.9100000000000374E-4</v>
      </c>
      <c r="K598" s="160">
        <f t="shared" si="96"/>
        <v>6.9999999999999837E-4</v>
      </c>
      <c r="L598" s="161">
        <f t="shared" si="97"/>
        <v>0</v>
      </c>
      <c r="M598" s="155">
        <f t="shared" si="98"/>
        <v>9.4339622641510523E-3</v>
      </c>
      <c r="N598" s="155">
        <f t="shared" si="99"/>
        <v>1.0152284263959421E-2</v>
      </c>
      <c r="O598" s="155">
        <f t="shared" si="100"/>
        <v>1.5821598757830513E-2</v>
      </c>
      <c r="P598" s="162">
        <f t="shared" si="101"/>
        <v>1.8970189701897011E-2</v>
      </c>
    </row>
    <row r="599" spans="1:16">
      <c r="A599" s="319">
        <v>45068</v>
      </c>
      <c r="B599" s="31">
        <v>5.07</v>
      </c>
      <c r="C599" s="30">
        <v>4.29</v>
      </c>
      <c r="D599" s="30">
        <v>3.98</v>
      </c>
      <c r="E599" s="30">
        <v>3.8256000000000001</v>
      </c>
      <c r="F599" s="30">
        <v>3.77</v>
      </c>
      <c r="G599" s="159">
        <f t="shared" si="92"/>
        <v>5.0000000000000706E-4</v>
      </c>
      <c r="H599" s="154">
        <f t="shared" si="93"/>
        <v>9.9999999999997863E-5</v>
      </c>
      <c r="I599" s="154">
        <f t="shared" si="94"/>
        <v>0</v>
      </c>
      <c r="J599" s="154">
        <f t="shared" si="95"/>
        <v>3.1099999999999905E-4</v>
      </c>
      <c r="K599" s="160">
        <f t="shared" si="96"/>
        <v>1.0000000000000231E-4</v>
      </c>
      <c r="L599" s="161">
        <f t="shared" si="97"/>
        <v>9.960159362550014E-3</v>
      </c>
      <c r="M599" s="155">
        <f t="shared" si="98"/>
        <v>2.3364485981307581E-3</v>
      </c>
      <c r="N599" s="155">
        <f t="shared" si="99"/>
        <v>0</v>
      </c>
      <c r="O599" s="155">
        <f t="shared" si="100"/>
        <v>8.1960732639345668E-3</v>
      </c>
      <c r="P599" s="162">
        <f t="shared" si="101"/>
        <v>2.6595744680850686E-3</v>
      </c>
    </row>
    <row r="600" spans="1:16">
      <c r="A600" s="319">
        <v>45069</v>
      </c>
      <c r="B600" s="31">
        <v>5.0599999999999996</v>
      </c>
      <c r="C600" s="30">
        <v>4.26</v>
      </c>
      <c r="D600" s="30">
        <v>3.99</v>
      </c>
      <c r="E600" s="30">
        <v>3.8281999999999998</v>
      </c>
      <c r="F600" s="30">
        <v>3.76</v>
      </c>
      <c r="G600" s="159">
        <f t="shared" si="92"/>
        <v>-1.0000000000000675E-4</v>
      </c>
      <c r="H600" s="154">
        <f t="shared" si="93"/>
        <v>-3.0000000000000247E-4</v>
      </c>
      <c r="I600" s="154">
        <f t="shared" si="94"/>
        <v>1.0000000000000231E-4</v>
      </c>
      <c r="J600" s="154">
        <f t="shared" si="95"/>
        <v>2.5999999999997135E-5</v>
      </c>
      <c r="K600" s="160">
        <f t="shared" si="96"/>
        <v>-1.0000000000000231E-4</v>
      </c>
      <c r="L600" s="161">
        <f t="shared" si="97"/>
        <v>-1.9723865877713243E-3</v>
      </c>
      <c r="M600" s="155">
        <f t="shared" si="98"/>
        <v>-6.9930069930070893E-3</v>
      </c>
      <c r="N600" s="155">
        <f t="shared" si="99"/>
        <v>2.5125628140703071E-3</v>
      </c>
      <c r="O600" s="155">
        <f t="shared" si="100"/>
        <v>6.7963195315767777E-4</v>
      </c>
      <c r="P600" s="162">
        <f t="shared" si="101"/>
        <v>-2.6525198938992522E-3</v>
      </c>
    </row>
    <row r="601" spans="1:16">
      <c r="A601" s="319">
        <v>45070</v>
      </c>
      <c r="B601" s="31">
        <v>5.12</v>
      </c>
      <c r="C601" s="30">
        <v>4.3099999999999996</v>
      </c>
      <c r="D601" s="30">
        <v>4.04</v>
      </c>
      <c r="E601" s="30">
        <v>3.8637000000000001</v>
      </c>
      <c r="F601" s="30">
        <v>3.75</v>
      </c>
      <c r="G601" s="159">
        <f t="shared" si="92"/>
        <v>6.0000000000000493E-4</v>
      </c>
      <c r="H601" s="154">
        <f t="shared" si="93"/>
        <v>4.9999999999999828E-4</v>
      </c>
      <c r="I601" s="154">
        <f t="shared" si="94"/>
        <v>4.9999999999999828E-4</v>
      </c>
      <c r="J601" s="154">
        <f t="shared" si="95"/>
        <v>3.550000000000031E-4</v>
      </c>
      <c r="K601" s="160">
        <f t="shared" si="96"/>
        <v>-9.9999999999997863E-5</v>
      </c>
      <c r="L601" s="161">
        <f t="shared" si="97"/>
        <v>1.1857707509881577E-2</v>
      </c>
      <c r="M601" s="155">
        <f t="shared" si="98"/>
        <v>1.1737089201877993E-2</v>
      </c>
      <c r="N601" s="155">
        <f t="shared" si="99"/>
        <v>1.2531328320801949E-2</v>
      </c>
      <c r="O601" s="155">
        <f t="shared" si="100"/>
        <v>9.2732877070165198E-3</v>
      </c>
      <c r="P601" s="162">
        <f t="shared" si="101"/>
        <v>-2.6595744680850686E-3</v>
      </c>
    </row>
    <row r="602" spans="1:16">
      <c r="A602" s="319">
        <v>45071</v>
      </c>
      <c r="B602" s="31">
        <v>5.24</v>
      </c>
      <c r="C602" s="30">
        <v>4.5</v>
      </c>
      <c r="D602" s="30">
        <v>4.21</v>
      </c>
      <c r="E602" s="30">
        <v>3.9882</v>
      </c>
      <c r="F602" s="30">
        <v>3.9</v>
      </c>
      <c r="G602" s="159">
        <f t="shared" si="92"/>
        <v>1.200000000000001E-3</v>
      </c>
      <c r="H602" s="154">
        <f t="shared" si="93"/>
        <v>1.9000000000000039E-3</v>
      </c>
      <c r="I602" s="154">
        <f t="shared" si="94"/>
        <v>1.6999999999999993E-3</v>
      </c>
      <c r="J602" s="154">
        <f t="shared" si="95"/>
        <v>1.2449999999999983E-3</v>
      </c>
      <c r="K602" s="160">
        <f t="shared" si="96"/>
        <v>1.4999999999999992E-3</v>
      </c>
      <c r="L602" s="161">
        <f t="shared" si="97"/>
        <v>2.34375E-2</v>
      </c>
      <c r="M602" s="155">
        <f t="shared" si="98"/>
        <v>4.4083526682134666E-2</v>
      </c>
      <c r="N602" s="155">
        <f t="shared" si="99"/>
        <v>4.2079207920792117E-2</v>
      </c>
      <c r="O602" s="155">
        <f t="shared" si="100"/>
        <v>3.2222998680021764E-2</v>
      </c>
      <c r="P602" s="162">
        <f t="shared" si="101"/>
        <v>4.0000000000000036E-2</v>
      </c>
    </row>
    <row r="603" spans="1:16">
      <c r="A603" s="319">
        <v>45072</v>
      </c>
      <c r="B603" s="31">
        <v>5.25</v>
      </c>
      <c r="C603" s="30">
        <v>4.54</v>
      </c>
      <c r="D603" s="30">
        <v>4.2300000000000004</v>
      </c>
      <c r="E603" s="30">
        <v>4.0319000000000003</v>
      </c>
      <c r="F603" s="30">
        <v>3.92</v>
      </c>
      <c r="G603" s="159">
        <f t="shared" si="92"/>
        <v>9.9999999999997863E-5</v>
      </c>
      <c r="H603" s="154">
        <f t="shared" si="93"/>
        <v>4.0000000000000034E-4</v>
      </c>
      <c r="I603" s="154">
        <f t="shared" si="94"/>
        <v>2.0000000000000462E-4</v>
      </c>
      <c r="J603" s="154">
        <f t="shared" si="95"/>
        <v>4.3700000000000292E-4</v>
      </c>
      <c r="K603" s="160">
        <f t="shared" si="96"/>
        <v>2.0000000000000017E-4</v>
      </c>
      <c r="L603" s="161">
        <f t="shared" si="97"/>
        <v>1.9083969465647499E-3</v>
      </c>
      <c r="M603" s="155">
        <f t="shared" si="98"/>
        <v>8.8888888888889461E-3</v>
      </c>
      <c r="N603" s="155">
        <f t="shared" si="99"/>
        <v>4.7505938242280443E-3</v>
      </c>
      <c r="O603" s="155">
        <f t="shared" si="100"/>
        <v>1.0957324106113164E-2</v>
      </c>
      <c r="P603" s="162">
        <f t="shared" si="101"/>
        <v>5.12820512820511E-3</v>
      </c>
    </row>
    <row r="604" spans="1:16">
      <c r="A604" s="319">
        <v>45076</v>
      </c>
      <c r="B604" s="31">
        <v>5.22</v>
      </c>
      <c r="C604" s="30">
        <v>4.46</v>
      </c>
      <c r="D604" s="30">
        <v>4.0999999999999996</v>
      </c>
      <c r="E604" s="30" t="e">
        <f>NA()</f>
        <v>#N/A</v>
      </c>
      <c r="F604" s="30">
        <v>3.81</v>
      </c>
      <c r="G604" s="159">
        <f t="shared" si="92"/>
        <v>-3.0000000000000247E-4</v>
      </c>
      <c r="H604" s="154">
        <f t="shared" si="93"/>
        <v>-8.0000000000000069E-4</v>
      </c>
      <c r="I604" s="154">
        <f t="shared" si="94"/>
        <v>-1.3000000000000077E-3</v>
      </c>
      <c r="J604" s="154" t="e">
        <f t="shared" si="95"/>
        <v>#N/A</v>
      </c>
      <c r="K604" s="160">
        <f t="shared" si="96"/>
        <v>-1.0999999999999988E-3</v>
      </c>
      <c r="L604" s="161">
        <f t="shared" si="97"/>
        <v>-5.7142857142857828E-3</v>
      </c>
      <c r="M604" s="155">
        <f t="shared" si="98"/>
        <v>-1.7621145374449365E-2</v>
      </c>
      <c r="N604" s="155">
        <f t="shared" si="99"/>
        <v>-3.0732860520094718E-2</v>
      </c>
      <c r="O604" s="155" t="e">
        <f t="shared" si="100"/>
        <v>#N/A</v>
      </c>
      <c r="P604" s="162">
        <f t="shared" si="101"/>
        <v>-2.8061224489795866E-2</v>
      </c>
    </row>
    <row r="605" spans="1:16">
      <c r="A605" s="319">
        <v>45077</v>
      </c>
      <c r="B605" s="31">
        <v>5.18</v>
      </c>
      <c r="C605" s="30">
        <v>4.4000000000000004</v>
      </c>
      <c r="D605" s="30">
        <v>4.04</v>
      </c>
      <c r="E605" s="30">
        <v>3.9666999999999999</v>
      </c>
      <c r="F605" s="30">
        <v>3.74</v>
      </c>
      <c r="G605" s="159">
        <f t="shared" si="92"/>
        <v>-4.0000000000000034E-4</v>
      </c>
      <c r="H605" s="154">
        <f t="shared" si="93"/>
        <v>-5.9999999999999604E-4</v>
      </c>
      <c r="I605" s="154">
        <f t="shared" si="94"/>
        <v>-5.9999999999999604E-4</v>
      </c>
      <c r="J605" s="154" t="e">
        <f t="shared" si="95"/>
        <v>#N/A</v>
      </c>
      <c r="K605" s="160">
        <f t="shared" si="96"/>
        <v>-6.9999999999999837E-4</v>
      </c>
      <c r="L605" s="161">
        <f t="shared" si="97"/>
        <v>-7.6628352490420992E-3</v>
      </c>
      <c r="M605" s="155">
        <f t="shared" si="98"/>
        <v>-1.3452914798206206E-2</v>
      </c>
      <c r="N605" s="155">
        <f t="shared" si="99"/>
        <v>-1.4634146341463317E-2</v>
      </c>
      <c r="O605" s="155" t="e">
        <f t="shared" si="100"/>
        <v>#N/A</v>
      </c>
      <c r="P605" s="162">
        <f t="shared" si="101"/>
        <v>-1.8372703412073421E-2</v>
      </c>
    </row>
    <row r="606" spans="1:16">
      <c r="A606" s="319">
        <v>45078</v>
      </c>
      <c r="B606" s="31">
        <v>5.1100000000000003</v>
      </c>
      <c r="C606" s="30">
        <v>4.33</v>
      </c>
      <c r="D606" s="30">
        <v>3.98</v>
      </c>
      <c r="E606" s="30">
        <v>3.8934000000000002</v>
      </c>
      <c r="F606" s="30">
        <v>3.7</v>
      </c>
      <c r="G606" s="159">
        <f t="shared" si="92"/>
        <v>-6.9999999999999392E-4</v>
      </c>
      <c r="H606" s="154">
        <f t="shared" si="93"/>
        <v>-7.0000000000000281E-4</v>
      </c>
      <c r="I606" s="154">
        <f t="shared" si="94"/>
        <v>-6.0000000000000049E-4</v>
      </c>
      <c r="J606" s="154">
        <f t="shared" si="95"/>
        <v>-7.32999999999997E-4</v>
      </c>
      <c r="K606" s="160">
        <f t="shared" si="96"/>
        <v>-4.0000000000000034E-4</v>
      </c>
      <c r="L606" s="161">
        <f t="shared" si="97"/>
        <v>-1.3513513513513375E-2</v>
      </c>
      <c r="M606" s="155">
        <f t="shared" si="98"/>
        <v>-1.5909090909090984E-2</v>
      </c>
      <c r="N606" s="155">
        <f t="shared" si="99"/>
        <v>-1.4851485148514865E-2</v>
      </c>
      <c r="O606" s="155">
        <f t="shared" si="100"/>
        <v>-1.8478836312299851E-2</v>
      </c>
      <c r="P606" s="162">
        <f t="shared" si="101"/>
        <v>-1.0695187165775444E-2</v>
      </c>
    </row>
    <row r="607" spans="1:16">
      <c r="A607" s="319">
        <v>45079</v>
      </c>
      <c r="B607" s="31">
        <v>5.22</v>
      </c>
      <c r="C607" s="30">
        <v>4.5</v>
      </c>
      <c r="D607" s="30">
        <v>4.13</v>
      </c>
      <c r="E607" s="30">
        <v>3.8397999999999999</v>
      </c>
      <c r="F607" s="30">
        <v>3.84</v>
      </c>
      <c r="G607" s="159">
        <f t="shared" si="92"/>
        <v>1.0999999999999942E-3</v>
      </c>
      <c r="H607" s="154">
        <f t="shared" si="93"/>
        <v>1.6999999999999993E-3</v>
      </c>
      <c r="I607" s="154">
        <f t="shared" si="94"/>
        <v>1.4999999999999992E-3</v>
      </c>
      <c r="J607" s="154">
        <f t="shared" si="95"/>
        <v>-5.3600000000000316E-4</v>
      </c>
      <c r="K607" s="160">
        <f t="shared" si="96"/>
        <v>1.3999999999999967E-3</v>
      </c>
      <c r="L607" s="161">
        <f t="shared" si="97"/>
        <v>2.1526418786692592E-2</v>
      </c>
      <c r="M607" s="155">
        <f t="shared" si="98"/>
        <v>3.9260969976905313E-2</v>
      </c>
      <c r="N607" s="155">
        <f t="shared" si="99"/>
        <v>3.7688442211055273E-2</v>
      </c>
      <c r="O607" s="155">
        <f t="shared" si="100"/>
        <v>-1.3766887553295359E-2</v>
      </c>
      <c r="P607" s="162">
        <f t="shared" si="101"/>
        <v>3.7837837837837673E-2</v>
      </c>
    </row>
    <row r="608" spans="1:16">
      <c r="A608" s="319">
        <v>45082</v>
      </c>
      <c r="B608" s="31">
        <v>5.17</v>
      </c>
      <c r="C608" s="30">
        <v>4.46</v>
      </c>
      <c r="D608" s="30">
        <v>4.0999999999999996</v>
      </c>
      <c r="E608" s="30">
        <v>3.931</v>
      </c>
      <c r="F608" s="30">
        <v>3.82</v>
      </c>
      <c r="G608" s="159">
        <f t="shared" si="92"/>
        <v>-4.9999999999999828E-4</v>
      </c>
      <c r="H608" s="154">
        <f t="shared" si="93"/>
        <v>-4.0000000000000034E-4</v>
      </c>
      <c r="I608" s="154">
        <f t="shared" si="94"/>
        <v>-3.0000000000000247E-4</v>
      </c>
      <c r="J608" s="154">
        <f t="shared" si="95"/>
        <v>9.1200000000000168E-4</v>
      </c>
      <c r="K608" s="160">
        <f t="shared" si="96"/>
        <v>-2.0000000000000017E-4</v>
      </c>
      <c r="L608" s="161">
        <f t="shared" si="97"/>
        <v>-9.5785440613026518E-3</v>
      </c>
      <c r="M608" s="155">
        <f t="shared" si="98"/>
        <v>-8.8888888888889461E-3</v>
      </c>
      <c r="N608" s="155">
        <f t="shared" si="99"/>
        <v>-7.2639225181598821E-3</v>
      </c>
      <c r="O608" s="155">
        <f t="shared" si="100"/>
        <v>2.3751237043596163E-2</v>
      </c>
      <c r="P608" s="162">
        <f t="shared" si="101"/>
        <v>-5.2083333333333703E-3</v>
      </c>
    </row>
    <row r="609" spans="1:16">
      <c r="A609" s="319">
        <v>45083</v>
      </c>
      <c r="B609" s="31">
        <v>5.2</v>
      </c>
      <c r="C609" s="30">
        <v>4.51</v>
      </c>
      <c r="D609" s="30">
        <v>4.1500000000000004</v>
      </c>
      <c r="E609" s="30">
        <v>3.9350999999999998</v>
      </c>
      <c r="F609" s="30">
        <v>3.85</v>
      </c>
      <c r="G609" s="159">
        <f t="shared" si="92"/>
        <v>3.0000000000000247E-4</v>
      </c>
      <c r="H609" s="154">
        <f t="shared" si="93"/>
        <v>4.9999999999999828E-4</v>
      </c>
      <c r="I609" s="154">
        <f t="shared" si="94"/>
        <v>5.0000000000000706E-4</v>
      </c>
      <c r="J609" s="154">
        <f t="shared" si="95"/>
        <v>4.0999999999997703E-5</v>
      </c>
      <c r="K609" s="160">
        <f t="shared" si="96"/>
        <v>3.0000000000000247E-4</v>
      </c>
      <c r="L609" s="161">
        <f t="shared" si="97"/>
        <v>5.8027079303675233E-3</v>
      </c>
      <c r="M609" s="155">
        <f t="shared" si="98"/>
        <v>1.1210762331838486E-2</v>
      </c>
      <c r="N609" s="155">
        <f t="shared" si="99"/>
        <v>1.2195121951219745E-2</v>
      </c>
      <c r="O609" s="155">
        <f t="shared" si="100"/>
        <v>1.0429916051895027E-3</v>
      </c>
      <c r="P609" s="162">
        <f t="shared" si="101"/>
        <v>7.8534031413612926E-3</v>
      </c>
    </row>
    <row r="610" spans="1:16">
      <c r="A610" s="319">
        <v>45084</v>
      </c>
      <c r="B610" s="31">
        <v>5.16</v>
      </c>
      <c r="C610" s="30">
        <v>4.5599999999999996</v>
      </c>
      <c r="D610" s="30">
        <v>4.21</v>
      </c>
      <c r="E610" s="30">
        <v>3.9544000000000001</v>
      </c>
      <c r="F610" s="30">
        <v>3.93</v>
      </c>
      <c r="G610" s="159">
        <f t="shared" si="92"/>
        <v>-4.0000000000000034E-4</v>
      </c>
      <c r="H610" s="154">
        <f t="shared" si="93"/>
        <v>4.9999999999999828E-4</v>
      </c>
      <c r="I610" s="154">
        <f t="shared" si="94"/>
        <v>5.9999999999999604E-4</v>
      </c>
      <c r="J610" s="154">
        <f t="shared" si="95"/>
        <v>1.9300000000000317E-4</v>
      </c>
      <c r="K610" s="160">
        <f t="shared" si="96"/>
        <v>8.0000000000000069E-4</v>
      </c>
      <c r="L610" s="161">
        <f t="shared" si="97"/>
        <v>-7.692307692307665E-3</v>
      </c>
      <c r="M610" s="155">
        <f t="shared" si="98"/>
        <v>1.1086474501108556E-2</v>
      </c>
      <c r="N610" s="155">
        <f t="shared" si="99"/>
        <v>1.4457831325301207E-2</v>
      </c>
      <c r="O610" s="155">
        <f t="shared" si="100"/>
        <v>4.9045767578970167E-3</v>
      </c>
      <c r="P610" s="162">
        <f t="shared" si="101"/>
        <v>2.0779220779220786E-2</v>
      </c>
    </row>
    <row r="611" spans="1:16">
      <c r="A611" s="319">
        <v>45085</v>
      </c>
      <c r="B611" s="31">
        <v>5.12</v>
      </c>
      <c r="C611" s="30">
        <v>4.5199999999999996</v>
      </c>
      <c r="D611" s="30">
        <v>4.17</v>
      </c>
      <c r="E611" s="30">
        <v>4.0221</v>
      </c>
      <c r="F611" s="30">
        <v>3.87</v>
      </c>
      <c r="G611" s="159">
        <f t="shared" si="92"/>
        <v>-4.0000000000000034E-4</v>
      </c>
      <c r="H611" s="154">
        <f t="shared" si="93"/>
        <v>-4.0000000000000034E-4</v>
      </c>
      <c r="I611" s="154">
        <f t="shared" si="94"/>
        <v>-4.0000000000000034E-4</v>
      </c>
      <c r="J611" s="154">
        <f t="shared" si="95"/>
        <v>6.7699999999999867E-4</v>
      </c>
      <c r="K611" s="160">
        <f t="shared" si="96"/>
        <v>-6.0000000000000049E-4</v>
      </c>
      <c r="L611" s="161">
        <f t="shared" si="97"/>
        <v>-7.7519379844961378E-3</v>
      </c>
      <c r="M611" s="155">
        <f t="shared" si="98"/>
        <v>-8.7719298245614308E-3</v>
      </c>
      <c r="N611" s="155">
        <f t="shared" si="99"/>
        <v>-9.5011876484560887E-3</v>
      </c>
      <c r="O611" s="155">
        <f t="shared" si="100"/>
        <v>1.7120169937284935E-2</v>
      </c>
      <c r="P611" s="162">
        <f t="shared" si="101"/>
        <v>-1.5267175572519109E-2</v>
      </c>
    </row>
    <row r="612" spans="1:16">
      <c r="A612" s="319">
        <v>45086</v>
      </c>
      <c r="B612" s="31">
        <v>5.17</v>
      </c>
      <c r="C612" s="30">
        <v>4.59</v>
      </c>
      <c r="D612" s="30">
        <v>4.2300000000000004</v>
      </c>
      <c r="E612" s="30">
        <v>3.9916</v>
      </c>
      <c r="F612" s="30">
        <v>3.92</v>
      </c>
      <c r="G612" s="159">
        <f t="shared" si="92"/>
        <v>4.9999999999999828E-4</v>
      </c>
      <c r="H612" s="154">
        <f t="shared" si="93"/>
        <v>7.0000000000000281E-4</v>
      </c>
      <c r="I612" s="154">
        <f t="shared" si="94"/>
        <v>6.0000000000000493E-4</v>
      </c>
      <c r="J612" s="154">
        <f t="shared" si="95"/>
        <v>-3.0499999999999972E-4</v>
      </c>
      <c r="K612" s="160">
        <f t="shared" si="96"/>
        <v>4.9999999999999828E-4</v>
      </c>
      <c r="L612" s="161">
        <f t="shared" si="97"/>
        <v>9.765625E-3</v>
      </c>
      <c r="M612" s="155">
        <f t="shared" si="98"/>
        <v>1.5486725663716783E-2</v>
      </c>
      <c r="N612" s="155">
        <f t="shared" si="99"/>
        <v>1.4388489208633226E-2</v>
      </c>
      <c r="O612" s="155">
        <f t="shared" si="100"/>
        <v>-7.5831033539692783E-3</v>
      </c>
      <c r="P612" s="162">
        <f t="shared" si="101"/>
        <v>1.2919896640826822E-2</v>
      </c>
    </row>
    <row r="613" spans="1:16">
      <c r="A613" s="319">
        <v>45089</v>
      </c>
      <c r="B613" s="31">
        <v>5.18</v>
      </c>
      <c r="C613" s="30">
        <v>4.55</v>
      </c>
      <c r="D613" s="30">
        <v>4.16</v>
      </c>
      <c r="E613" s="30">
        <v>4.0271999999999997</v>
      </c>
      <c r="F613" s="30">
        <v>3.89</v>
      </c>
      <c r="G613" s="159">
        <f t="shared" si="92"/>
        <v>9.9999999999997863E-5</v>
      </c>
      <c r="H613" s="154">
        <f t="shared" si="93"/>
        <v>-4.0000000000000034E-4</v>
      </c>
      <c r="I613" s="154">
        <f t="shared" si="94"/>
        <v>-7.0000000000000281E-4</v>
      </c>
      <c r="J613" s="154">
        <f t="shared" si="95"/>
        <v>3.5599999999999629E-4</v>
      </c>
      <c r="K613" s="160">
        <f t="shared" si="96"/>
        <v>-2.9999999999999802E-4</v>
      </c>
      <c r="L613" s="161">
        <f t="shared" si="97"/>
        <v>1.9342359767891004E-3</v>
      </c>
      <c r="M613" s="155">
        <f t="shared" si="98"/>
        <v>-8.7145969498910736E-3</v>
      </c>
      <c r="N613" s="155">
        <f t="shared" si="99"/>
        <v>-1.6548463356974019E-2</v>
      </c>
      <c r="O613" s="155">
        <f t="shared" si="100"/>
        <v>8.9187293315962091E-3</v>
      </c>
      <c r="P613" s="162">
        <f t="shared" si="101"/>
        <v>-7.6530612244897211E-3</v>
      </c>
    </row>
    <row r="614" spans="1:16">
      <c r="A614" s="319">
        <v>45090</v>
      </c>
      <c r="B614" s="31">
        <v>5.26</v>
      </c>
      <c r="C614" s="30">
        <v>4.67</v>
      </c>
      <c r="D614" s="30">
        <v>4.3</v>
      </c>
      <c r="E614" s="30">
        <v>4.0225</v>
      </c>
      <c r="F614" s="30">
        <v>4.01</v>
      </c>
      <c r="G614" s="159">
        <f t="shared" si="92"/>
        <v>8.0000000000000069E-4</v>
      </c>
      <c r="H614" s="154">
        <f t="shared" si="93"/>
        <v>1.200000000000001E-3</v>
      </c>
      <c r="I614" s="154">
        <f t="shared" si="94"/>
        <v>1.3999999999999967E-3</v>
      </c>
      <c r="J614" s="154">
        <f t="shared" si="95"/>
        <v>-4.6999999999997043E-5</v>
      </c>
      <c r="K614" s="160">
        <f t="shared" si="96"/>
        <v>1.1999999999999966E-3</v>
      </c>
      <c r="L614" s="161">
        <f t="shared" si="97"/>
        <v>1.5444015444015413E-2</v>
      </c>
      <c r="M614" s="155">
        <f t="shared" si="98"/>
        <v>2.6373626373626502E-2</v>
      </c>
      <c r="N614" s="155">
        <f t="shared" si="99"/>
        <v>3.3653846153846034E-2</v>
      </c>
      <c r="O614" s="155">
        <f t="shared" si="100"/>
        <v>-1.1670639650376291E-3</v>
      </c>
      <c r="P614" s="162">
        <f t="shared" si="101"/>
        <v>3.0848329048843048E-2</v>
      </c>
    </row>
    <row r="615" spans="1:16">
      <c r="A615" s="319">
        <v>45091</v>
      </c>
      <c r="B615" s="31">
        <v>5.27</v>
      </c>
      <c r="C615" s="30">
        <v>4.74</v>
      </c>
      <c r="D615" s="30">
        <v>4.37</v>
      </c>
      <c r="E615" s="30">
        <v>4.1090999999999998</v>
      </c>
      <c r="F615" s="30">
        <v>4.0599999999999996</v>
      </c>
      <c r="G615" s="159">
        <f t="shared" si="92"/>
        <v>9.9999999999997863E-5</v>
      </c>
      <c r="H615" s="154">
        <f t="shared" si="93"/>
        <v>7.0000000000000281E-4</v>
      </c>
      <c r="I615" s="154">
        <f t="shared" si="94"/>
        <v>7.0000000000000281E-4</v>
      </c>
      <c r="J615" s="154">
        <f t="shared" si="95"/>
        <v>8.6599999999999785E-4</v>
      </c>
      <c r="K615" s="160">
        <f t="shared" si="96"/>
        <v>4.9999999999999828E-4</v>
      </c>
      <c r="L615" s="161">
        <f t="shared" si="97"/>
        <v>1.9011406844104961E-3</v>
      </c>
      <c r="M615" s="155">
        <f t="shared" si="98"/>
        <v>1.4989293361884481E-2</v>
      </c>
      <c r="N615" s="155">
        <f t="shared" si="99"/>
        <v>1.6279069767441978E-2</v>
      </c>
      <c r="O615" s="155">
        <f t="shared" si="100"/>
        <v>2.1528899937849566E-2</v>
      </c>
      <c r="P615" s="162">
        <f t="shared" si="101"/>
        <v>1.2468827930174564E-2</v>
      </c>
    </row>
    <row r="616" spans="1:16">
      <c r="A616" s="319">
        <v>45092</v>
      </c>
      <c r="B616" s="31">
        <v>5.21</v>
      </c>
      <c r="C616" s="30">
        <v>4.62</v>
      </c>
      <c r="D616" s="30">
        <v>4.2300000000000004</v>
      </c>
      <c r="E616" s="30">
        <v>4.1582999999999997</v>
      </c>
      <c r="F616" s="30">
        <v>3.91</v>
      </c>
      <c r="G616" s="159">
        <f t="shared" si="92"/>
        <v>-5.9999999999999604E-4</v>
      </c>
      <c r="H616" s="154">
        <f t="shared" si="93"/>
        <v>-1.200000000000001E-3</v>
      </c>
      <c r="I616" s="154">
        <f t="shared" si="94"/>
        <v>-1.3999999999999967E-3</v>
      </c>
      <c r="J616" s="154">
        <f t="shared" si="95"/>
        <v>4.9199999999999906E-4</v>
      </c>
      <c r="K616" s="160">
        <f t="shared" si="96"/>
        <v>-1.4999999999999946E-3</v>
      </c>
      <c r="L616" s="161">
        <f t="shared" si="97"/>
        <v>-1.1385199240986688E-2</v>
      </c>
      <c r="M616" s="155">
        <f t="shared" si="98"/>
        <v>-2.5316455696202556E-2</v>
      </c>
      <c r="N616" s="155">
        <f t="shared" si="99"/>
        <v>-3.203661327231111E-2</v>
      </c>
      <c r="O616" s="155">
        <f t="shared" si="100"/>
        <v>1.1973424837555591E-2</v>
      </c>
      <c r="P616" s="162">
        <f t="shared" si="101"/>
        <v>-3.6945812807881673E-2</v>
      </c>
    </row>
    <row r="617" spans="1:16">
      <c r="A617" s="319">
        <v>45093</v>
      </c>
      <c r="B617" s="31">
        <v>5.24</v>
      </c>
      <c r="C617" s="30">
        <v>4.7</v>
      </c>
      <c r="D617" s="30">
        <v>4.32</v>
      </c>
      <c r="E617" s="30">
        <v>4.0766</v>
      </c>
      <c r="F617" s="30">
        <v>3.99</v>
      </c>
      <c r="G617" s="159">
        <f t="shared" si="92"/>
        <v>3.0000000000000247E-4</v>
      </c>
      <c r="H617" s="154">
        <f t="shared" si="93"/>
        <v>8.0000000000000069E-4</v>
      </c>
      <c r="I617" s="154">
        <f t="shared" si="94"/>
        <v>8.9999999999999857E-4</v>
      </c>
      <c r="J617" s="154">
        <f t="shared" si="95"/>
        <v>-8.1699999999999666E-4</v>
      </c>
      <c r="K617" s="160">
        <f t="shared" si="96"/>
        <v>8.0000000000000069E-4</v>
      </c>
      <c r="L617" s="161">
        <f t="shared" si="97"/>
        <v>5.7581573896352545E-3</v>
      </c>
      <c r="M617" s="155">
        <f t="shared" si="98"/>
        <v>1.7316017316017396E-2</v>
      </c>
      <c r="N617" s="155">
        <f t="shared" si="99"/>
        <v>2.1276595744680771E-2</v>
      </c>
      <c r="O617" s="155">
        <f t="shared" si="100"/>
        <v>-1.9647452083784156E-2</v>
      </c>
      <c r="P617" s="162">
        <f t="shared" si="101"/>
        <v>2.0460358056265893E-2</v>
      </c>
    </row>
    <row r="618" spans="1:16">
      <c r="A618" s="319">
        <v>45097</v>
      </c>
      <c r="B618" s="31">
        <v>5.24</v>
      </c>
      <c r="C618" s="30">
        <v>4.68</v>
      </c>
      <c r="D618" s="30">
        <v>4.29</v>
      </c>
      <c r="E618" s="30">
        <v>4.1147</v>
      </c>
      <c r="F618" s="30">
        <v>3.96</v>
      </c>
      <c r="G618" s="159">
        <f t="shared" si="92"/>
        <v>0</v>
      </c>
      <c r="H618" s="154">
        <f t="shared" si="93"/>
        <v>-2.0000000000000462E-4</v>
      </c>
      <c r="I618" s="154">
        <f t="shared" si="94"/>
        <v>-3.0000000000000247E-4</v>
      </c>
      <c r="J618" s="154">
        <f t="shared" si="95"/>
        <v>3.8100000000000021E-4</v>
      </c>
      <c r="K618" s="160">
        <f t="shared" si="96"/>
        <v>-3.0000000000000247E-4</v>
      </c>
      <c r="L618" s="161">
        <f t="shared" si="97"/>
        <v>0</v>
      </c>
      <c r="M618" s="155">
        <f t="shared" si="98"/>
        <v>-4.2553191489362874E-3</v>
      </c>
      <c r="N618" s="155">
        <f t="shared" si="99"/>
        <v>-6.9444444444445308E-3</v>
      </c>
      <c r="O618" s="155">
        <f t="shared" si="100"/>
        <v>9.3460236471569758E-3</v>
      </c>
      <c r="P618" s="162">
        <f t="shared" si="101"/>
        <v>-7.5187969924812581E-3</v>
      </c>
    </row>
    <row r="619" spans="1:16">
      <c r="A619" s="319">
        <v>45098</v>
      </c>
      <c r="B619" s="31">
        <v>5.25</v>
      </c>
      <c r="C619" s="30">
        <v>4.68</v>
      </c>
      <c r="D619" s="30">
        <v>4.29</v>
      </c>
      <c r="E619" s="30" t="e">
        <f>NA()</f>
        <v>#N/A</v>
      </c>
      <c r="F619" s="30">
        <v>3.95</v>
      </c>
      <c r="G619" s="159">
        <f t="shared" si="92"/>
        <v>9.9999999999997863E-5</v>
      </c>
      <c r="H619" s="154">
        <f t="shared" si="93"/>
        <v>0</v>
      </c>
      <c r="I619" s="154">
        <f t="shared" si="94"/>
        <v>0</v>
      </c>
      <c r="J619" s="154" t="e">
        <f t="shared" si="95"/>
        <v>#N/A</v>
      </c>
      <c r="K619" s="160">
        <f t="shared" si="96"/>
        <v>-9.9999999999997863E-5</v>
      </c>
      <c r="L619" s="161">
        <f t="shared" si="97"/>
        <v>1.9083969465647499E-3</v>
      </c>
      <c r="M619" s="155">
        <f t="shared" si="98"/>
        <v>0</v>
      </c>
      <c r="N619" s="155">
        <f t="shared" si="99"/>
        <v>0</v>
      </c>
      <c r="O619" s="155" t="e">
        <f t="shared" si="100"/>
        <v>#N/A</v>
      </c>
      <c r="P619" s="162">
        <f t="shared" si="101"/>
        <v>-2.525252525252486E-3</v>
      </c>
    </row>
    <row r="620" spans="1:16">
      <c r="A620" s="319">
        <v>45099</v>
      </c>
      <c r="B620" s="31">
        <v>5.29</v>
      </c>
      <c r="C620" s="30">
        <v>4.7699999999999996</v>
      </c>
      <c r="D620" s="30">
        <v>4.37</v>
      </c>
      <c r="E620" s="30">
        <v>4.1085000000000003</v>
      </c>
      <c r="F620" s="30">
        <v>4.03</v>
      </c>
      <c r="G620" s="159">
        <f t="shared" si="92"/>
        <v>4.0000000000000034E-4</v>
      </c>
      <c r="H620" s="154">
        <f t="shared" si="93"/>
        <v>8.9999999999999857E-4</v>
      </c>
      <c r="I620" s="154">
        <f t="shared" si="94"/>
        <v>8.0000000000000069E-4</v>
      </c>
      <c r="J620" s="154" t="e">
        <f t="shared" si="95"/>
        <v>#N/A</v>
      </c>
      <c r="K620" s="160">
        <f t="shared" si="96"/>
        <v>8.0000000000000069E-4</v>
      </c>
      <c r="L620" s="161">
        <f t="shared" si="97"/>
        <v>7.6190476190476364E-3</v>
      </c>
      <c r="M620" s="155">
        <f t="shared" si="98"/>
        <v>1.9230769230769162E-2</v>
      </c>
      <c r="N620" s="155">
        <f t="shared" si="99"/>
        <v>1.8648018648018683E-2</v>
      </c>
      <c r="O620" s="155" t="e">
        <f t="shared" si="100"/>
        <v>#N/A</v>
      </c>
      <c r="P620" s="162">
        <f t="shared" si="101"/>
        <v>2.0253164556962133E-2</v>
      </c>
    </row>
    <row r="621" spans="1:16">
      <c r="A621" s="319">
        <v>45100</v>
      </c>
      <c r="B621" s="31">
        <v>5.25</v>
      </c>
      <c r="C621" s="30">
        <v>4.71</v>
      </c>
      <c r="D621" s="30">
        <v>4.32</v>
      </c>
      <c r="E621" s="30">
        <v>4.0994000000000002</v>
      </c>
      <c r="F621" s="30">
        <v>3.99</v>
      </c>
      <c r="G621" s="159">
        <f t="shared" si="92"/>
        <v>-4.0000000000000034E-4</v>
      </c>
      <c r="H621" s="154">
        <f t="shared" si="93"/>
        <v>-5.9999999999999604E-4</v>
      </c>
      <c r="I621" s="154">
        <f t="shared" si="94"/>
        <v>-4.9999999999999828E-4</v>
      </c>
      <c r="J621" s="154">
        <f t="shared" si="95"/>
        <v>-9.1000000000001074E-5</v>
      </c>
      <c r="K621" s="160">
        <f t="shared" si="96"/>
        <v>-4.0000000000000034E-4</v>
      </c>
      <c r="L621" s="161">
        <f t="shared" si="97"/>
        <v>-7.5614366729678251E-3</v>
      </c>
      <c r="M621" s="155">
        <f t="shared" si="98"/>
        <v>-1.2578616352201144E-2</v>
      </c>
      <c r="N621" s="155">
        <f t="shared" si="99"/>
        <v>-1.1441647597253968E-2</v>
      </c>
      <c r="O621" s="155">
        <f t="shared" si="100"/>
        <v>-2.2149202872094875E-3</v>
      </c>
      <c r="P621" s="162">
        <f t="shared" si="101"/>
        <v>-9.9255583126550695E-3</v>
      </c>
    </row>
    <row r="622" spans="1:16">
      <c r="A622" s="319">
        <v>45103</v>
      </c>
      <c r="B622" s="31">
        <v>5.27</v>
      </c>
      <c r="C622" s="30">
        <v>4.6500000000000004</v>
      </c>
      <c r="D622" s="30">
        <v>4.3</v>
      </c>
      <c r="E622" s="30">
        <v>4.1590999999999996</v>
      </c>
      <c r="F622" s="30">
        <v>3.96</v>
      </c>
      <c r="G622" s="159">
        <f t="shared" si="92"/>
        <v>1.9999999999999573E-4</v>
      </c>
      <c r="H622" s="154">
        <f t="shared" si="93"/>
        <v>-5.9999999999999604E-4</v>
      </c>
      <c r="I622" s="154">
        <f t="shared" si="94"/>
        <v>-2.0000000000000462E-4</v>
      </c>
      <c r="J622" s="154">
        <f t="shared" si="95"/>
        <v>5.9699999999999424E-4</v>
      </c>
      <c r="K622" s="160">
        <f t="shared" si="96"/>
        <v>-3.0000000000000247E-4</v>
      </c>
      <c r="L622" s="161">
        <f t="shared" si="97"/>
        <v>3.8095238095237072E-3</v>
      </c>
      <c r="M622" s="155">
        <f t="shared" si="98"/>
        <v>-1.27388535031846E-2</v>
      </c>
      <c r="N622" s="155">
        <f t="shared" si="99"/>
        <v>-4.6296296296297612E-3</v>
      </c>
      <c r="O622" s="155">
        <f t="shared" si="100"/>
        <v>1.4563106796116276E-2</v>
      </c>
      <c r="P622" s="162">
        <f t="shared" si="101"/>
        <v>-7.5187969924812581E-3</v>
      </c>
    </row>
    <row r="623" spans="1:16">
      <c r="A623" s="319">
        <v>45104</v>
      </c>
      <c r="B623" s="31">
        <v>5.33</v>
      </c>
      <c r="C623" s="30">
        <v>4.74</v>
      </c>
      <c r="D623" s="30">
        <v>4.38</v>
      </c>
      <c r="E623" s="30">
        <v>4.1441999999999997</v>
      </c>
      <c r="F623" s="30">
        <v>4.0199999999999996</v>
      </c>
      <c r="G623" s="159">
        <f t="shared" si="92"/>
        <v>6.0000000000000493E-4</v>
      </c>
      <c r="H623" s="154">
        <f t="shared" si="93"/>
        <v>8.9999999999999857E-4</v>
      </c>
      <c r="I623" s="154">
        <f t="shared" si="94"/>
        <v>8.0000000000000069E-4</v>
      </c>
      <c r="J623" s="154">
        <f t="shared" si="95"/>
        <v>-1.4899999999999912E-4</v>
      </c>
      <c r="K623" s="160">
        <f t="shared" si="96"/>
        <v>5.9999999999999604E-4</v>
      </c>
      <c r="L623" s="161">
        <f t="shared" si="97"/>
        <v>1.1385199240986799E-2</v>
      </c>
      <c r="M623" s="155">
        <f t="shared" si="98"/>
        <v>1.9354838709677358E-2</v>
      </c>
      <c r="N623" s="155">
        <f t="shared" si="99"/>
        <v>1.8604651162790642E-2</v>
      </c>
      <c r="O623" s="155">
        <f t="shared" si="100"/>
        <v>-3.5825058305882784E-3</v>
      </c>
      <c r="P623" s="162">
        <f t="shared" si="101"/>
        <v>1.5151515151515138E-2</v>
      </c>
    </row>
    <row r="624" spans="1:16">
      <c r="A624" s="319">
        <v>45105</v>
      </c>
      <c r="B624" s="31">
        <v>5.32</v>
      </c>
      <c r="C624" s="30">
        <v>4.71</v>
      </c>
      <c r="D624" s="30">
        <v>4.32</v>
      </c>
      <c r="E624" s="30">
        <v>4.1257999999999999</v>
      </c>
      <c r="F624" s="30">
        <v>3.97</v>
      </c>
      <c r="G624" s="159">
        <f t="shared" si="92"/>
        <v>-9.9999999999997863E-5</v>
      </c>
      <c r="H624" s="154">
        <f t="shared" si="93"/>
        <v>-3.0000000000000247E-4</v>
      </c>
      <c r="I624" s="154">
        <f t="shared" si="94"/>
        <v>-5.9999999999999604E-4</v>
      </c>
      <c r="J624" s="154">
        <f t="shared" si="95"/>
        <v>-1.8399999999999751E-4</v>
      </c>
      <c r="K624" s="160">
        <f t="shared" si="96"/>
        <v>-4.9999999999999383E-4</v>
      </c>
      <c r="L624" s="161">
        <f t="shared" si="97"/>
        <v>-1.8761726078798668E-3</v>
      </c>
      <c r="M624" s="155">
        <f t="shared" si="98"/>
        <v>-6.3291139240506666E-3</v>
      </c>
      <c r="N624" s="155">
        <f t="shared" si="99"/>
        <v>-1.3698630136986245E-2</v>
      </c>
      <c r="O624" s="155">
        <f t="shared" si="100"/>
        <v>-4.4399401573282926E-3</v>
      </c>
      <c r="P624" s="162">
        <f t="shared" si="101"/>
        <v>-1.243781094527352E-2</v>
      </c>
    </row>
    <row r="625" spans="1:16">
      <c r="A625" s="319">
        <v>45106</v>
      </c>
      <c r="B625" s="31">
        <v>5.41</v>
      </c>
      <c r="C625" s="30">
        <v>4.87</v>
      </c>
      <c r="D625" s="30">
        <v>4.49</v>
      </c>
      <c r="E625" s="30">
        <v>4.1668000000000003</v>
      </c>
      <c r="F625" s="30">
        <v>4.1399999999999997</v>
      </c>
      <c r="G625" s="159">
        <f t="shared" si="92"/>
        <v>8.9999999999999857E-4</v>
      </c>
      <c r="H625" s="154">
        <f t="shared" si="93"/>
        <v>1.6000000000000014E-3</v>
      </c>
      <c r="I625" s="154">
        <f t="shared" si="94"/>
        <v>1.6999999999999993E-3</v>
      </c>
      <c r="J625" s="154">
        <f t="shared" si="95"/>
        <v>4.1000000000000368E-4</v>
      </c>
      <c r="K625" s="160">
        <f t="shared" si="96"/>
        <v>1.6999999999999949E-3</v>
      </c>
      <c r="L625" s="161">
        <f t="shared" si="97"/>
        <v>1.6917293233082775E-2</v>
      </c>
      <c r="M625" s="155">
        <f t="shared" si="98"/>
        <v>3.3970276008492561E-2</v>
      </c>
      <c r="N625" s="155">
        <f t="shared" si="99"/>
        <v>3.935185185185186E-2</v>
      </c>
      <c r="O625" s="155">
        <f t="shared" si="100"/>
        <v>9.9374666731302241E-3</v>
      </c>
      <c r="P625" s="162">
        <f t="shared" si="101"/>
        <v>4.2821158690176109E-2</v>
      </c>
    </row>
    <row r="626" spans="1:16">
      <c r="A626" s="319">
        <v>45107</v>
      </c>
      <c r="B626" s="31">
        <v>5.4</v>
      </c>
      <c r="C626" s="30">
        <v>4.87</v>
      </c>
      <c r="D626" s="30">
        <v>4.49</v>
      </c>
      <c r="E626" s="30">
        <v>4.1367000000000003</v>
      </c>
      <c r="F626" s="30">
        <v>4.13</v>
      </c>
      <c r="G626" s="159">
        <f t="shared" si="92"/>
        <v>-9.9999999999997863E-5</v>
      </c>
      <c r="H626" s="154">
        <f t="shared" si="93"/>
        <v>0</v>
      </c>
      <c r="I626" s="154">
        <f t="shared" si="94"/>
        <v>0</v>
      </c>
      <c r="J626" s="154">
        <f t="shared" si="95"/>
        <v>-3.0100000000000016E-4</v>
      </c>
      <c r="K626" s="160">
        <f t="shared" si="96"/>
        <v>-9.9999999999997863E-5</v>
      </c>
      <c r="L626" s="161">
        <f t="shared" si="97"/>
        <v>-1.848428835489746E-3</v>
      </c>
      <c r="M626" s="155">
        <f t="shared" si="98"/>
        <v>0</v>
      </c>
      <c r="N626" s="155">
        <f t="shared" si="99"/>
        <v>0</v>
      </c>
      <c r="O626" s="155">
        <f t="shared" si="100"/>
        <v>-7.2237688393971267E-3</v>
      </c>
      <c r="P626" s="162">
        <f t="shared" si="101"/>
        <v>-2.4154589371979673E-3</v>
      </c>
    </row>
    <row r="627" spans="1:16">
      <c r="A627" s="319">
        <v>45110</v>
      </c>
      <c r="B627" s="31">
        <v>5.43</v>
      </c>
      <c r="C627" s="30">
        <v>4.9400000000000004</v>
      </c>
      <c r="D627" s="30">
        <v>4.5599999999999996</v>
      </c>
      <c r="E627" s="30">
        <v>4.2737999999999996</v>
      </c>
      <c r="F627" s="30">
        <v>4.1900000000000004</v>
      </c>
      <c r="G627" s="159">
        <f t="shared" si="92"/>
        <v>2.9999999999999363E-4</v>
      </c>
      <c r="H627" s="154">
        <f t="shared" si="93"/>
        <v>7.0000000000000281E-4</v>
      </c>
      <c r="I627" s="154">
        <f t="shared" si="94"/>
        <v>6.9999999999999392E-4</v>
      </c>
      <c r="J627" s="154">
        <f t="shared" si="95"/>
        <v>1.3709999999999933E-3</v>
      </c>
      <c r="K627" s="160">
        <f t="shared" si="96"/>
        <v>6.0000000000000493E-4</v>
      </c>
      <c r="L627" s="161">
        <f t="shared" si="97"/>
        <v>5.5555555555555358E-3</v>
      </c>
      <c r="M627" s="155">
        <f t="shared" si="98"/>
        <v>1.4373716632443578E-2</v>
      </c>
      <c r="N627" s="155">
        <f t="shared" si="99"/>
        <v>1.5590200445434244E-2</v>
      </c>
      <c r="O627" s="155">
        <f t="shared" si="100"/>
        <v>3.3142359852055714E-2</v>
      </c>
      <c r="P627" s="162">
        <f t="shared" si="101"/>
        <v>1.4527845036319764E-2</v>
      </c>
    </row>
    <row r="628" spans="1:16">
      <c r="A628" s="319">
        <v>45112</v>
      </c>
      <c r="B628" s="31">
        <v>5.4</v>
      </c>
      <c r="C628" s="30">
        <v>4.9400000000000004</v>
      </c>
      <c r="D628" s="30">
        <v>4.59</v>
      </c>
      <c r="E628" s="30">
        <v>4.2907999999999999</v>
      </c>
      <c r="F628" s="30">
        <v>4.25</v>
      </c>
      <c r="G628" s="159">
        <f t="shared" si="92"/>
        <v>-2.9999999999999363E-4</v>
      </c>
      <c r="H628" s="154">
        <f t="shared" si="93"/>
        <v>0</v>
      </c>
      <c r="I628" s="154">
        <f t="shared" si="94"/>
        <v>3.0000000000000247E-4</v>
      </c>
      <c r="J628" s="154">
        <f t="shared" si="95"/>
        <v>1.7000000000000348E-4</v>
      </c>
      <c r="K628" s="160">
        <f t="shared" si="96"/>
        <v>5.9999999999999604E-4</v>
      </c>
      <c r="L628" s="161">
        <f t="shared" si="97"/>
        <v>-5.5248618784529135E-3</v>
      </c>
      <c r="M628" s="155">
        <f t="shared" si="98"/>
        <v>0</v>
      </c>
      <c r="N628" s="155">
        <f t="shared" si="99"/>
        <v>6.5789473684210176E-3</v>
      </c>
      <c r="O628" s="155">
        <f t="shared" si="100"/>
        <v>3.9777247414478634E-3</v>
      </c>
      <c r="P628" s="162">
        <f t="shared" si="101"/>
        <v>1.4319809069212264E-2</v>
      </c>
    </row>
    <row r="629" spans="1:16">
      <c r="A629" s="319">
        <v>45113</v>
      </c>
      <c r="B629" s="31">
        <v>5.44</v>
      </c>
      <c r="C629" s="30">
        <v>4.99</v>
      </c>
      <c r="D629" s="30">
        <v>4.68</v>
      </c>
      <c r="E629" s="30">
        <v>4.3446999999999996</v>
      </c>
      <c r="F629" s="30">
        <v>4.37</v>
      </c>
      <c r="G629" s="159">
        <f t="shared" si="92"/>
        <v>4.0000000000000034E-4</v>
      </c>
      <c r="H629" s="154">
        <f t="shared" si="93"/>
        <v>4.9999999999999828E-4</v>
      </c>
      <c r="I629" s="154">
        <f t="shared" si="94"/>
        <v>8.9999999999999857E-4</v>
      </c>
      <c r="J629" s="154">
        <f t="shared" si="95"/>
        <v>5.3899999999999619E-4</v>
      </c>
      <c r="K629" s="160">
        <f t="shared" si="96"/>
        <v>1.200000000000001E-3</v>
      </c>
      <c r="L629" s="161">
        <f t="shared" si="97"/>
        <v>7.4074074074073071E-3</v>
      </c>
      <c r="M629" s="155">
        <f t="shared" si="98"/>
        <v>1.0121457489878471E-2</v>
      </c>
      <c r="N629" s="155">
        <f t="shared" si="99"/>
        <v>1.9607843137254832E-2</v>
      </c>
      <c r="O629" s="155">
        <f t="shared" si="100"/>
        <v>1.2561760044746739E-2</v>
      </c>
      <c r="P629" s="162">
        <f t="shared" si="101"/>
        <v>2.8235294117647136E-2</v>
      </c>
    </row>
    <row r="630" spans="1:16">
      <c r="A630" s="319">
        <v>45114</v>
      </c>
      <c r="B630" s="31">
        <v>5.41</v>
      </c>
      <c r="C630" s="30">
        <v>4.9400000000000004</v>
      </c>
      <c r="D630" s="30">
        <v>4.6399999999999997</v>
      </c>
      <c r="E630" s="30" t="e">
        <f>NA()</f>
        <v>#N/A</v>
      </c>
      <c r="F630" s="30">
        <v>4.3499999999999996</v>
      </c>
      <c r="G630" s="159">
        <f t="shared" si="92"/>
        <v>-3.0000000000000247E-4</v>
      </c>
      <c r="H630" s="154">
        <f t="shared" si="93"/>
        <v>-4.9999999999999828E-4</v>
      </c>
      <c r="I630" s="154">
        <f t="shared" si="94"/>
        <v>-4.0000000000000034E-4</v>
      </c>
      <c r="J630" s="154" t="e">
        <f t="shared" si="95"/>
        <v>#N/A</v>
      </c>
      <c r="K630" s="160">
        <f t="shared" si="96"/>
        <v>-2.0000000000000462E-4</v>
      </c>
      <c r="L630" s="161">
        <f t="shared" si="97"/>
        <v>-5.5147058823530326E-3</v>
      </c>
      <c r="M630" s="155">
        <f t="shared" si="98"/>
        <v>-1.0020040080160331E-2</v>
      </c>
      <c r="N630" s="155">
        <f t="shared" si="99"/>
        <v>-8.5470085470085166E-3</v>
      </c>
      <c r="O630" s="155" t="e">
        <f t="shared" si="100"/>
        <v>#N/A</v>
      </c>
      <c r="P630" s="162">
        <f t="shared" si="101"/>
        <v>-4.5766590389016981E-3</v>
      </c>
    </row>
    <row r="631" spans="1:16">
      <c r="A631" s="319">
        <v>45117</v>
      </c>
      <c r="B631" s="31">
        <v>5.38</v>
      </c>
      <c r="C631" s="30">
        <v>4.8499999999999996</v>
      </c>
      <c r="D631" s="30">
        <v>4.54</v>
      </c>
      <c r="E631" s="30">
        <v>4.3905000000000003</v>
      </c>
      <c r="F631" s="30">
        <v>4.25</v>
      </c>
      <c r="G631" s="159">
        <f t="shared" si="92"/>
        <v>-3.0000000000000247E-4</v>
      </c>
      <c r="H631" s="154">
        <f t="shared" si="93"/>
        <v>-9.0000000000000746E-4</v>
      </c>
      <c r="I631" s="154">
        <f t="shared" si="94"/>
        <v>-9.9999999999999655E-4</v>
      </c>
      <c r="J631" s="154" t="e">
        <f t="shared" si="95"/>
        <v>#N/A</v>
      </c>
      <c r="K631" s="160">
        <f t="shared" si="96"/>
        <v>-9.9999999999999655E-4</v>
      </c>
      <c r="L631" s="161">
        <f t="shared" si="97"/>
        <v>-5.5452865064695711E-3</v>
      </c>
      <c r="M631" s="155">
        <f t="shared" si="98"/>
        <v>-1.8218623481781493E-2</v>
      </c>
      <c r="N631" s="155">
        <f t="shared" si="99"/>
        <v>-2.1551724137930939E-2</v>
      </c>
      <c r="O631" s="155" t="e">
        <f t="shared" si="100"/>
        <v>#N/A</v>
      </c>
      <c r="P631" s="162">
        <f t="shared" si="101"/>
        <v>-2.2988505747126409E-2</v>
      </c>
    </row>
    <row r="632" spans="1:16">
      <c r="A632" s="319">
        <v>45118</v>
      </c>
      <c r="B632" s="31">
        <v>5.44</v>
      </c>
      <c r="C632" s="30">
        <v>4.88</v>
      </c>
      <c r="D632" s="30">
        <v>4.5199999999999996</v>
      </c>
      <c r="E632" s="30">
        <v>4.4749999999999996</v>
      </c>
      <c r="F632" s="30">
        <v>4.24</v>
      </c>
      <c r="G632" s="159">
        <f t="shared" si="92"/>
        <v>6.0000000000000493E-4</v>
      </c>
      <c r="H632" s="154">
        <f t="shared" si="93"/>
        <v>3.0000000000000247E-4</v>
      </c>
      <c r="I632" s="154">
        <f t="shared" si="94"/>
        <v>-2.0000000000000462E-4</v>
      </c>
      <c r="J632" s="154">
        <f t="shared" si="95"/>
        <v>8.4499999999999354E-4</v>
      </c>
      <c r="K632" s="160">
        <f t="shared" si="96"/>
        <v>-9.9999999999997863E-5</v>
      </c>
      <c r="L632" s="161">
        <f t="shared" si="97"/>
        <v>1.115241635687747E-2</v>
      </c>
      <c r="M632" s="155">
        <f t="shared" si="98"/>
        <v>6.1855670103092564E-3</v>
      </c>
      <c r="N632" s="155">
        <f t="shared" si="99"/>
        <v>-4.4052863436124801E-3</v>
      </c>
      <c r="O632" s="155">
        <f t="shared" si="100"/>
        <v>1.9246099533082539E-2</v>
      </c>
      <c r="P632" s="162">
        <f t="shared" si="101"/>
        <v>-2.3529411764705577E-3</v>
      </c>
    </row>
    <row r="633" spans="1:16">
      <c r="A633" s="319">
        <v>45119</v>
      </c>
      <c r="B633" s="31">
        <v>5.35</v>
      </c>
      <c r="C633" s="30">
        <v>4.72</v>
      </c>
      <c r="D633" s="30">
        <v>4.3600000000000003</v>
      </c>
      <c r="E633" s="30">
        <v>4.4741</v>
      </c>
      <c r="F633" s="30">
        <v>4.07</v>
      </c>
      <c r="G633" s="159">
        <f t="shared" si="92"/>
        <v>-9.0000000000000746E-4</v>
      </c>
      <c r="H633" s="154">
        <f t="shared" si="93"/>
        <v>-1.6000000000000014E-3</v>
      </c>
      <c r="I633" s="154">
        <f t="shared" si="94"/>
        <v>-1.5999999999999925E-3</v>
      </c>
      <c r="J633" s="154">
        <f t="shared" si="95"/>
        <v>-8.9999999999967883E-6</v>
      </c>
      <c r="K633" s="160">
        <f t="shared" si="96"/>
        <v>-1.6999999999999993E-3</v>
      </c>
      <c r="L633" s="161">
        <f t="shared" si="97"/>
        <v>-1.6544117647058987E-2</v>
      </c>
      <c r="M633" s="155">
        <f t="shared" si="98"/>
        <v>-3.2786885245901676E-2</v>
      </c>
      <c r="N633" s="155">
        <f t="shared" si="99"/>
        <v>-3.5398230088495408E-2</v>
      </c>
      <c r="O633" s="155">
        <f t="shared" si="100"/>
        <v>-2.0111731843563962E-4</v>
      </c>
      <c r="P633" s="162">
        <f t="shared" si="101"/>
        <v>-4.0094339622641528E-2</v>
      </c>
    </row>
    <row r="634" spans="1:16">
      <c r="A634" s="319">
        <v>45120</v>
      </c>
      <c r="B634" s="31">
        <v>5.27</v>
      </c>
      <c r="C634" s="30">
        <v>4.59</v>
      </c>
      <c r="D634" s="30">
        <v>4.21</v>
      </c>
      <c r="E634" s="30">
        <v>4.3996000000000004</v>
      </c>
      <c r="F634" s="30">
        <v>3.93</v>
      </c>
      <c r="G634" s="159">
        <f t="shared" si="92"/>
        <v>-8.0000000000000069E-4</v>
      </c>
      <c r="H634" s="154">
        <f t="shared" si="93"/>
        <v>-1.2999999999999989E-3</v>
      </c>
      <c r="I634" s="154">
        <f t="shared" si="94"/>
        <v>-1.5000000000000035E-3</v>
      </c>
      <c r="J634" s="154">
        <f t="shared" si="95"/>
        <v>-7.4499999999999567E-4</v>
      </c>
      <c r="K634" s="160">
        <f t="shared" si="96"/>
        <v>-1.4000000000000013E-3</v>
      </c>
      <c r="L634" s="161">
        <f t="shared" si="97"/>
        <v>-1.4953271028037451E-2</v>
      </c>
      <c r="M634" s="155">
        <f t="shared" si="98"/>
        <v>-2.7542372881355859E-2</v>
      </c>
      <c r="N634" s="155">
        <f t="shared" si="99"/>
        <v>-3.4403669724770714E-2</v>
      </c>
      <c r="O634" s="155">
        <f t="shared" si="100"/>
        <v>-1.6651393576361584E-2</v>
      </c>
      <c r="P634" s="162">
        <f t="shared" si="101"/>
        <v>-3.4398034398034461E-2</v>
      </c>
    </row>
    <row r="635" spans="1:16">
      <c r="A635" s="319">
        <v>45121</v>
      </c>
      <c r="B635" s="31">
        <v>5.34</v>
      </c>
      <c r="C635" s="30">
        <v>4.74</v>
      </c>
      <c r="D635" s="30">
        <v>4.3499999999999996</v>
      </c>
      <c r="E635" s="30">
        <v>4.3780000000000001</v>
      </c>
      <c r="F635" s="30">
        <v>4.04</v>
      </c>
      <c r="G635" s="159">
        <f t="shared" si="92"/>
        <v>7.0000000000000281E-4</v>
      </c>
      <c r="H635" s="154">
        <f t="shared" si="93"/>
        <v>1.5000000000000035E-3</v>
      </c>
      <c r="I635" s="154">
        <f t="shared" si="94"/>
        <v>1.3999999999999967E-3</v>
      </c>
      <c r="J635" s="154">
        <f t="shared" si="95"/>
        <v>-2.1600000000000287E-4</v>
      </c>
      <c r="K635" s="160">
        <f t="shared" si="96"/>
        <v>1.0999999999999988E-3</v>
      </c>
      <c r="L635" s="161">
        <f t="shared" si="97"/>
        <v>1.3282732447817969E-2</v>
      </c>
      <c r="M635" s="155">
        <f t="shared" si="98"/>
        <v>3.2679738562091609E-2</v>
      </c>
      <c r="N635" s="155">
        <f t="shared" si="99"/>
        <v>3.3254156769596088E-2</v>
      </c>
      <c r="O635" s="155">
        <f t="shared" si="100"/>
        <v>-4.9095372306573459E-3</v>
      </c>
      <c r="P635" s="162">
        <f t="shared" si="101"/>
        <v>2.7989821882951516E-2</v>
      </c>
    </row>
    <row r="636" spans="1:16">
      <c r="A636" s="319">
        <v>45124</v>
      </c>
      <c r="B636" s="31">
        <v>5.33</v>
      </c>
      <c r="C636" s="30">
        <v>4.74</v>
      </c>
      <c r="D636" s="30">
        <v>4.34</v>
      </c>
      <c r="E636" s="30">
        <v>4.2483000000000004</v>
      </c>
      <c r="F636" s="30">
        <v>4.0199999999999996</v>
      </c>
      <c r="G636" s="159">
        <f t="shared" si="92"/>
        <v>-9.9999999999997863E-5</v>
      </c>
      <c r="H636" s="154">
        <f t="shared" si="93"/>
        <v>0</v>
      </c>
      <c r="I636" s="154">
        <f t="shared" si="94"/>
        <v>-9.9999999999997863E-5</v>
      </c>
      <c r="J636" s="154">
        <f t="shared" si="95"/>
        <v>-1.2969999999999969E-3</v>
      </c>
      <c r="K636" s="160">
        <f t="shared" si="96"/>
        <v>-2.0000000000000462E-4</v>
      </c>
      <c r="L636" s="161">
        <f t="shared" si="97"/>
        <v>-1.8726591760299671E-3</v>
      </c>
      <c r="M636" s="155">
        <f t="shared" si="98"/>
        <v>0</v>
      </c>
      <c r="N636" s="155">
        <f t="shared" si="99"/>
        <v>-2.2988505747125743E-3</v>
      </c>
      <c r="O636" s="155">
        <f t="shared" si="100"/>
        <v>-2.9625399725902168E-2</v>
      </c>
      <c r="P636" s="162">
        <f t="shared" si="101"/>
        <v>-4.9504950495050659E-3</v>
      </c>
    </row>
    <row r="637" spans="1:16">
      <c r="A637" s="319">
        <v>45125</v>
      </c>
      <c r="B637" s="31">
        <v>5.32</v>
      </c>
      <c r="C637" s="30">
        <v>4.74</v>
      </c>
      <c r="D637" s="30">
        <v>4.3499999999999996</v>
      </c>
      <c r="E637" s="30">
        <v>4.1146000000000003</v>
      </c>
      <c r="F637" s="30">
        <v>4</v>
      </c>
      <c r="G637" s="159">
        <f t="shared" si="92"/>
        <v>-9.9999999999997863E-5</v>
      </c>
      <c r="H637" s="154">
        <f t="shared" si="93"/>
        <v>0</v>
      </c>
      <c r="I637" s="154">
        <f t="shared" si="94"/>
        <v>9.9999999999997863E-5</v>
      </c>
      <c r="J637" s="154">
        <f t="shared" si="95"/>
        <v>-1.3370000000000016E-3</v>
      </c>
      <c r="K637" s="160">
        <f t="shared" si="96"/>
        <v>-1.9999999999999573E-4</v>
      </c>
      <c r="L637" s="161">
        <f t="shared" si="97"/>
        <v>-1.8761726078798668E-3</v>
      </c>
      <c r="M637" s="155">
        <f t="shared" si="98"/>
        <v>0</v>
      </c>
      <c r="N637" s="155">
        <f t="shared" si="99"/>
        <v>2.3041474654377225E-3</v>
      </c>
      <c r="O637" s="155">
        <f t="shared" si="100"/>
        <v>-3.1471412094249529E-2</v>
      </c>
      <c r="P637" s="162">
        <f t="shared" si="101"/>
        <v>-4.9751243781093191E-3</v>
      </c>
    </row>
    <row r="638" spans="1:16">
      <c r="A638" s="319">
        <v>45126</v>
      </c>
      <c r="B638" s="31">
        <v>5.32</v>
      </c>
      <c r="C638" s="30">
        <v>4.74</v>
      </c>
      <c r="D638" s="30">
        <v>4.34</v>
      </c>
      <c r="E638" s="30">
        <v>4.1581999999999999</v>
      </c>
      <c r="F638" s="30">
        <v>3.98</v>
      </c>
      <c r="G638" s="159">
        <f t="shared" si="92"/>
        <v>0</v>
      </c>
      <c r="H638" s="154">
        <f t="shared" si="93"/>
        <v>0</v>
      </c>
      <c r="I638" s="154">
        <f t="shared" si="94"/>
        <v>-9.9999999999997863E-5</v>
      </c>
      <c r="J638" s="154">
        <f t="shared" si="95"/>
        <v>4.3599999999999639E-4</v>
      </c>
      <c r="K638" s="160">
        <f t="shared" si="96"/>
        <v>-2.0000000000000017E-4</v>
      </c>
      <c r="L638" s="161">
        <f t="shared" si="97"/>
        <v>0</v>
      </c>
      <c r="M638" s="155">
        <f t="shared" si="98"/>
        <v>0</v>
      </c>
      <c r="N638" s="155">
        <f t="shared" si="99"/>
        <v>-2.2988505747125743E-3</v>
      </c>
      <c r="O638" s="155">
        <f t="shared" si="100"/>
        <v>1.0596412774024122E-2</v>
      </c>
      <c r="P638" s="162">
        <f t="shared" si="101"/>
        <v>-5.0000000000000044E-3</v>
      </c>
    </row>
    <row r="639" spans="1:16">
      <c r="A639" s="319">
        <v>45127</v>
      </c>
      <c r="B639" s="31">
        <v>5.35</v>
      </c>
      <c r="C639" s="30">
        <v>4.8</v>
      </c>
      <c r="D639" s="30">
        <v>4.43</v>
      </c>
      <c r="E639" s="30">
        <v>4.1516000000000002</v>
      </c>
      <c r="F639" s="30">
        <v>4.08</v>
      </c>
      <c r="G639" s="159">
        <f t="shared" si="92"/>
        <v>2.9999999999999363E-4</v>
      </c>
      <c r="H639" s="154">
        <f t="shared" si="93"/>
        <v>5.9999999999999604E-4</v>
      </c>
      <c r="I639" s="154">
        <f t="shared" si="94"/>
        <v>8.9999999999999857E-4</v>
      </c>
      <c r="J639" s="154">
        <f t="shared" si="95"/>
        <v>-6.5999999999997173E-5</v>
      </c>
      <c r="K639" s="160">
        <f t="shared" si="96"/>
        <v>1.0000000000000009E-3</v>
      </c>
      <c r="L639" s="161">
        <f t="shared" si="97"/>
        <v>5.639097744360777E-3</v>
      </c>
      <c r="M639" s="155">
        <f t="shared" si="98"/>
        <v>1.2658227848101111E-2</v>
      </c>
      <c r="N639" s="155">
        <f t="shared" si="99"/>
        <v>2.0737327188940169E-2</v>
      </c>
      <c r="O639" s="155">
        <f t="shared" si="100"/>
        <v>-1.5872252416910815E-3</v>
      </c>
      <c r="P639" s="162">
        <f t="shared" si="101"/>
        <v>2.5125628140703515E-2</v>
      </c>
    </row>
    <row r="640" spans="1:16">
      <c r="A640" s="319">
        <v>45128</v>
      </c>
      <c r="B640" s="31">
        <v>5.35</v>
      </c>
      <c r="C640" s="30">
        <v>4.82</v>
      </c>
      <c r="D640" s="30">
        <v>4.4400000000000004</v>
      </c>
      <c r="E640" s="30">
        <v>4.1413000000000002</v>
      </c>
      <c r="F640" s="30">
        <v>4.09</v>
      </c>
      <c r="G640" s="159">
        <f t="shared" si="92"/>
        <v>0</v>
      </c>
      <c r="H640" s="154">
        <f t="shared" si="93"/>
        <v>2.0000000000000462E-4</v>
      </c>
      <c r="I640" s="154">
        <f t="shared" si="94"/>
        <v>1.0000000000000675E-4</v>
      </c>
      <c r="J640" s="154">
        <f t="shared" si="95"/>
        <v>-1.0299999999999975E-4</v>
      </c>
      <c r="K640" s="160">
        <f t="shared" si="96"/>
        <v>9.9999999999997863E-5</v>
      </c>
      <c r="L640" s="161">
        <f t="shared" si="97"/>
        <v>0</v>
      </c>
      <c r="M640" s="155">
        <f t="shared" si="98"/>
        <v>4.1666666666668739E-3</v>
      </c>
      <c r="N640" s="155">
        <f t="shared" si="99"/>
        <v>2.2573363431153126E-3</v>
      </c>
      <c r="O640" s="155">
        <f t="shared" si="100"/>
        <v>-2.4809711918296617E-3</v>
      </c>
      <c r="P640" s="162">
        <f t="shared" si="101"/>
        <v>2.450980392156854E-3</v>
      </c>
    </row>
    <row r="641" spans="1:16">
      <c r="A641" s="319">
        <v>45131</v>
      </c>
      <c r="B641" s="31">
        <v>5.38</v>
      </c>
      <c r="C641" s="30">
        <v>4.8099999999999996</v>
      </c>
      <c r="D641" s="30">
        <v>4.4800000000000004</v>
      </c>
      <c r="E641" s="30">
        <v>4.1204000000000001</v>
      </c>
      <c r="F641" s="30">
        <v>4.13</v>
      </c>
      <c r="G641" s="159">
        <f t="shared" si="92"/>
        <v>3.0000000000000247E-4</v>
      </c>
      <c r="H641" s="154">
        <f t="shared" si="93"/>
        <v>-1.0000000000000675E-4</v>
      </c>
      <c r="I641" s="154">
        <f t="shared" si="94"/>
        <v>4.0000000000000034E-4</v>
      </c>
      <c r="J641" s="154">
        <f t="shared" si="95"/>
        <v>-2.0900000000000139E-4</v>
      </c>
      <c r="K641" s="160">
        <f t="shared" si="96"/>
        <v>4.0000000000000034E-4</v>
      </c>
      <c r="L641" s="161">
        <f t="shared" si="97"/>
        <v>5.6074766355140859E-3</v>
      </c>
      <c r="M641" s="155">
        <f t="shared" si="98"/>
        <v>-2.0746887966806016E-3</v>
      </c>
      <c r="N641" s="155">
        <f t="shared" si="99"/>
        <v>9.009009009008917E-3</v>
      </c>
      <c r="O641" s="155">
        <f t="shared" si="100"/>
        <v>-5.0467244585034043E-3</v>
      </c>
      <c r="P641" s="162">
        <f t="shared" si="101"/>
        <v>9.7799511002445438E-3</v>
      </c>
    </row>
    <row r="642" spans="1:16">
      <c r="A642" s="319">
        <v>45132</v>
      </c>
      <c r="B642" s="31">
        <v>5.38</v>
      </c>
      <c r="C642" s="30">
        <v>4.8499999999999996</v>
      </c>
      <c r="D642" s="30">
        <v>4.53</v>
      </c>
      <c r="E642" s="30">
        <v>4.1887999999999996</v>
      </c>
      <c r="F642" s="30">
        <v>4.1500000000000004</v>
      </c>
      <c r="G642" s="159">
        <f t="shared" si="92"/>
        <v>0</v>
      </c>
      <c r="H642" s="154">
        <f t="shared" si="93"/>
        <v>4.0000000000000034E-4</v>
      </c>
      <c r="I642" s="154">
        <f t="shared" si="94"/>
        <v>4.9999999999999828E-4</v>
      </c>
      <c r="J642" s="154">
        <f t="shared" si="95"/>
        <v>6.839999999999957E-4</v>
      </c>
      <c r="K642" s="160">
        <f t="shared" si="96"/>
        <v>2.0000000000000462E-4</v>
      </c>
      <c r="L642" s="161">
        <f t="shared" si="97"/>
        <v>0</v>
      </c>
      <c r="M642" s="155">
        <f t="shared" si="98"/>
        <v>8.3160083160083165E-3</v>
      </c>
      <c r="N642" s="155">
        <f t="shared" si="99"/>
        <v>1.1160714285714191E-2</v>
      </c>
      <c r="O642" s="155">
        <f t="shared" si="100"/>
        <v>1.6600330065042135E-2</v>
      </c>
      <c r="P642" s="162">
        <f t="shared" si="101"/>
        <v>4.8426150121065881E-3</v>
      </c>
    </row>
    <row r="643" spans="1:16">
      <c r="A643" s="319">
        <v>45133</v>
      </c>
      <c r="B643" s="31">
        <v>5.37</v>
      </c>
      <c r="C643" s="30">
        <v>4.82</v>
      </c>
      <c r="D643" s="30">
        <v>4.47</v>
      </c>
      <c r="E643" s="30">
        <v>4.2103000000000002</v>
      </c>
      <c r="F643" s="30">
        <v>4.09</v>
      </c>
      <c r="G643" s="159">
        <f t="shared" si="92"/>
        <v>-9.9999999999997863E-5</v>
      </c>
      <c r="H643" s="154">
        <f t="shared" si="93"/>
        <v>-2.9999999999999363E-4</v>
      </c>
      <c r="I643" s="154">
        <f t="shared" si="94"/>
        <v>-6.0000000000000493E-4</v>
      </c>
      <c r="J643" s="154">
        <f t="shared" si="95"/>
        <v>2.150000000000052E-4</v>
      </c>
      <c r="K643" s="160">
        <f t="shared" si="96"/>
        <v>-6.0000000000000493E-4</v>
      </c>
      <c r="L643" s="161">
        <f t="shared" si="97"/>
        <v>-1.8587360594795044E-3</v>
      </c>
      <c r="M643" s="155">
        <f t="shared" si="98"/>
        <v>-6.1855670103091454E-3</v>
      </c>
      <c r="N643" s="155">
        <f t="shared" si="99"/>
        <v>-1.3245033112582849E-2</v>
      </c>
      <c r="O643" s="155">
        <f t="shared" si="100"/>
        <v>5.1327349121468302E-3</v>
      </c>
      <c r="P643" s="162">
        <f t="shared" si="101"/>
        <v>-1.4457831325301318E-2</v>
      </c>
    </row>
    <row r="644" spans="1:16">
      <c r="A644" s="319">
        <v>45134</v>
      </c>
      <c r="B644" s="31">
        <v>5.4</v>
      </c>
      <c r="C644" s="30">
        <v>4.91</v>
      </c>
      <c r="D644" s="30">
        <v>4.58</v>
      </c>
      <c r="E644" s="30">
        <v>4.2526999999999999</v>
      </c>
      <c r="F644" s="30">
        <v>4.24</v>
      </c>
      <c r="G644" s="159">
        <f t="shared" ref="G644:G707" si="102">(B644-B643)/100</f>
        <v>3.0000000000000247E-4</v>
      </c>
      <c r="H644" s="154">
        <f t="shared" ref="H644:H707" si="103">(C644-C643)/100</f>
        <v>8.9999999999999857E-4</v>
      </c>
      <c r="I644" s="154">
        <f t="shared" ref="I644:I707" si="104">(D644-D643)/100</f>
        <v>1.1000000000000031E-3</v>
      </c>
      <c r="J644" s="154">
        <f t="shared" ref="J644:J707" si="105">(E644-E643)/100</f>
        <v>4.2399999999999773E-4</v>
      </c>
      <c r="K644" s="160">
        <f t="shared" ref="K644:K707" si="106">(F644-F643)/100</f>
        <v>1.5000000000000035E-3</v>
      </c>
      <c r="L644" s="161">
        <f t="shared" ref="L644:L707" si="107">(B644/B643)-1</f>
        <v>5.5865921787709993E-3</v>
      </c>
      <c r="M644" s="155">
        <f t="shared" ref="M644:M707" si="108">(C644/C643)-1</f>
        <v>1.8672199170124415E-2</v>
      </c>
      <c r="N644" s="155">
        <f t="shared" ref="N644:N707" si="109">(D644/D643)-1</f>
        <v>2.4608501118568382E-2</v>
      </c>
      <c r="O644" s="155">
        <f t="shared" ref="O644:O707" si="110">(E644/E643)-1</f>
        <v>1.0070541291594459E-2</v>
      </c>
      <c r="P644" s="162">
        <f t="shared" ref="P644:P707" si="111">(F644/F643)-1</f>
        <v>3.6674816625916984E-2</v>
      </c>
    </row>
    <row r="645" spans="1:16">
      <c r="A645" s="319">
        <v>45135</v>
      </c>
      <c r="B645" s="31">
        <v>5.37</v>
      </c>
      <c r="C645" s="30">
        <v>4.87</v>
      </c>
      <c r="D645" s="30">
        <v>4.5199999999999996</v>
      </c>
      <c r="E645" s="30">
        <v>4.3005000000000004</v>
      </c>
      <c r="F645" s="30">
        <v>4.18</v>
      </c>
      <c r="G645" s="159">
        <f t="shared" si="102"/>
        <v>-3.0000000000000247E-4</v>
      </c>
      <c r="H645" s="154">
        <f t="shared" si="103"/>
        <v>-4.0000000000000034E-4</v>
      </c>
      <c r="I645" s="154">
        <f t="shared" si="104"/>
        <v>-6.0000000000000493E-4</v>
      </c>
      <c r="J645" s="154">
        <f t="shared" si="105"/>
        <v>4.7800000000000511E-4</v>
      </c>
      <c r="K645" s="160">
        <f t="shared" si="106"/>
        <v>-6.0000000000000493E-4</v>
      </c>
      <c r="L645" s="161">
        <f t="shared" si="107"/>
        <v>-5.5555555555556468E-3</v>
      </c>
      <c r="M645" s="155">
        <f t="shared" si="108"/>
        <v>-8.1466395112016476E-3</v>
      </c>
      <c r="N645" s="155">
        <f t="shared" si="109"/>
        <v>-1.3100436681222849E-2</v>
      </c>
      <c r="O645" s="155">
        <f t="shared" si="110"/>
        <v>1.1239918169633434E-2</v>
      </c>
      <c r="P645" s="162">
        <f t="shared" si="111"/>
        <v>-1.4150943396226578E-2</v>
      </c>
    </row>
    <row r="646" spans="1:16">
      <c r="A646" s="319">
        <v>45138</v>
      </c>
      <c r="B646" s="31">
        <v>5.37</v>
      </c>
      <c r="C646" s="30">
        <v>4.88</v>
      </c>
      <c r="D646" s="30">
        <v>4.51</v>
      </c>
      <c r="E646" s="30">
        <v>4.2709999999999999</v>
      </c>
      <c r="F646" s="30">
        <v>4.18</v>
      </c>
      <c r="G646" s="159">
        <f t="shared" si="102"/>
        <v>0</v>
      </c>
      <c r="H646" s="154">
        <f t="shared" si="103"/>
        <v>9.9999999999997863E-5</v>
      </c>
      <c r="I646" s="154">
        <f t="shared" si="104"/>
        <v>-9.9999999999997863E-5</v>
      </c>
      <c r="J646" s="154">
        <f t="shared" si="105"/>
        <v>-2.9500000000000527E-4</v>
      </c>
      <c r="K646" s="160">
        <f t="shared" si="106"/>
        <v>0</v>
      </c>
      <c r="L646" s="161">
        <f t="shared" si="107"/>
        <v>0</v>
      </c>
      <c r="M646" s="155">
        <f t="shared" si="108"/>
        <v>2.0533880903490509E-3</v>
      </c>
      <c r="N646" s="155">
        <f t="shared" si="109"/>
        <v>-2.2123893805309214E-3</v>
      </c>
      <c r="O646" s="155">
        <f t="shared" si="110"/>
        <v>-6.8596674805256885E-3</v>
      </c>
      <c r="P646" s="162">
        <f t="shared" si="111"/>
        <v>0</v>
      </c>
    </row>
    <row r="647" spans="1:16">
      <c r="A647" s="319">
        <v>45139</v>
      </c>
      <c r="B647" s="31">
        <v>5.38</v>
      </c>
      <c r="C647" s="30">
        <v>4.92</v>
      </c>
      <c r="D647" s="30">
        <v>4.57</v>
      </c>
      <c r="E647" s="30">
        <v>4.3616999999999999</v>
      </c>
      <c r="F647" s="30">
        <v>4.24</v>
      </c>
      <c r="G647" s="159">
        <f t="shared" si="102"/>
        <v>9.9999999999997863E-5</v>
      </c>
      <c r="H647" s="154">
        <f t="shared" si="103"/>
        <v>4.0000000000000034E-4</v>
      </c>
      <c r="I647" s="154">
        <f t="shared" si="104"/>
        <v>6.0000000000000493E-4</v>
      </c>
      <c r="J647" s="154">
        <f t="shared" si="105"/>
        <v>9.0700000000000004E-4</v>
      </c>
      <c r="K647" s="160">
        <f t="shared" si="106"/>
        <v>6.0000000000000493E-4</v>
      </c>
      <c r="L647" s="161">
        <f t="shared" si="107"/>
        <v>1.8621973929235924E-3</v>
      </c>
      <c r="M647" s="155">
        <f t="shared" si="108"/>
        <v>8.1967213114753079E-3</v>
      </c>
      <c r="N647" s="155">
        <f t="shared" si="109"/>
        <v>1.330376940133049E-2</v>
      </c>
      <c r="O647" s="155">
        <f t="shared" si="110"/>
        <v>2.1236244439241325E-2</v>
      </c>
      <c r="P647" s="162">
        <f t="shared" si="111"/>
        <v>1.4354066985646119E-2</v>
      </c>
    </row>
    <row r="648" spans="1:16">
      <c r="A648" s="319">
        <v>45140</v>
      </c>
      <c r="B648" s="31">
        <v>5.36</v>
      </c>
      <c r="C648" s="30">
        <v>4.88</v>
      </c>
      <c r="D648" s="30">
        <v>4.54</v>
      </c>
      <c r="E648" s="30">
        <v>4.3342999999999998</v>
      </c>
      <c r="F648" s="30">
        <v>4.24</v>
      </c>
      <c r="G648" s="159">
        <f t="shared" si="102"/>
        <v>-1.9999999999999573E-4</v>
      </c>
      <c r="H648" s="154">
        <f t="shared" si="103"/>
        <v>-4.0000000000000034E-4</v>
      </c>
      <c r="I648" s="154">
        <f t="shared" si="104"/>
        <v>-3.0000000000000247E-4</v>
      </c>
      <c r="J648" s="154">
        <f t="shared" si="105"/>
        <v>-2.7400000000000091E-4</v>
      </c>
      <c r="K648" s="160">
        <f t="shared" si="106"/>
        <v>0</v>
      </c>
      <c r="L648" s="161">
        <f t="shared" si="107"/>
        <v>-3.7174721189590088E-3</v>
      </c>
      <c r="M648" s="155">
        <f t="shared" si="108"/>
        <v>-8.1300813008130524E-3</v>
      </c>
      <c r="N648" s="155">
        <f t="shared" si="109"/>
        <v>-6.5645514223194867E-3</v>
      </c>
      <c r="O648" s="155">
        <f t="shared" si="110"/>
        <v>-6.2819542838801201E-3</v>
      </c>
      <c r="P648" s="162">
        <f t="shared" si="111"/>
        <v>0</v>
      </c>
    </row>
    <row r="649" spans="1:16">
      <c r="A649" s="319">
        <v>45141</v>
      </c>
      <c r="B649" s="31">
        <v>5.37</v>
      </c>
      <c r="C649" s="30">
        <v>4.9000000000000004</v>
      </c>
      <c r="D649" s="30">
        <v>4.58</v>
      </c>
      <c r="E649" s="30">
        <v>4.33</v>
      </c>
      <c r="F649" s="30">
        <v>4.3</v>
      </c>
      <c r="G649" s="159">
        <f t="shared" si="102"/>
        <v>9.9999999999997863E-5</v>
      </c>
      <c r="H649" s="154">
        <f t="shared" si="103"/>
        <v>2.0000000000000462E-4</v>
      </c>
      <c r="I649" s="154">
        <f t="shared" si="104"/>
        <v>4.0000000000000034E-4</v>
      </c>
      <c r="J649" s="154">
        <f t="shared" si="105"/>
        <v>-4.2999999999997488E-5</v>
      </c>
      <c r="K649" s="160">
        <f t="shared" si="106"/>
        <v>5.9999999999999604E-4</v>
      </c>
      <c r="L649" s="161">
        <f t="shared" si="107"/>
        <v>1.8656716417910779E-3</v>
      </c>
      <c r="M649" s="155">
        <f t="shared" si="108"/>
        <v>4.098360655737876E-3</v>
      </c>
      <c r="N649" s="155">
        <f t="shared" si="109"/>
        <v>8.8105726872247381E-3</v>
      </c>
      <c r="O649" s="155">
        <f t="shared" si="110"/>
        <v>-9.9208638073033928E-4</v>
      </c>
      <c r="P649" s="162">
        <f t="shared" si="111"/>
        <v>1.4150943396226356E-2</v>
      </c>
    </row>
    <row r="650" spans="1:16">
      <c r="A650" s="319">
        <v>45142</v>
      </c>
      <c r="B650" s="31">
        <v>5.33</v>
      </c>
      <c r="C650" s="30">
        <v>4.78</v>
      </c>
      <c r="D650" s="30">
        <v>4.45</v>
      </c>
      <c r="E650" s="30">
        <v>4.3784999999999998</v>
      </c>
      <c r="F650" s="30">
        <v>4.1500000000000004</v>
      </c>
      <c r="G650" s="159">
        <f t="shared" si="102"/>
        <v>-4.0000000000000034E-4</v>
      </c>
      <c r="H650" s="154">
        <f t="shared" si="103"/>
        <v>-1.200000000000001E-3</v>
      </c>
      <c r="I650" s="154">
        <f t="shared" si="104"/>
        <v>-1.2999999999999989E-3</v>
      </c>
      <c r="J650" s="154">
        <f t="shared" si="105"/>
        <v>4.8499999999999764E-4</v>
      </c>
      <c r="K650" s="160">
        <f t="shared" si="106"/>
        <v>-1.4999999999999946E-3</v>
      </c>
      <c r="L650" s="161">
        <f t="shared" si="107"/>
        <v>-7.4487895716945918E-3</v>
      </c>
      <c r="M650" s="155">
        <f t="shared" si="108"/>
        <v>-2.4489795918367419E-2</v>
      </c>
      <c r="N650" s="155">
        <f t="shared" si="109"/>
        <v>-2.8384279475982543E-2</v>
      </c>
      <c r="O650" s="155">
        <f t="shared" si="110"/>
        <v>1.1200923787528794E-2</v>
      </c>
      <c r="P650" s="162">
        <f t="shared" si="111"/>
        <v>-3.4883720930232398E-2</v>
      </c>
    </row>
    <row r="651" spans="1:16">
      <c r="A651" s="319">
        <v>45145</v>
      </c>
      <c r="B651" s="31">
        <v>5.3</v>
      </c>
      <c r="C651" s="30">
        <v>4.76</v>
      </c>
      <c r="D651" s="30">
        <v>4.4400000000000004</v>
      </c>
      <c r="E651" s="30">
        <v>4.3753000000000002</v>
      </c>
      <c r="F651" s="30">
        <v>4.16</v>
      </c>
      <c r="G651" s="159">
        <f t="shared" si="102"/>
        <v>-3.0000000000000247E-4</v>
      </c>
      <c r="H651" s="154">
        <f t="shared" si="103"/>
        <v>-2.0000000000000462E-4</v>
      </c>
      <c r="I651" s="154">
        <f t="shared" si="104"/>
        <v>-9.9999999999997863E-5</v>
      </c>
      <c r="J651" s="154">
        <f t="shared" si="105"/>
        <v>-3.1999999999996475E-5</v>
      </c>
      <c r="K651" s="160">
        <f t="shared" si="106"/>
        <v>9.9999999999997863E-5</v>
      </c>
      <c r="L651" s="161">
        <f t="shared" si="107"/>
        <v>-5.6285178236398226E-3</v>
      </c>
      <c r="M651" s="155">
        <f t="shared" si="108"/>
        <v>-4.1841004184101083E-3</v>
      </c>
      <c r="N651" s="155">
        <f t="shared" si="109"/>
        <v>-2.2471910112359383E-3</v>
      </c>
      <c r="O651" s="155">
        <f t="shared" si="110"/>
        <v>-7.3084389631139501E-4</v>
      </c>
      <c r="P651" s="162">
        <f t="shared" si="111"/>
        <v>2.4096385542167198E-3</v>
      </c>
    </row>
    <row r="652" spans="1:16">
      <c r="A652" s="319">
        <v>45146</v>
      </c>
      <c r="B652" s="31">
        <v>5.35</v>
      </c>
      <c r="C652" s="30">
        <v>4.74</v>
      </c>
      <c r="D652" s="30">
        <v>4.3600000000000003</v>
      </c>
      <c r="E652" s="30">
        <v>4.4173</v>
      </c>
      <c r="F652" s="30">
        <v>4.0999999999999996</v>
      </c>
      <c r="G652" s="159">
        <f t="shared" si="102"/>
        <v>4.9999999999999828E-4</v>
      </c>
      <c r="H652" s="154">
        <f t="shared" si="103"/>
        <v>-1.9999999999999573E-4</v>
      </c>
      <c r="I652" s="154">
        <f t="shared" si="104"/>
        <v>-8.0000000000000069E-4</v>
      </c>
      <c r="J652" s="154">
        <f t="shared" si="105"/>
        <v>4.1999999999999817E-4</v>
      </c>
      <c r="K652" s="160">
        <f t="shared" si="106"/>
        <v>-6.0000000000000493E-4</v>
      </c>
      <c r="L652" s="161">
        <f t="shared" si="107"/>
        <v>9.4339622641508303E-3</v>
      </c>
      <c r="M652" s="155">
        <f t="shared" si="108"/>
        <v>-4.2016806722687816E-3</v>
      </c>
      <c r="N652" s="155">
        <f t="shared" si="109"/>
        <v>-1.8018018018018056E-2</v>
      </c>
      <c r="O652" s="155">
        <f t="shared" si="110"/>
        <v>9.5993417594222308E-3</v>
      </c>
      <c r="P652" s="162">
        <f t="shared" si="111"/>
        <v>-1.4423076923077094E-2</v>
      </c>
    </row>
    <row r="653" spans="1:16">
      <c r="A653" s="319">
        <v>45147</v>
      </c>
      <c r="B653" s="31">
        <v>5.35</v>
      </c>
      <c r="C653" s="30">
        <v>4.79</v>
      </c>
      <c r="D653" s="30">
        <v>4.41</v>
      </c>
      <c r="E653" s="30">
        <v>4.3133999999999997</v>
      </c>
      <c r="F653" s="30">
        <v>4.12</v>
      </c>
      <c r="G653" s="159">
        <f t="shared" si="102"/>
        <v>0</v>
      </c>
      <c r="H653" s="154">
        <f t="shared" si="103"/>
        <v>4.9999999999999828E-4</v>
      </c>
      <c r="I653" s="154">
        <f t="shared" si="104"/>
        <v>4.9999999999999828E-4</v>
      </c>
      <c r="J653" s="154">
        <f t="shared" si="105"/>
        <v>-1.0390000000000032E-3</v>
      </c>
      <c r="K653" s="160">
        <f t="shared" si="106"/>
        <v>2.0000000000000462E-4</v>
      </c>
      <c r="L653" s="161">
        <f t="shared" si="107"/>
        <v>0</v>
      </c>
      <c r="M653" s="155">
        <f t="shared" si="108"/>
        <v>1.0548523206751037E-2</v>
      </c>
      <c r="N653" s="155">
        <f t="shared" si="109"/>
        <v>1.1467889908256756E-2</v>
      </c>
      <c r="O653" s="155">
        <f t="shared" si="110"/>
        <v>-2.3521155456953435E-2</v>
      </c>
      <c r="P653" s="162">
        <f t="shared" si="111"/>
        <v>4.8780487804878092E-3</v>
      </c>
    </row>
    <row r="654" spans="1:16">
      <c r="A654" s="319">
        <v>45148</v>
      </c>
      <c r="B654" s="31">
        <v>5.33</v>
      </c>
      <c r="C654" s="30">
        <v>4.82</v>
      </c>
      <c r="D654" s="30">
        <v>4.47</v>
      </c>
      <c r="E654" s="30">
        <v>4.3019999999999996</v>
      </c>
      <c r="F654" s="30">
        <v>4.21</v>
      </c>
      <c r="G654" s="159">
        <f t="shared" si="102"/>
        <v>-1.9999999999999573E-4</v>
      </c>
      <c r="H654" s="154">
        <f t="shared" si="103"/>
        <v>3.0000000000000247E-4</v>
      </c>
      <c r="I654" s="154">
        <f t="shared" si="104"/>
        <v>5.9999999999999604E-4</v>
      </c>
      <c r="J654" s="154">
        <f t="shared" si="105"/>
        <v>-1.1400000000000077E-4</v>
      </c>
      <c r="K654" s="160">
        <f t="shared" si="106"/>
        <v>8.9999999999999857E-4</v>
      </c>
      <c r="L654" s="161">
        <f t="shared" si="107"/>
        <v>-3.7383177570092796E-3</v>
      </c>
      <c r="M654" s="155">
        <f t="shared" si="108"/>
        <v>6.2630480167014113E-3</v>
      </c>
      <c r="N654" s="155">
        <f t="shared" si="109"/>
        <v>1.3605442176870763E-2</v>
      </c>
      <c r="O654" s="155">
        <f t="shared" si="110"/>
        <v>-2.6429266935595885E-3</v>
      </c>
      <c r="P654" s="162">
        <f t="shared" si="111"/>
        <v>2.1844660194174637E-2</v>
      </c>
    </row>
    <row r="655" spans="1:16">
      <c r="A655" s="319">
        <v>45149</v>
      </c>
      <c r="B655" s="31">
        <v>5.36</v>
      </c>
      <c r="C655" s="30">
        <v>4.8899999999999997</v>
      </c>
      <c r="D655" s="30">
        <v>4.5599999999999996</v>
      </c>
      <c r="E655" s="30">
        <v>4.2542999999999997</v>
      </c>
      <c r="F655" s="30">
        <v>4.3099999999999996</v>
      </c>
      <c r="G655" s="159">
        <f t="shared" si="102"/>
        <v>3.0000000000000247E-4</v>
      </c>
      <c r="H655" s="154">
        <f t="shared" si="103"/>
        <v>6.9999999999999392E-4</v>
      </c>
      <c r="I655" s="154">
        <f t="shared" si="104"/>
        <v>8.9999999999999857E-4</v>
      </c>
      <c r="J655" s="154">
        <f t="shared" si="105"/>
        <v>-4.7699999999999853E-4</v>
      </c>
      <c r="K655" s="160">
        <f t="shared" si="106"/>
        <v>9.9999999999999655E-4</v>
      </c>
      <c r="L655" s="161">
        <f t="shared" si="107"/>
        <v>5.6285178236397115E-3</v>
      </c>
      <c r="M655" s="155">
        <f t="shared" si="108"/>
        <v>1.4522821576763434E-2</v>
      </c>
      <c r="N655" s="155">
        <f t="shared" si="109"/>
        <v>2.0134228187919323E-2</v>
      </c>
      <c r="O655" s="155">
        <f t="shared" si="110"/>
        <v>-1.1087866108786537E-2</v>
      </c>
      <c r="P655" s="162">
        <f t="shared" si="111"/>
        <v>2.375296912114E-2</v>
      </c>
    </row>
    <row r="656" spans="1:16">
      <c r="A656" s="319">
        <v>45152</v>
      </c>
      <c r="B656" s="31">
        <v>5.37</v>
      </c>
      <c r="C656" s="30">
        <v>4.96</v>
      </c>
      <c r="D656" s="30">
        <v>4.6399999999999997</v>
      </c>
      <c r="E656" s="30">
        <v>4.2572000000000001</v>
      </c>
      <c r="F656" s="30">
        <v>4.3600000000000003</v>
      </c>
      <c r="G656" s="159">
        <f t="shared" si="102"/>
        <v>9.9999999999997863E-5</v>
      </c>
      <c r="H656" s="154">
        <f t="shared" si="103"/>
        <v>7.0000000000000281E-4</v>
      </c>
      <c r="I656" s="154">
        <f t="shared" si="104"/>
        <v>8.0000000000000069E-4</v>
      </c>
      <c r="J656" s="154">
        <f t="shared" si="105"/>
        <v>2.9000000000003466E-5</v>
      </c>
      <c r="K656" s="160">
        <f t="shared" si="106"/>
        <v>5.0000000000000706E-4</v>
      </c>
      <c r="L656" s="161">
        <f t="shared" si="107"/>
        <v>1.8656716417910779E-3</v>
      </c>
      <c r="M656" s="155">
        <f t="shared" si="108"/>
        <v>1.4314928425357865E-2</v>
      </c>
      <c r="N656" s="155">
        <f t="shared" si="109"/>
        <v>1.7543859649122862E-2</v>
      </c>
      <c r="O656" s="155">
        <f t="shared" si="110"/>
        <v>6.8166325835039565E-4</v>
      </c>
      <c r="P656" s="162">
        <f t="shared" si="111"/>
        <v>1.1600928074246175E-2</v>
      </c>
    </row>
    <row r="657" spans="1:16">
      <c r="A657" s="319">
        <v>45153</v>
      </c>
      <c r="B657" s="31">
        <v>5.36</v>
      </c>
      <c r="C657" s="30">
        <v>4.92</v>
      </c>
      <c r="D657" s="30">
        <v>4.6399999999999997</v>
      </c>
      <c r="E657" s="30">
        <v>4.3109000000000002</v>
      </c>
      <c r="F657" s="30">
        <v>4.3600000000000003</v>
      </c>
      <c r="G657" s="159">
        <f t="shared" si="102"/>
        <v>-9.9999999999997863E-5</v>
      </c>
      <c r="H657" s="154">
        <f t="shared" si="103"/>
        <v>-4.0000000000000034E-4</v>
      </c>
      <c r="I657" s="154">
        <f t="shared" si="104"/>
        <v>0</v>
      </c>
      <c r="J657" s="154">
        <f t="shared" si="105"/>
        <v>5.370000000000008E-4</v>
      </c>
      <c r="K657" s="160">
        <f t="shared" si="106"/>
        <v>0</v>
      </c>
      <c r="L657" s="161">
        <f t="shared" si="107"/>
        <v>-1.8621973929235924E-3</v>
      </c>
      <c r="M657" s="155">
        <f t="shared" si="108"/>
        <v>-8.0645161290322509E-3</v>
      </c>
      <c r="N657" s="155">
        <f t="shared" si="109"/>
        <v>0</v>
      </c>
      <c r="O657" s="155">
        <f t="shared" si="110"/>
        <v>1.2613924645306751E-2</v>
      </c>
      <c r="P657" s="162">
        <f t="shared" si="111"/>
        <v>0</v>
      </c>
    </row>
    <row r="658" spans="1:16">
      <c r="A658" s="319">
        <v>45154</v>
      </c>
      <c r="B658" s="31">
        <v>5.37</v>
      </c>
      <c r="C658" s="30">
        <v>4.97</v>
      </c>
      <c r="D658" s="30">
        <v>4.68</v>
      </c>
      <c r="E658" s="30">
        <v>4.3844000000000003</v>
      </c>
      <c r="F658" s="30">
        <v>4.42</v>
      </c>
      <c r="G658" s="159">
        <f t="shared" si="102"/>
        <v>9.9999999999997863E-5</v>
      </c>
      <c r="H658" s="154">
        <f t="shared" si="103"/>
        <v>4.9999999999999828E-4</v>
      </c>
      <c r="I658" s="154">
        <f t="shared" si="104"/>
        <v>4.0000000000000034E-4</v>
      </c>
      <c r="J658" s="154">
        <f t="shared" si="105"/>
        <v>7.3500000000000117E-4</v>
      </c>
      <c r="K658" s="160">
        <f t="shared" si="106"/>
        <v>5.9999999999999604E-4</v>
      </c>
      <c r="L658" s="161">
        <f t="shared" si="107"/>
        <v>1.8656716417910779E-3</v>
      </c>
      <c r="M658" s="155">
        <f t="shared" si="108"/>
        <v>1.0162601626016121E-2</v>
      </c>
      <c r="N658" s="155">
        <f t="shared" si="109"/>
        <v>8.6206896551723755E-3</v>
      </c>
      <c r="O658" s="155">
        <f t="shared" si="110"/>
        <v>1.7049803985246692E-2</v>
      </c>
      <c r="P658" s="162">
        <f t="shared" si="111"/>
        <v>1.3761467889908063E-2</v>
      </c>
    </row>
    <row r="659" spans="1:16">
      <c r="A659" s="319">
        <v>45155</v>
      </c>
      <c r="B659" s="31">
        <v>5.36</v>
      </c>
      <c r="C659" s="30">
        <v>4.9400000000000004</v>
      </c>
      <c r="D659" s="30">
        <v>4.67</v>
      </c>
      <c r="E659" s="30">
        <v>4.4318</v>
      </c>
      <c r="F659" s="30">
        <v>4.42</v>
      </c>
      <c r="G659" s="159">
        <f t="shared" si="102"/>
        <v>-9.9999999999997863E-5</v>
      </c>
      <c r="H659" s="154">
        <f t="shared" si="103"/>
        <v>-2.9999999999999363E-4</v>
      </c>
      <c r="I659" s="154">
        <f t="shared" si="104"/>
        <v>-9.9999999999997863E-5</v>
      </c>
      <c r="J659" s="154">
        <f t="shared" si="105"/>
        <v>4.7399999999999667E-4</v>
      </c>
      <c r="K659" s="160">
        <f t="shared" si="106"/>
        <v>0</v>
      </c>
      <c r="L659" s="161">
        <f t="shared" si="107"/>
        <v>-1.8621973929235924E-3</v>
      </c>
      <c r="M659" s="155">
        <f t="shared" si="108"/>
        <v>-6.0362173038227551E-3</v>
      </c>
      <c r="N659" s="155">
        <f t="shared" si="109"/>
        <v>-2.1367521367521292E-3</v>
      </c>
      <c r="O659" s="155">
        <f t="shared" si="110"/>
        <v>1.081105738527488E-2</v>
      </c>
      <c r="P659" s="162">
        <f t="shared" si="111"/>
        <v>0</v>
      </c>
    </row>
    <row r="660" spans="1:16">
      <c r="A660" s="319">
        <v>45156</v>
      </c>
      <c r="B660" s="31">
        <v>5.35</v>
      </c>
      <c r="C660" s="30">
        <v>4.92</v>
      </c>
      <c r="D660" s="30">
        <v>4.63</v>
      </c>
      <c r="E660" s="30">
        <v>4.4477000000000002</v>
      </c>
      <c r="F660" s="30">
        <v>4.38</v>
      </c>
      <c r="G660" s="159">
        <f t="shared" si="102"/>
        <v>-1.0000000000000675E-4</v>
      </c>
      <c r="H660" s="154">
        <f t="shared" si="103"/>
        <v>-2.0000000000000462E-4</v>
      </c>
      <c r="I660" s="154">
        <f t="shared" si="104"/>
        <v>-4.0000000000000034E-4</v>
      </c>
      <c r="J660" s="154">
        <f t="shared" si="105"/>
        <v>1.5900000000000248E-4</v>
      </c>
      <c r="K660" s="160">
        <f t="shared" si="106"/>
        <v>-4.0000000000000034E-4</v>
      </c>
      <c r="L660" s="161">
        <f t="shared" si="107"/>
        <v>-1.8656716417911889E-3</v>
      </c>
      <c r="M660" s="155">
        <f t="shared" si="108"/>
        <v>-4.0485829959514552E-3</v>
      </c>
      <c r="N660" s="155">
        <f t="shared" si="109"/>
        <v>-8.565310492505307E-3</v>
      </c>
      <c r="O660" s="155">
        <f t="shared" si="110"/>
        <v>3.587707026490472E-3</v>
      </c>
      <c r="P660" s="162">
        <f t="shared" si="111"/>
        <v>-9.0497737556560764E-3</v>
      </c>
    </row>
    <row r="661" spans="1:16">
      <c r="A661" s="319">
        <v>45159</v>
      </c>
      <c r="B661" s="31">
        <v>5.37</v>
      </c>
      <c r="C661" s="30">
        <v>4.97</v>
      </c>
      <c r="D661" s="30">
        <v>4.7</v>
      </c>
      <c r="E661" s="30">
        <v>4.4916</v>
      </c>
      <c r="F661" s="30">
        <v>4.46</v>
      </c>
      <c r="G661" s="159">
        <f t="shared" si="102"/>
        <v>2.0000000000000462E-4</v>
      </c>
      <c r="H661" s="154">
        <f t="shared" si="103"/>
        <v>4.9999999999999828E-4</v>
      </c>
      <c r="I661" s="154">
        <f t="shared" si="104"/>
        <v>7.0000000000000281E-4</v>
      </c>
      <c r="J661" s="154">
        <f t="shared" si="105"/>
        <v>4.3899999999999826E-4</v>
      </c>
      <c r="K661" s="160">
        <f t="shared" si="106"/>
        <v>8.0000000000000069E-4</v>
      </c>
      <c r="L661" s="161">
        <f t="shared" si="107"/>
        <v>3.7383177570093906E-3</v>
      </c>
      <c r="M661" s="155">
        <f t="shared" si="108"/>
        <v>1.0162601626016121E-2</v>
      </c>
      <c r="N661" s="155">
        <f t="shared" si="109"/>
        <v>1.5118790496760237E-2</v>
      </c>
      <c r="O661" s="155">
        <f t="shared" si="110"/>
        <v>9.8702700272050858E-3</v>
      </c>
      <c r="P661" s="162">
        <f t="shared" si="111"/>
        <v>1.8264840182648401E-2</v>
      </c>
    </row>
    <row r="662" spans="1:16">
      <c r="A662" s="319">
        <v>45160</v>
      </c>
      <c r="B662" s="31">
        <v>5.39</v>
      </c>
      <c r="C662" s="30">
        <v>5.0199999999999996</v>
      </c>
      <c r="D662" s="30">
        <v>4.75</v>
      </c>
      <c r="E662" s="30">
        <v>4.5008999999999997</v>
      </c>
      <c r="F662" s="30">
        <v>4.49</v>
      </c>
      <c r="G662" s="159">
        <f t="shared" si="102"/>
        <v>1.9999999999999573E-4</v>
      </c>
      <c r="H662" s="154">
        <f t="shared" si="103"/>
        <v>4.9999999999999828E-4</v>
      </c>
      <c r="I662" s="154">
        <f t="shared" si="104"/>
        <v>4.9999999999999828E-4</v>
      </c>
      <c r="J662" s="154">
        <f t="shared" si="105"/>
        <v>9.2999999999996419E-5</v>
      </c>
      <c r="K662" s="160">
        <f t="shared" si="106"/>
        <v>3.0000000000000247E-4</v>
      </c>
      <c r="L662" s="161">
        <f t="shared" si="107"/>
        <v>3.7243947858471849E-3</v>
      </c>
      <c r="M662" s="155">
        <f t="shared" si="108"/>
        <v>1.0060362173038184E-2</v>
      </c>
      <c r="N662" s="155">
        <f t="shared" si="109"/>
        <v>1.0638297872340496E-2</v>
      </c>
      <c r="O662" s="155">
        <f t="shared" si="110"/>
        <v>2.0705316590969858E-3</v>
      </c>
      <c r="P662" s="162">
        <f t="shared" si="111"/>
        <v>6.7264573991032695E-3</v>
      </c>
    </row>
    <row r="663" spans="1:16">
      <c r="A663" s="319">
        <v>45161</v>
      </c>
      <c r="B663" s="31">
        <v>5.35</v>
      </c>
      <c r="C663" s="30">
        <v>4.95</v>
      </c>
      <c r="D663" s="30">
        <v>4.6399999999999997</v>
      </c>
      <c r="E663" s="30">
        <v>4.4728000000000003</v>
      </c>
      <c r="F663" s="30">
        <v>4.3600000000000003</v>
      </c>
      <c r="G663" s="159">
        <f t="shared" si="102"/>
        <v>-4.0000000000000034E-4</v>
      </c>
      <c r="H663" s="154">
        <f t="shared" si="103"/>
        <v>-6.9999999999999392E-4</v>
      </c>
      <c r="I663" s="154">
        <f t="shared" si="104"/>
        <v>-1.1000000000000031E-3</v>
      </c>
      <c r="J663" s="154">
        <f t="shared" si="105"/>
        <v>-2.8099999999999349E-4</v>
      </c>
      <c r="K663" s="160">
        <f t="shared" si="106"/>
        <v>-1.2999999999999989E-3</v>
      </c>
      <c r="L663" s="161">
        <f t="shared" si="107"/>
        <v>-7.4211502782931538E-3</v>
      </c>
      <c r="M663" s="155">
        <f t="shared" si="108"/>
        <v>-1.3944223107569598E-2</v>
      </c>
      <c r="N663" s="155">
        <f t="shared" si="109"/>
        <v>-2.3157894736842155E-2</v>
      </c>
      <c r="O663" s="155">
        <f t="shared" si="110"/>
        <v>-6.2431958052832082E-3</v>
      </c>
      <c r="P663" s="162">
        <f t="shared" si="111"/>
        <v>-2.8953229398663627E-2</v>
      </c>
    </row>
    <row r="664" spans="1:16">
      <c r="A664" s="319">
        <v>45162</v>
      </c>
      <c r="B664" s="31">
        <v>5.39</v>
      </c>
      <c r="C664" s="30">
        <v>4.9800000000000004</v>
      </c>
      <c r="D664" s="30">
        <v>4.6900000000000004</v>
      </c>
      <c r="E664" s="30">
        <v>4.5260999999999996</v>
      </c>
      <c r="F664" s="30">
        <v>4.3899999999999997</v>
      </c>
      <c r="G664" s="159">
        <f t="shared" si="102"/>
        <v>4.0000000000000034E-4</v>
      </c>
      <c r="H664" s="154">
        <f t="shared" si="103"/>
        <v>3.0000000000000247E-4</v>
      </c>
      <c r="I664" s="154">
        <f t="shared" si="104"/>
        <v>5.0000000000000706E-4</v>
      </c>
      <c r="J664" s="154">
        <f t="shared" si="105"/>
        <v>5.3299999999999236E-4</v>
      </c>
      <c r="K664" s="160">
        <f t="shared" si="106"/>
        <v>2.9999999999999363E-4</v>
      </c>
      <c r="L664" s="161">
        <f t="shared" si="107"/>
        <v>7.4766355140187812E-3</v>
      </c>
      <c r="M664" s="155">
        <f t="shared" si="108"/>
        <v>6.0606060606060996E-3</v>
      </c>
      <c r="N664" s="155">
        <f t="shared" si="109"/>
        <v>1.0775862068965747E-2</v>
      </c>
      <c r="O664" s="155">
        <f t="shared" si="110"/>
        <v>1.191647290287956E-2</v>
      </c>
      <c r="P664" s="162">
        <f t="shared" si="111"/>
        <v>6.8807339449539207E-3</v>
      </c>
    </row>
    <row r="665" spans="1:16">
      <c r="A665" s="319">
        <v>45163</v>
      </c>
      <c r="B665" s="31">
        <v>5.44</v>
      </c>
      <c r="C665" s="30">
        <v>5.03</v>
      </c>
      <c r="D665" s="30">
        <v>4.72</v>
      </c>
      <c r="E665" s="30">
        <v>4.5712000000000002</v>
      </c>
      <c r="F665" s="30">
        <v>4.4400000000000004</v>
      </c>
      <c r="G665" s="159">
        <f t="shared" si="102"/>
        <v>5.0000000000000706E-4</v>
      </c>
      <c r="H665" s="154">
        <f t="shared" si="103"/>
        <v>4.9999999999999828E-4</v>
      </c>
      <c r="I665" s="154">
        <f t="shared" si="104"/>
        <v>2.9999999999999363E-4</v>
      </c>
      <c r="J665" s="154">
        <f t="shared" si="105"/>
        <v>4.5100000000000587E-4</v>
      </c>
      <c r="K665" s="160">
        <f t="shared" si="106"/>
        <v>5.0000000000000706E-4</v>
      </c>
      <c r="L665" s="161">
        <f t="shared" si="107"/>
        <v>9.27643784786647E-3</v>
      </c>
      <c r="M665" s="155">
        <f t="shared" si="108"/>
        <v>1.0040160642570184E-2</v>
      </c>
      <c r="N665" s="155">
        <f t="shared" si="109"/>
        <v>6.3965884861405531E-3</v>
      </c>
      <c r="O665" s="155">
        <f t="shared" si="110"/>
        <v>9.9644285367095353E-3</v>
      </c>
      <c r="P665" s="162">
        <f t="shared" si="111"/>
        <v>1.1389521640091216E-2</v>
      </c>
    </row>
    <row r="666" spans="1:16">
      <c r="A666" s="319">
        <v>45166</v>
      </c>
      <c r="B666" s="31">
        <v>5.44</v>
      </c>
      <c r="C666" s="30">
        <v>4.9800000000000004</v>
      </c>
      <c r="D666" s="30">
        <v>4.6900000000000004</v>
      </c>
      <c r="E666" s="30">
        <v>4.4701000000000004</v>
      </c>
      <c r="F666" s="30">
        <v>4.38</v>
      </c>
      <c r="G666" s="159">
        <f t="shared" si="102"/>
        <v>0</v>
      </c>
      <c r="H666" s="154">
        <f t="shared" si="103"/>
        <v>-4.9999999999999828E-4</v>
      </c>
      <c r="I666" s="154">
        <f t="shared" si="104"/>
        <v>-2.9999999999999363E-4</v>
      </c>
      <c r="J666" s="154">
        <f t="shared" si="105"/>
        <v>-1.0109999999999974E-3</v>
      </c>
      <c r="K666" s="160">
        <f t="shared" si="106"/>
        <v>-6.0000000000000493E-4</v>
      </c>
      <c r="L666" s="161">
        <f t="shared" si="107"/>
        <v>0</v>
      </c>
      <c r="M666" s="155">
        <f t="shared" si="108"/>
        <v>-9.9403578528827197E-3</v>
      </c>
      <c r="N666" s="155">
        <f t="shared" si="109"/>
        <v>-6.3559322033897026E-3</v>
      </c>
      <c r="O666" s="155">
        <f t="shared" si="110"/>
        <v>-2.2116730836541754E-2</v>
      </c>
      <c r="P666" s="162">
        <f t="shared" si="111"/>
        <v>-1.3513513513513598E-2</v>
      </c>
    </row>
    <row r="667" spans="1:16">
      <c r="A667" s="319">
        <v>45167</v>
      </c>
      <c r="B667" s="31">
        <v>5.37</v>
      </c>
      <c r="C667" s="30">
        <v>4.87</v>
      </c>
      <c r="D667" s="30">
        <v>4.5599999999999996</v>
      </c>
      <c r="E667" s="30">
        <v>4.4837999999999996</v>
      </c>
      <c r="F667" s="30">
        <v>4.26</v>
      </c>
      <c r="G667" s="159">
        <f t="shared" si="102"/>
        <v>-7.0000000000000281E-4</v>
      </c>
      <c r="H667" s="154">
        <f t="shared" si="103"/>
        <v>-1.1000000000000031E-3</v>
      </c>
      <c r="I667" s="154">
        <f t="shared" si="104"/>
        <v>-1.3000000000000077E-3</v>
      </c>
      <c r="J667" s="154">
        <f t="shared" si="105"/>
        <v>1.3699999999999157E-4</v>
      </c>
      <c r="K667" s="160">
        <f t="shared" si="106"/>
        <v>-1.200000000000001E-3</v>
      </c>
      <c r="L667" s="161">
        <f t="shared" si="107"/>
        <v>-1.2867647058823595E-2</v>
      </c>
      <c r="M667" s="155">
        <f t="shared" si="108"/>
        <v>-2.2088353413654671E-2</v>
      </c>
      <c r="N667" s="155">
        <f t="shared" si="109"/>
        <v>-2.7718550106609952E-2</v>
      </c>
      <c r="O667" s="155">
        <f t="shared" si="110"/>
        <v>3.0648083935480575E-3</v>
      </c>
      <c r="P667" s="162">
        <f t="shared" si="111"/>
        <v>-2.7397260273972601E-2</v>
      </c>
    </row>
    <row r="668" spans="1:16">
      <c r="A668" s="319">
        <v>45168</v>
      </c>
      <c r="B668" s="31">
        <v>5.39</v>
      </c>
      <c r="C668" s="30">
        <v>4.9000000000000004</v>
      </c>
      <c r="D668" s="30">
        <v>4.57</v>
      </c>
      <c r="E668" s="30">
        <v>4.516</v>
      </c>
      <c r="F668" s="30">
        <v>4.2699999999999996</v>
      </c>
      <c r="G668" s="159">
        <f t="shared" si="102"/>
        <v>1.9999999999999573E-4</v>
      </c>
      <c r="H668" s="154">
        <f t="shared" si="103"/>
        <v>3.0000000000000247E-4</v>
      </c>
      <c r="I668" s="154">
        <f t="shared" si="104"/>
        <v>1.0000000000000675E-4</v>
      </c>
      <c r="J668" s="154">
        <f t="shared" si="105"/>
        <v>3.2200000000000452E-4</v>
      </c>
      <c r="K668" s="160">
        <f t="shared" si="106"/>
        <v>9.9999999999997863E-5</v>
      </c>
      <c r="L668" s="161">
        <f t="shared" si="107"/>
        <v>3.7243947858471849E-3</v>
      </c>
      <c r="M668" s="155">
        <f t="shared" si="108"/>
        <v>6.1601642710473747E-3</v>
      </c>
      <c r="N668" s="155">
        <f t="shared" si="109"/>
        <v>2.1929824561404132E-3</v>
      </c>
      <c r="O668" s="155">
        <f t="shared" si="110"/>
        <v>7.1814086266115407E-3</v>
      </c>
      <c r="P668" s="162">
        <f t="shared" si="111"/>
        <v>2.3474178403755097E-3</v>
      </c>
    </row>
    <row r="669" spans="1:16">
      <c r="A669" s="319">
        <v>45169</v>
      </c>
      <c r="B669" s="31">
        <v>5.37</v>
      </c>
      <c r="C669" s="30">
        <v>4.8499999999999996</v>
      </c>
      <c r="D669" s="30">
        <v>4.54</v>
      </c>
      <c r="E669" s="30">
        <v>4.4941000000000004</v>
      </c>
      <c r="F669" s="30">
        <v>4.2300000000000004</v>
      </c>
      <c r="G669" s="159">
        <f t="shared" si="102"/>
        <v>-1.9999999999999573E-4</v>
      </c>
      <c r="H669" s="154">
        <f t="shared" si="103"/>
        <v>-5.0000000000000706E-4</v>
      </c>
      <c r="I669" s="154">
        <f t="shared" si="104"/>
        <v>-3.0000000000000247E-4</v>
      </c>
      <c r="J669" s="154">
        <f t="shared" si="105"/>
        <v>-2.1899999999999586E-4</v>
      </c>
      <c r="K669" s="160">
        <f t="shared" si="106"/>
        <v>-3.9999999999999145E-4</v>
      </c>
      <c r="L669" s="161">
        <f t="shared" si="107"/>
        <v>-3.7105751391465214E-3</v>
      </c>
      <c r="M669" s="155">
        <f t="shared" si="108"/>
        <v>-1.0204081632653184E-2</v>
      </c>
      <c r="N669" s="155">
        <f t="shared" si="109"/>
        <v>-6.5645514223194867E-3</v>
      </c>
      <c r="O669" s="155">
        <f t="shared" si="110"/>
        <v>-4.8494242692647127E-3</v>
      </c>
      <c r="P669" s="162">
        <f t="shared" si="111"/>
        <v>-9.3676814988288282E-3</v>
      </c>
    </row>
    <row r="670" spans="1:16">
      <c r="A670" s="319">
        <v>45170</v>
      </c>
      <c r="B670" s="31">
        <v>5.36</v>
      </c>
      <c r="C670" s="30">
        <v>4.87</v>
      </c>
      <c r="D670" s="30">
        <v>4.57</v>
      </c>
      <c r="E670" s="30">
        <v>4.4050000000000002</v>
      </c>
      <c r="F670" s="30">
        <v>4.29</v>
      </c>
      <c r="G670" s="159">
        <f t="shared" si="102"/>
        <v>-9.9999999999997863E-5</v>
      </c>
      <c r="H670" s="154">
        <f t="shared" si="103"/>
        <v>2.0000000000000462E-4</v>
      </c>
      <c r="I670" s="154">
        <f t="shared" si="104"/>
        <v>3.0000000000000247E-4</v>
      </c>
      <c r="J670" s="154">
        <f t="shared" si="105"/>
        <v>-8.9100000000000182E-4</v>
      </c>
      <c r="K670" s="160">
        <f t="shared" si="106"/>
        <v>5.9999999999999604E-4</v>
      </c>
      <c r="L670" s="161">
        <f t="shared" si="107"/>
        <v>-1.8621973929235924E-3</v>
      </c>
      <c r="M670" s="155">
        <f t="shared" si="108"/>
        <v>4.1237113402061709E-3</v>
      </c>
      <c r="N670" s="155">
        <f t="shared" si="109"/>
        <v>6.6079295154186646E-3</v>
      </c>
      <c r="O670" s="155">
        <f t="shared" si="110"/>
        <v>-1.9825994081128617E-2</v>
      </c>
      <c r="P670" s="162">
        <f t="shared" si="111"/>
        <v>1.4184397163120366E-2</v>
      </c>
    </row>
    <row r="671" spans="1:16">
      <c r="A671" s="319">
        <v>45174</v>
      </c>
      <c r="B671" s="31">
        <v>5.42</v>
      </c>
      <c r="C671" s="30">
        <v>4.9400000000000004</v>
      </c>
      <c r="D671" s="30">
        <v>4.6500000000000004</v>
      </c>
      <c r="E671" s="30">
        <v>4.3932000000000002</v>
      </c>
      <c r="F671" s="30">
        <v>4.37</v>
      </c>
      <c r="G671" s="159">
        <f t="shared" si="102"/>
        <v>5.9999999999999604E-4</v>
      </c>
      <c r="H671" s="154">
        <f t="shared" si="103"/>
        <v>7.0000000000000281E-4</v>
      </c>
      <c r="I671" s="154">
        <f t="shared" si="104"/>
        <v>8.0000000000000069E-4</v>
      </c>
      <c r="J671" s="154">
        <f t="shared" si="105"/>
        <v>-1.1800000000000032E-4</v>
      </c>
      <c r="K671" s="160">
        <f t="shared" si="106"/>
        <v>8.0000000000000069E-4</v>
      </c>
      <c r="L671" s="161">
        <f t="shared" si="107"/>
        <v>1.1194029850746245E-2</v>
      </c>
      <c r="M671" s="155">
        <f t="shared" si="108"/>
        <v>1.4373716632443578E-2</v>
      </c>
      <c r="N671" s="155">
        <f t="shared" si="109"/>
        <v>1.7505470459518557E-2</v>
      </c>
      <c r="O671" s="155">
        <f t="shared" si="110"/>
        <v>-2.6787741203178062E-3</v>
      </c>
      <c r="P671" s="162">
        <f t="shared" si="111"/>
        <v>1.8648018648018683E-2</v>
      </c>
    </row>
    <row r="672" spans="1:16">
      <c r="A672" s="319">
        <v>45175</v>
      </c>
      <c r="B672" s="31">
        <v>5.44</v>
      </c>
      <c r="C672" s="30">
        <v>5.01</v>
      </c>
      <c r="D672" s="30">
        <v>4.7300000000000004</v>
      </c>
      <c r="E672" s="30">
        <v>4.3638000000000003</v>
      </c>
      <c r="F672" s="30">
        <v>4.4400000000000004</v>
      </c>
      <c r="G672" s="159">
        <f t="shared" si="102"/>
        <v>2.0000000000000462E-4</v>
      </c>
      <c r="H672" s="154">
        <f t="shared" si="103"/>
        <v>6.9999999999999392E-4</v>
      </c>
      <c r="I672" s="154">
        <f t="shared" si="104"/>
        <v>8.0000000000000069E-4</v>
      </c>
      <c r="J672" s="154">
        <f t="shared" si="105"/>
        <v>-2.9399999999999869E-4</v>
      </c>
      <c r="K672" s="160">
        <f t="shared" si="106"/>
        <v>7.0000000000000281E-4</v>
      </c>
      <c r="L672" s="161">
        <f t="shared" si="107"/>
        <v>3.6900369003691758E-3</v>
      </c>
      <c r="M672" s="155">
        <f t="shared" si="108"/>
        <v>1.4170040485829816E-2</v>
      </c>
      <c r="N672" s="155">
        <f t="shared" si="109"/>
        <v>1.7204301075268935E-2</v>
      </c>
      <c r="O672" s="155">
        <f t="shared" si="110"/>
        <v>-6.6921606118546251E-3</v>
      </c>
      <c r="P672" s="162">
        <f t="shared" si="111"/>
        <v>1.6018306636155666E-2</v>
      </c>
    </row>
    <row r="673" spans="1:16">
      <c r="A673" s="319">
        <v>45176</v>
      </c>
      <c r="B673" s="31">
        <v>5.4</v>
      </c>
      <c r="C673" s="30">
        <v>4.9400000000000004</v>
      </c>
      <c r="D673" s="30">
        <v>4.66</v>
      </c>
      <c r="E673" s="30">
        <v>4.3956</v>
      </c>
      <c r="F673" s="30">
        <v>4.38</v>
      </c>
      <c r="G673" s="159">
        <f t="shared" si="102"/>
        <v>-4.0000000000000034E-4</v>
      </c>
      <c r="H673" s="154">
        <f t="shared" si="103"/>
        <v>-6.9999999999999392E-4</v>
      </c>
      <c r="I673" s="154">
        <f t="shared" si="104"/>
        <v>-7.0000000000000281E-4</v>
      </c>
      <c r="J673" s="154">
        <f t="shared" si="105"/>
        <v>3.1799999999999607E-4</v>
      </c>
      <c r="K673" s="160">
        <f t="shared" si="106"/>
        <v>-6.0000000000000493E-4</v>
      </c>
      <c r="L673" s="161">
        <f t="shared" si="107"/>
        <v>-7.3529411764705621E-3</v>
      </c>
      <c r="M673" s="155">
        <f t="shared" si="108"/>
        <v>-1.3972055888223478E-2</v>
      </c>
      <c r="N673" s="155">
        <f t="shared" si="109"/>
        <v>-1.4799154334038112E-2</v>
      </c>
      <c r="O673" s="155">
        <f t="shared" si="110"/>
        <v>7.28722672899762E-3</v>
      </c>
      <c r="P673" s="162">
        <f t="shared" si="111"/>
        <v>-1.3513513513513598E-2</v>
      </c>
    </row>
    <row r="674" spans="1:16">
      <c r="A674" s="319">
        <v>45177</v>
      </c>
      <c r="B674" s="31">
        <v>5.42</v>
      </c>
      <c r="C674" s="30">
        <v>4.9800000000000004</v>
      </c>
      <c r="D674" s="30">
        <v>4.68</v>
      </c>
      <c r="E674" s="30" t="e">
        <f>NA()</f>
        <v>#N/A</v>
      </c>
      <c r="F674" s="30">
        <v>4.3899999999999997</v>
      </c>
      <c r="G674" s="159">
        <f t="shared" si="102"/>
        <v>1.9999999999999573E-4</v>
      </c>
      <c r="H674" s="154">
        <f t="shared" si="103"/>
        <v>4.0000000000000034E-4</v>
      </c>
      <c r="I674" s="154">
        <f t="shared" si="104"/>
        <v>1.9999999999999573E-4</v>
      </c>
      <c r="J674" s="154" t="e">
        <f t="shared" si="105"/>
        <v>#N/A</v>
      </c>
      <c r="K674" s="160">
        <f t="shared" si="106"/>
        <v>9.9999999999997863E-5</v>
      </c>
      <c r="L674" s="161">
        <f t="shared" si="107"/>
        <v>3.7037037037035425E-3</v>
      </c>
      <c r="M674" s="155">
        <f t="shared" si="108"/>
        <v>8.0971659919029104E-3</v>
      </c>
      <c r="N674" s="155">
        <f t="shared" si="109"/>
        <v>4.2918454935620964E-3</v>
      </c>
      <c r="O674" s="155" t="e">
        <f t="shared" si="110"/>
        <v>#N/A</v>
      </c>
      <c r="P674" s="162">
        <f t="shared" si="111"/>
        <v>2.2831050228309113E-3</v>
      </c>
    </row>
    <row r="675" spans="1:16">
      <c r="A675" s="319">
        <v>45180</v>
      </c>
      <c r="B675" s="31">
        <v>5.4</v>
      </c>
      <c r="C675" s="30">
        <v>4.97</v>
      </c>
      <c r="D675" s="30">
        <v>4.6399999999999997</v>
      </c>
      <c r="E675" s="30">
        <v>4.4645999999999999</v>
      </c>
      <c r="F675" s="30">
        <v>4.4000000000000004</v>
      </c>
      <c r="G675" s="159">
        <f t="shared" si="102"/>
        <v>-1.9999999999999573E-4</v>
      </c>
      <c r="H675" s="154">
        <f t="shared" si="103"/>
        <v>-1.0000000000000675E-4</v>
      </c>
      <c r="I675" s="154">
        <f t="shared" si="104"/>
        <v>-4.0000000000000034E-4</v>
      </c>
      <c r="J675" s="154" t="e">
        <f t="shared" si="105"/>
        <v>#N/A</v>
      </c>
      <c r="K675" s="160">
        <f t="shared" si="106"/>
        <v>1.0000000000000675E-4</v>
      </c>
      <c r="L675" s="161">
        <f t="shared" si="107"/>
        <v>-3.6900369003689537E-3</v>
      </c>
      <c r="M675" s="155">
        <f t="shared" si="108"/>
        <v>-2.0080321285141922E-3</v>
      </c>
      <c r="N675" s="155">
        <f t="shared" si="109"/>
        <v>-8.5470085470085166E-3</v>
      </c>
      <c r="O675" s="155" t="e">
        <f t="shared" si="110"/>
        <v>#N/A</v>
      </c>
      <c r="P675" s="162">
        <f t="shared" si="111"/>
        <v>2.277904328018332E-3</v>
      </c>
    </row>
    <row r="676" spans="1:16">
      <c r="A676" s="319">
        <v>45181</v>
      </c>
      <c r="B676" s="31">
        <v>5.42</v>
      </c>
      <c r="C676" s="30">
        <v>4.9800000000000004</v>
      </c>
      <c r="D676" s="30">
        <v>4.66</v>
      </c>
      <c r="E676" s="30">
        <v>4.5395000000000003</v>
      </c>
      <c r="F676" s="30">
        <v>4.41</v>
      </c>
      <c r="G676" s="159">
        <f t="shared" si="102"/>
        <v>1.9999999999999573E-4</v>
      </c>
      <c r="H676" s="154">
        <f t="shared" si="103"/>
        <v>1.0000000000000675E-4</v>
      </c>
      <c r="I676" s="154">
        <f t="shared" si="104"/>
        <v>2.0000000000000462E-4</v>
      </c>
      <c r="J676" s="154">
        <f t="shared" si="105"/>
        <v>7.4900000000000411E-4</v>
      </c>
      <c r="K676" s="160">
        <f t="shared" si="106"/>
        <v>9.9999999999997863E-5</v>
      </c>
      <c r="L676" s="161">
        <f t="shared" si="107"/>
        <v>3.7037037037035425E-3</v>
      </c>
      <c r="M676" s="155">
        <f t="shared" si="108"/>
        <v>2.0120724346077701E-3</v>
      </c>
      <c r="N676" s="155">
        <f t="shared" si="109"/>
        <v>4.3103448275862988E-3</v>
      </c>
      <c r="O676" s="155">
        <f t="shared" si="110"/>
        <v>1.677641894010673E-2</v>
      </c>
      <c r="P676" s="162">
        <f t="shared" si="111"/>
        <v>2.2727272727272041E-3</v>
      </c>
    </row>
    <row r="677" spans="1:16">
      <c r="A677" s="319">
        <v>45182</v>
      </c>
      <c r="B677" s="31">
        <v>5.42</v>
      </c>
      <c r="C677" s="30">
        <v>4.96</v>
      </c>
      <c r="D677" s="30">
        <v>4.6399999999999997</v>
      </c>
      <c r="E677" s="30">
        <v>4.4953000000000003</v>
      </c>
      <c r="F677" s="30">
        <v>4.3899999999999997</v>
      </c>
      <c r="G677" s="159">
        <f t="shared" si="102"/>
        <v>0</v>
      </c>
      <c r="H677" s="154">
        <f t="shared" si="103"/>
        <v>-2.0000000000000462E-4</v>
      </c>
      <c r="I677" s="154">
        <f t="shared" si="104"/>
        <v>-2.0000000000000462E-4</v>
      </c>
      <c r="J677" s="154">
        <f t="shared" si="105"/>
        <v>-4.4200000000000017E-4</v>
      </c>
      <c r="K677" s="160">
        <f t="shared" si="106"/>
        <v>-2.0000000000000462E-4</v>
      </c>
      <c r="L677" s="161">
        <f t="shared" si="107"/>
        <v>0</v>
      </c>
      <c r="M677" s="155">
        <f t="shared" si="108"/>
        <v>-4.0160642570281624E-3</v>
      </c>
      <c r="N677" s="155">
        <f t="shared" si="109"/>
        <v>-4.2918454935623185E-3</v>
      </c>
      <c r="O677" s="155">
        <f t="shared" si="110"/>
        <v>-9.7367551492455462E-3</v>
      </c>
      <c r="P677" s="162">
        <f t="shared" si="111"/>
        <v>-4.5351473922903285E-3</v>
      </c>
    </row>
    <row r="678" spans="1:16">
      <c r="A678" s="319">
        <v>45183</v>
      </c>
      <c r="B678" s="31">
        <v>5.42</v>
      </c>
      <c r="C678" s="30">
        <v>5</v>
      </c>
      <c r="D678" s="30">
        <v>4.68</v>
      </c>
      <c r="E678" s="30">
        <v>4.4920999999999998</v>
      </c>
      <c r="F678" s="30">
        <v>4.42</v>
      </c>
      <c r="G678" s="159">
        <f t="shared" si="102"/>
        <v>0</v>
      </c>
      <c r="H678" s="154">
        <f t="shared" si="103"/>
        <v>4.0000000000000034E-4</v>
      </c>
      <c r="I678" s="154">
        <f t="shared" si="104"/>
        <v>4.0000000000000034E-4</v>
      </c>
      <c r="J678" s="154">
        <f t="shared" si="105"/>
        <v>-3.2000000000005359E-5</v>
      </c>
      <c r="K678" s="160">
        <f t="shared" si="106"/>
        <v>3.0000000000000247E-4</v>
      </c>
      <c r="L678" s="161">
        <f t="shared" si="107"/>
        <v>0</v>
      </c>
      <c r="M678" s="155">
        <f t="shared" si="108"/>
        <v>8.0645161290322509E-3</v>
      </c>
      <c r="N678" s="155">
        <f t="shared" si="109"/>
        <v>8.6206896551723755E-3</v>
      </c>
      <c r="O678" s="155">
        <f t="shared" si="110"/>
        <v>-7.118546036972706E-4</v>
      </c>
      <c r="P678" s="162">
        <f t="shared" si="111"/>
        <v>6.8337129840547739E-3</v>
      </c>
    </row>
    <row r="679" spans="1:16">
      <c r="A679" s="319">
        <v>45184</v>
      </c>
      <c r="B679" s="31">
        <v>5.43</v>
      </c>
      <c r="C679" s="30">
        <v>5.0199999999999996</v>
      </c>
      <c r="D679" s="30">
        <v>4.72</v>
      </c>
      <c r="E679" s="30">
        <v>4.5019</v>
      </c>
      <c r="F679" s="30">
        <v>4.45</v>
      </c>
      <c r="G679" s="159">
        <f t="shared" si="102"/>
        <v>9.9999999999997863E-5</v>
      </c>
      <c r="H679" s="154">
        <f t="shared" si="103"/>
        <v>1.9999999999999573E-4</v>
      </c>
      <c r="I679" s="154">
        <f t="shared" si="104"/>
        <v>4.0000000000000034E-4</v>
      </c>
      <c r="J679" s="154">
        <f t="shared" si="105"/>
        <v>9.8000000000002531E-5</v>
      </c>
      <c r="K679" s="160">
        <f t="shared" si="106"/>
        <v>3.0000000000000247E-4</v>
      </c>
      <c r="L679" s="161">
        <f t="shared" si="107"/>
        <v>1.8450184501843658E-3</v>
      </c>
      <c r="M679" s="155">
        <f t="shared" si="108"/>
        <v>4.0000000000000036E-3</v>
      </c>
      <c r="N679" s="155">
        <f t="shared" si="109"/>
        <v>8.5470085470085166E-3</v>
      </c>
      <c r="O679" s="155">
        <f t="shared" si="110"/>
        <v>2.1816077113154808E-3</v>
      </c>
      <c r="P679" s="162">
        <f t="shared" si="111"/>
        <v>6.7873303167420573E-3</v>
      </c>
    </row>
    <row r="680" spans="1:16">
      <c r="A680" s="319">
        <v>45187</v>
      </c>
      <c r="B680" s="31">
        <v>5.44</v>
      </c>
      <c r="C680" s="30">
        <v>5.05</v>
      </c>
      <c r="D680" s="30">
        <v>4.74</v>
      </c>
      <c r="E680" s="30">
        <v>4.5061</v>
      </c>
      <c r="F680" s="30">
        <v>4.46</v>
      </c>
      <c r="G680" s="159">
        <f t="shared" si="102"/>
        <v>1.0000000000000675E-4</v>
      </c>
      <c r="H680" s="154">
        <f t="shared" si="103"/>
        <v>3.0000000000000247E-4</v>
      </c>
      <c r="I680" s="154">
        <f t="shared" si="104"/>
        <v>2.0000000000000462E-4</v>
      </c>
      <c r="J680" s="154">
        <f t="shared" si="105"/>
        <v>4.1999999999999815E-5</v>
      </c>
      <c r="K680" s="160">
        <f t="shared" si="106"/>
        <v>9.9999999999997863E-5</v>
      </c>
      <c r="L680" s="161">
        <f t="shared" si="107"/>
        <v>1.8416206261511192E-3</v>
      </c>
      <c r="M680" s="155">
        <f t="shared" si="108"/>
        <v>5.9760956175298752E-3</v>
      </c>
      <c r="N680" s="155">
        <f t="shared" si="109"/>
        <v>4.237288135593209E-3</v>
      </c>
      <c r="O680" s="155">
        <f t="shared" si="110"/>
        <v>9.3293942557592935E-4</v>
      </c>
      <c r="P680" s="162">
        <f t="shared" si="111"/>
        <v>2.2471910112358273E-3</v>
      </c>
    </row>
    <row r="681" spans="1:16">
      <c r="A681" s="319">
        <v>45188</v>
      </c>
      <c r="B681" s="31">
        <v>5.45</v>
      </c>
      <c r="C681" s="30">
        <v>5.08</v>
      </c>
      <c r="D681" s="30">
        <v>4.79</v>
      </c>
      <c r="E681" s="30">
        <v>4.4909999999999997</v>
      </c>
      <c r="F681" s="30">
        <v>4.51</v>
      </c>
      <c r="G681" s="159">
        <f t="shared" si="102"/>
        <v>9.9999999999997863E-5</v>
      </c>
      <c r="H681" s="154">
        <f t="shared" si="103"/>
        <v>3.0000000000000247E-4</v>
      </c>
      <c r="I681" s="154">
        <f t="shared" si="104"/>
        <v>4.9999999999999828E-4</v>
      </c>
      <c r="J681" s="154">
        <f t="shared" si="105"/>
        <v>-1.5100000000000335E-4</v>
      </c>
      <c r="K681" s="160">
        <f t="shared" si="106"/>
        <v>4.9999999999999828E-4</v>
      </c>
      <c r="L681" s="161">
        <f t="shared" si="107"/>
        <v>1.8382352941175295E-3</v>
      </c>
      <c r="M681" s="155">
        <f t="shared" si="108"/>
        <v>5.9405940594059459E-3</v>
      </c>
      <c r="N681" s="155">
        <f t="shared" si="109"/>
        <v>1.0548523206751037E-2</v>
      </c>
      <c r="O681" s="155">
        <f t="shared" si="110"/>
        <v>-3.3510130711702502E-3</v>
      </c>
      <c r="P681" s="162">
        <f t="shared" si="111"/>
        <v>1.1210762331838486E-2</v>
      </c>
    </row>
    <row r="682" spans="1:16">
      <c r="A682" s="319">
        <v>45189</v>
      </c>
      <c r="B682" s="31">
        <v>5.47</v>
      </c>
      <c r="C682" s="30">
        <v>5.12</v>
      </c>
      <c r="D682" s="30">
        <v>4.82</v>
      </c>
      <c r="E682" s="30">
        <v>4.5103999999999997</v>
      </c>
      <c r="F682" s="30">
        <v>4.5199999999999996</v>
      </c>
      <c r="G682" s="159">
        <f t="shared" si="102"/>
        <v>1.9999999999999573E-4</v>
      </c>
      <c r="H682" s="154">
        <f t="shared" si="103"/>
        <v>4.0000000000000034E-4</v>
      </c>
      <c r="I682" s="154">
        <f t="shared" si="104"/>
        <v>3.0000000000000247E-4</v>
      </c>
      <c r="J682" s="154">
        <f t="shared" si="105"/>
        <v>1.9400000000000084E-4</v>
      </c>
      <c r="K682" s="160">
        <f t="shared" si="106"/>
        <v>9.9999999999997863E-5</v>
      </c>
      <c r="L682" s="161">
        <f t="shared" si="107"/>
        <v>3.669724770642091E-3</v>
      </c>
      <c r="M682" s="155">
        <f t="shared" si="108"/>
        <v>7.8740157480314821E-3</v>
      </c>
      <c r="N682" s="155">
        <f t="shared" si="109"/>
        <v>6.2630480167014113E-3</v>
      </c>
      <c r="O682" s="155">
        <f t="shared" si="110"/>
        <v>4.3197506123358043E-3</v>
      </c>
      <c r="P682" s="162">
        <f t="shared" si="111"/>
        <v>2.2172949002217113E-3</v>
      </c>
    </row>
    <row r="683" spans="1:16">
      <c r="A683" s="319">
        <v>45190</v>
      </c>
      <c r="B683" s="31">
        <v>5.46</v>
      </c>
      <c r="C683" s="30">
        <v>5.12</v>
      </c>
      <c r="D683" s="30">
        <v>4.8499999999999996</v>
      </c>
      <c r="E683" s="30">
        <v>4.5575000000000001</v>
      </c>
      <c r="F683" s="30">
        <v>4.6100000000000003</v>
      </c>
      <c r="G683" s="159">
        <f t="shared" si="102"/>
        <v>-9.9999999999997863E-5</v>
      </c>
      <c r="H683" s="154">
        <f t="shared" si="103"/>
        <v>0</v>
      </c>
      <c r="I683" s="154">
        <f t="shared" si="104"/>
        <v>2.9999999999999363E-4</v>
      </c>
      <c r="J683" s="154">
        <f t="shared" si="105"/>
        <v>4.7100000000000364E-4</v>
      </c>
      <c r="K683" s="160">
        <f t="shared" si="106"/>
        <v>9.0000000000000746E-4</v>
      </c>
      <c r="L683" s="161">
        <f t="shared" si="107"/>
        <v>-1.8281535648994041E-3</v>
      </c>
      <c r="M683" s="155">
        <f t="shared" si="108"/>
        <v>0</v>
      </c>
      <c r="N683" s="155">
        <f t="shared" si="109"/>
        <v>6.2240663900414717E-3</v>
      </c>
      <c r="O683" s="155">
        <f t="shared" si="110"/>
        <v>1.0442532813054406E-2</v>
      </c>
      <c r="P683" s="162">
        <f t="shared" si="111"/>
        <v>1.9911504424778848E-2</v>
      </c>
    </row>
    <row r="684" spans="1:16">
      <c r="A684" s="319">
        <v>45191</v>
      </c>
      <c r="B684" s="31">
        <v>5.46</v>
      </c>
      <c r="C684" s="30">
        <v>5.0999999999999996</v>
      </c>
      <c r="D684" s="30">
        <v>4.8</v>
      </c>
      <c r="E684" s="30">
        <v>4.5747999999999998</v>
      </c>
      <c r="F684" s="30">
        <v>4.57</v>
      </c>
      <c r="G684" s="159">
        <f t="shared" si="102"/>
        <v>0</v>
      </c>
      <c r="H684" s="154">
        <f t="shared" si="103"/>
        <v>-2.0000000000000462E-4</v>
      </c>
      <c r="I684" s="154">
        <f t="shared" si="104"/>
        <v>-4.9999999999999828E-4</v>
      </c>
      <c r="J684" s="154">
        <f t="shared" si="105"/>
        <v>1.7299999999999648E-4</v>
      </c>
      <c r="K684" s="160">
        <f t="shared" si="106"/>
        <v>-4.0000000000000034E-4</v>
      </c>
      <c r="L684" s="161">
        <f t="shared" si="107"/>
        <v>0</v>
      </c>
      <c r="M684" s="155">
        <f t="shared" si="108"/>
        <v>-3.906250000000111E-3</v>
      </c>
      <c r="N684" s="155">
        <f t="shared" si="109"/>
        <v>-1.0309278350515427E-2</v>
      </c>
      <c r="O684" s="155">
        <f t="shared" si="110"/>
        <v>3.7959407569938541E-3</v>
      </c>
      <c r="P684" s="162">
        <f t="shared" si="111"/>
        <v>-8.6767895878524515E-3</v>
      </c>
    </row>
    <row r="685" spans="1:16">
      <c r="A685" s="319">
        <v>45194</v>
      </c>
      <c r="B685" s="31">
        <v>5.45</v>
      </c>
      <c r="C685" s="30">
        <v>5.09</v>
      </c>
      <c r="D685" s="30">
        <v>4.83</v>
      </c>
      <c r="E685" s="30">
        <v>4.6139000000000001</v>
      </c>
      <c r="F685" s="30">
        <v>4.62</v>
      </c>
      <c r="G685" s="159">
        <f t="shared" si="102"/>
        <v>-9.9999999999997863E-5</v>
      </c>
      <c r="H685" s="154">
        <f t="shared" si="103"/>
        <v>-9.9999999999997863E-5</v>
      </c>
      <c r="I685" s="154">
        <f t="shared" si="104"/>
        <v>3.0000000000000247E-4</v>
      </c>
      <c r="J685" s="154">
        <f t="shared" si="105"/>
        <v>3.9100000000000354E-4</v>
      </c>
      <c r="K685" s="160">
        <f t="shared" si="106"/>
        <v>4.9999999999999828E-4</v>
      </c>
      <c r="L685" s="161">
        <f t="shared" si="107"/>
        <v>-1.831501831501825E-3</v>
      </c>
      <c r="M685" s="155">
        <f t="shared" si="108"/>
        <v>-1.9607843137254832E-3</v>
      </c>
      <c r="N685" s="155">
        <f t="shared" si="109"/>
        <v>6.2500000000000888E-3</v>
      </c>
      <c r="O685" s="155">
        <f t="shared" si="110"/>
        <v>8.5468217189823559E-3</v>
      </c>
      <c r="P685" s="162">
        <f t="shared" si="111"/>
        <v>1.0940919037199182E-2</v>
      </c>
    </row>
    <row r="686" spans="1:16">
      <c r="A686" s="319">
        <v>45195</v>
      </c>
      <c r="B686" s="31">
        <v>5.45</v>
      </c>
      <c r="C686" s="30">
        <v>5.04</v>
      </c>
      <c r="D686" s="30">
        <v>4.84</v>
      </c>
      <c r="E686" s="30">
        <v>4.6242000000000001</v>
      </c>
      <c r="F686" s="30">
        <v>4.62</v>
      </c>
      <c r="G686" s="159">
        <f t="shared" si="102"/>
        <v>0</v>
      </c>
      <c r="H686" s="154">
        <f t="shared" si="103"/>
        <v>-4.9999999999999828E-4</v>
      </c>
      <c r="I686" s="154">
        <f t="shared" si="104"/>
        <v>9.9999999999997863E-5</v>
      </c>
      <c r="J686" s="154">
        <f t="shared" si="105"/>
        <v>1.0299999999999975E-4</v>
      </c>
      <c r="K686" s="160">
        <f t="shared" si="106"/>
        <v>0</v>
      </c>
      <c r="L686" s="161">
        <f t="shared" si="107"/>
        <v>0</v>
      </c>
      <c r="M686" s="155">
        <f t="shared" si="108"/>
        <v>-9.8231827111984193E-3</v>
      </c>
      <c r="N686" s="155">
        <f t="shared" si="109"/>
        <v>2.0703933747412417E-3</v>
      </c>
      <c r="O686" s="155">
        <f t="shared" si="110"/>
        <v>2.2323847504279737E-3</v>
      </c>
      <c r="P686" s="162">
        <f t="shared" si="111"/>
        <v>0</v>
      </c>
    </row>
    <row r="687" spans="1:16">
      <c r="A687" s="319">
        <v>45196</v>
      </c>
      <c r="B687" s="31">
        <v>5.49</v>
      </c>
      <c r="C687" s="30">
        <v>5.0999999999999996</v>
      </c>
      <c r="D687" s="30">
        <v>4.8899999999999997</v>
      </c>
      <c r="E687" s="30">
        <v>4.6914999999999996</v>
      </c>
      <c r="F687" s="30">
        <v>4.67</v>
      </c>
      <c r="G687" s="159">
        <f t="shared" si="102"/>
        <v>4.0000000000000034E-4</v>
      </c>
      <c r="H687" s="154">
        <f t="shared" si="103"/>
        <v>5.9999999999999604E-4</v>
      </c>
      <c r="I687" s="154">
        <f t="shared" si="104"/>
        <v>4.9999999999999828E-4</v>
      </c>
      <c r="J687" s="154">
        <f t="shared" si="105"/>
        <v>6.7299999999999467E-4</v>
      </c>
      <c r="K687" s="160">
        <f t="shared" si="106"/>
        <v>4.9999999999999828E-4</v>
      </c>
      <c r="L687" s="161">
        <f t="shared" si="107"/>
        <v>7.3394495412844041E-3</v>
      </c>
      <c r="M687" s="155">
        <f t="shared" si="108"/>
        <v>1.1904761904761862E-2</v>
      </c>
      <c r="N687" s="155">
        <f t="shared" si="109"/>
        <v>1.0330578512396604E-2</v>
      </c>
      <c r="O687" s="155">
        <f t="shared" si="110"/>
        <v>1.4553868777301915E-2</v>
      </c>
      <c r="P687" s="162">
        <f t="shared" si="111"/>
        <v>1.0822510822510845E-2</v>
      </c>
    </row>
    <row r="688" spans="1:16">
      <c r="A688" s="319">
        <v>45197</v>
      </c>
      <c r="B688" s="31">
        <v>5.46</v>
      </c>
      <c r="C688" s="30">
        <v>5.04</v>
      </c>
      <c r="D688" s="30">
        <v>4.83</v>
      </c>
      <c r="E688" s="30">
        <v>4.6746999999999996</v>
      </c>
      <c r="F688" s="30">
        <v>4.62</v>
      </c>
      <c r="G688" s="159">
        <f t="shared" si="102"/>
        <v>-3.0000000000000247E-4</v>
      </c>
      <c r="H688" s="154">
        <f t="shared" si="103"/>
        <v>-5.9999999999999604E-4</v>
      </c>
      <c r="I688" s="154">
        <f t="shared" si="104"/>
        <v>-5.9999999999999604E-4</v>
      </c>
      <c r="J688" s="154">
        <f t="shared" si="105"/>
        <v>-1.6799999999999926E-4</v>
      </c>
      <c r="K688" s="160">
        <f t="shared" si="106"/>
        <v>-4.9999999999999828E-4</v>
      </c>
      <c r="L688" s="161">
        <f t="shared" si="107"/>
        <v>-5.464480874316946E-3</v>
      </c>
      <c r="M688" s="155">
        <f t="shared" si="108"/>
        <v>-1.1764705882352899E-2</v>
      </c>
      <c r="N688" s="155">
        <f t="shared" si="109"/>
        <v>-1.2269938650306678E-2</v>
      </c>
      <c r="O688" s="155">
        <f t="shared" si="110"/>
        <v>-3.5809442608973896E-3</v>
      </c>
      <c r="P688" s="162">
        <f t="shared" si="111"/>
        <v>-1.0706638115631661E-2</v>
      </c>
    </row>
    <row r="689" spans="1:16">
      <c r="A689" s="319">
        <v>45198</v>
      </c>
      <c r="B689" s="31">
        <v>5.46</v>
      </c>
      <c r="C689" s="30">
        <v>5.03</v>
      </c>
      <c r="D689" s="30">
        <v>4.8</v>
      </c>
      <c r="E689" s="30">
        <v>4.7118000000000002</v>
      </c>
      <c r="F689" s="30">
        <v>4.5999999999999996</v>
      </c>
      <c r="G689" s="159">
        <f t="shared" si="102"/>
        <v>0</v>
      </c>
      <c r="H689" s="154">
        <f t="shared" si="103"/>
        <v>-9.9999999999997863E-5</v>
      </c>
      <c r="I689" s="154">
        <f t="shared" si="104"/>
        <v>-3.0000000000000247E-4</v>
      </c>
      <c r="J689" s="154">
        <f t="shared" si="105"/>
        <v>3.7100000000000577E-4</v>
      </c>
      <c r="K689" s="160">
        <f t="shared" si="106"/>
        <v>-2.0000000000000462E-4</v>
      </c>
      <c r="L689" s="161">
        <f t="shared" si="107"/>
        <v>0</v>
      </c>
      <c r="M689" s="155">
        <f t="shared" si="108"/>
        <v>-1.9841269841269771E-3</v>
      </c>
      <c r="N689" s="155">
        <f t="shared" si="109"/>
        <v>-6.2111801242236142E-3</v>
      </c>
      <c r="O689" s="155">
        <f t="shared" si="110"/>
        <v>7.9363381607377992E-3</v>
      </c>
      <c r="P689" s="162">
        <f t="shared" si="111"/>
        <v>-4.3290043290044045E-3</v>
      </c>
    </row>
    <row r="690" spans="1:16">
      <c r="A690" s="319">
        <v>45201</v>
      </c>
      <c r="B690" s="31">
        <v>5.49</v>
      </c>
      <c r="C690" s="30">
        <v>5.12</v>
      </c>
      <c r="D690" s="30">
        <v>4.88</v>
      </c>
      <c r="E690" s="30">
        <v>4.7232000000000003</v>
      </c>
      <c r="F690" s="30">
        <v>4.72</v>
      </c>
      <c r="G690" s="159">
        <f t="shared" si="102"/>
        <v>3.0000000000000247E-4</v>
      </c>
      <c r="H690" s="154">
        <f t="shared" si="103"/>
        <v>8.9999999999999857E-4</v>
      </c>
      <c r="I690" s="154">
        <f t="shared" si="104"/>
        <v>8.0000000000000069E-4</v>
      </c>
      <c r="J690" s="154">
        <f t="shared" si="105"/>
        <v>1.1400000000000077E-4</v>
      </c>
      <c r="K690" s="160">
        <f t="shared" si="106"/>
        <v>1.200000000000001E-3</v>
      </c>
      <c r="L690" s="161">
        <f t="shared" si="107"/>
        <v>5.494505494505475E-3</v>
      </c>
      <c r="M690" s="155">
        <f t="shared" si="108"/>
        <v>1.7892644135188762E-2</v>
      </c>
      <c r="N690" s="155">
        <f t="shared" si="109"/>
        <v>1.6666666666666607E-2</v>
      </c>
      <c r="O690" s="155">
        <f t="shared" si="110"/>
        <v>2.4194575321532241E-3</v>
      </c>
      <c r="P690" s="162">
        <f t="shared" si="111"/>
        <v>2.6086956521739202E-2</v>
      </c>
    </row>
    <row r="691" spans="1:16">
      <c r="A691" s="319">
        <v>45202</v>
      </c>
      <c r="B691" s="31">
        <v>5.49</v>
      </c>
      <c r="C691" s="30">
        <v>5.15</v>
      </c>
      <c r="D691" s="30">
        <v>4.95</v>
      </c>
      <c r="E691" s="30">
        <v>4.7709000000000001</v>
      </c>
      <c r="F691" s="30">
        <v>4.8</v>
      </c>
      <c r="G691" s="159">
        <f t="shared" si="102"/>
        <v>0</v>
      </c>
      <c r="H691" s="154">
        <f t="shared" si="103"/>
        <v>3.0000000000000247E-4</v>
      </c>
      <c r="I691" s="154">
        <f t="shared" si="104"/>
        <v>7.0000000000000281E-4</v>
      </c>
      <c r="J691" s="154">
        <f t="shared" si="105"/>
        <v>4.7699999999999853E-4</v>
      </c>
      <c r="K691" s="160">
        <f t="shared" si="106"/>
        <v>8.0000000000000069E-4</v>
      </c>
      <c r="L691" s="161">
        <f t="shared" si="107"/>
        <v>0</v>
      </c>
      <c r="M691" s="155">
        <f t="shared" si="108"/>
        <v>5.859375E-3</v>
      </c>
      <c r="N691" s="155">
        <f t="shared" si="109"/>
        <v>1.4344262295082011E-2</v>
      </c>
      <c r="O691" s="155">
        <f t="shared" si="110"/>
        <v>1.0099085365853577E-2</v>
      </c>
      <c r="P691" s="162">
        <f t="shared" si="111"/>
        <v>1.6949152542372836E-2</v>
      </c>
    </row>
    <row r="692" spans="1:16">
      <c r="A692" s="319">
        <v>45203</v>
      </c>
      <c r="B692" s="31">
        <v>5.42</v>
      </c>
      <c r="C692" s="30">
        <v>5.05</v>
      </c>
      <c r="D692" s="30">
        <v>4.8499999999999996</v>
      </c>
      <c r="E692" s="30">
        <v>4.7382999999999997</v>
      </c>
      <c r="F692" s="30">
        <v>4.72</v>
      </c>
      <c r="G692" s="159">
        <f t="shared" si="102"/>
        <v>-7.0000000000000281E-4</v>
      </c>
      <c r="H692" s="154">
        <f t="shared" si="103"/>
        <v>-1.0000000000000052E-3</v>
      </c>
      <c r="I692" s="154">
        <f t="shared" si="104"/>
        <v>-1.0000000000000052E-3</v>
      </c>
      <c r="J692" s="154">
        <f t="shared" si="105"/>
        <v>-3.2600000000000408E-4</v>
      </c>
      <c r="K692" s="160">
        <f t="shared" si="106"/>
        <v>-8.0000000000000069E-4</v>
      </c>
      <c r="L692" s="161">
        <f t="shared" si="107"/>
        <v>-1.2750455373406244E-2</v>
      </c>
      <c r="M692" s="155">
        <f t="shared" si="108"/>
        <v>-1.9417475728155442E-2</v>
      </c>
      <c r="N692" s="155">
        <f t="shared" si="109"/>
        <v>-2.0202020202020332E-2</v>
      </c>
      <c r="O692" s="155">
        <f t="shared" si="110"/>
        <v>-6.8330922886667977E-3</v>
      </c>
      <c r="P692" s="162">
        <f t="shared" si="111"/>
        <v>-1.6666666666666718E-2</v>
      </c>
    </row>
    <row r="693" spans="1:16">
      <c r="A693" s="319">
        <v>45204</v>
      </c>
      <c r="B693" s="31">
        <v>5.39</v>
      </c>
      <c r="C693" s="30">
        <v>5.03</v>
      </c>
      <c r="D693" s="30">
        <v>4.82</v>
      </c>
      <c r="E693" s="30">
        <v>4.7183999999999999</v>
      </c>
      <c r="F693" s="30">
        <v>4.68</v>
      </c>
      <c r="G693" s="159">
        <f t="shared" si="102"/>
        <v>-3.0000000000000247E-4</v>
      </c>
      <c r="H693" s="154">
        <f t="shared" si="103"/>
        <v>-1.9999999999999573E-4</v>
      </c>
      <c r="I693" s="154">
        <f t="shared" si="104"/>
        <v>-2.9999999999999363E-4</v>
      </c>
      <c r="J693" s="154">
        <f t="shared" si="105"/>
        <v>-1.9899999999999806E-4</v>
      </c>
      <c r="K693" s="160">
        <f t="shared" si="106"/>
        <v>-4.0000000000000034E-4</v>
      </c>
      <c r="L693" s="161">
        <f t="shared" si="107"/>
        <v>-5.5350553505535416E-3</v>
      </c>
      <c r="M693" s="155">
        <f t="shared" si="108"/>
        <v>-3.9603960396038529E-3</v>
      </c>
      <c r="N693" s="155">
        <f t="shared" si="109"/>
        <v>-6.1855670103091454E-3</v>
      </c>
      <c r="O693" s="155">
        <f t="shared" si="110"/>
        <v>-4.1998185003059296E-3</v>
      </c>
      <c r="P693" s="162">
        <f t="shared" si="111"/>
        <v>-8.4745762711864181E-3</v>
      </c>
    </row>
    <row r="694" spans="1:16">
      <c r="A694" s="319">
        <v>45205</v>
      </c>
      <c r="B694" s="31">
        <v>5.43</v>
      </c>
      <c r="C694" s="30">
        <v>5.08</v>
      </c>
      <c r="D694" s="30">
        <v>4.87</v>
      </c>
      <c r="E694" s="30">
        <v>4.7803000000000004</v>
      </c>
      <c r="F694" s="30">
        <v>4.75</v>
      </c>
      <c r="G694" s="159">
        <f t="shared" si="102"/>
        <v>4.0000000000000034E-4</v>
      </c>
      <c r="H694" s="154">
        <f t="shared" si="103"/>
        <v>4.9999999999999828E-4</v>
      </c>
      <c r="I694" s="154">
        <f t="shared" si="104"/>
        <v>4.9999999999999828E-4</v>
      </c>
      <c r="J694" s="154">
        <f t="shared" si="105"/>
        <v>6.1900000000000507E-4</v>
      </c>
      <c r="K694" s="160">
        <f t="shared" si="106"/>
        <v>7.0000000000000281E-4</v>
      </c>
      <c r="L694" s="161">
        <f t="shared" si="107"/>
        <v>7.4211502782930427E-3</v>
      </c>
      <c r="M694" s="155">
        <f t="shared" si="108"/>
        <v>9.9403578528827197E-3</v>
      </c>
      <c r="N694" s="155">
        <f t="shared" si="109"/>
        <v>1.0373443983402453E-2</v>
      </c>
      <c r="O694" s="155">
        <f t="shared" si="110"/>
        <v>1.3118853848762324E-2</v>
      </c>
      <c r="P694" s="162">
        <f t="shared" si="111"/>
        <v>1.4957264957265126E-2</v>
      </c>
    </row>
    <row r="695" spans="1:16">
      <c r="A695" s="319">
        <v>45209</v>
      </c>
      <c r="B695" s="31">
        <v>5.37</v>
      </c>
      <c r="C695" s="30">
        <v>4.96</v>
      </c>
      <c r="D695" s="30">
        <v>4.74</v>
      </c>
      <c r="E695" s="30">
        <v>4.8550000000000004</v>
      </c>
      <c r="F695" s="30">
        <v>4.62</v>
      </c>
      <c r="G695" s="159">
        <f t="shared" si="102"/>
        <v>-5.9999999999999604E-4</v>
      </c>
      <c r="H695" s="154">
        <f t="shared" si="103"/>
        <v>-1.200000000000001E-3</v>
      </c>
      <c r="I695" s="154">
        <f t="shared" si="104"/>
        <v>-1.2999999999999989E-3</v>
      </c>
      <c r="J695" s="154">
        <f t="shared" si="105"/>
        <v>7.4699999999999983E-4</v>
      </c>
      <c r="K695" s="160">
        <f t="shared" si="106"/>
        <v>-1.2999999999999989E-3</v>
      </c>
      <c r="L695" s="161">
        <f t="shared" si="107"/>
        <v>-1.1049723756906049E-2</v>
      </c>
      <c r="M695" s="155">
        <f t="shared" si="108"/>
        <v>-2.3622047244094557E-2</v>
      </c>
      <c r="N695" s="155">
        <f t="shared" si="109"/>
        <v>-2.6694045174537995E-2</v>
      </c>
      <c r="O695" s="155">
        <f t="shared" si="110"/>
        <v>1.5626634311654009E-2</v>
      </c>
      <c r="P695" s="162">
        <f t="shared" si="111"/>
        <v>-2.7368421052631597E-2</v>
      </c>
    </row>
    <row r="696" spans="1:16">
      <c r="A696" s="319">
        <v>45210</v>
      </c>
      <c r="B696" s="31">
        <v>5.38</v>
      </c>
      <c r="C696" s="30">
        <v>4.99</v>
      </c>
      <c r="D696" s="30">
        <v>4.7300000000000004</v>
      </c>
      <c r="E696" s="30">
        <v>4.7953000000000001</v>
      </c>
      <c r="F696" s="30">
        <v>4.59</v>
      </c>
      <c r="G696" s="159">
        <f t="shared" si="102"/>
        <v>9.9999999999997863E-5</v>
      </c>
      <c r="H696" s="154">
        <f t="shared" si="103"/>
        <v>3.0000000000000247E-4</v>
      </c>
      <c r="I696" s="154">
        <f t="shared" si="104"/>
        <v>-9.9999999999997863E-5</v>
      </c>
      <c r="J696" s="154">
        <f t="shared" si="105"/>
        <v>-5.9700000000000313E-4</v>
      </c>
      <c r="K696" s="160">
        <f t="shared" si="106"/>
        <v>-3.0000000000000247E-4</v>
      </c>
      <c r="L696" s="161">
        <f t="shared" si="107"/>
        <v>1.8621973929235924E-3</v>
      </c>
      <c r="M696" s="155">
        <f t="shared" si="108"/>
        <v>6.0483870967742437E-3</v>
      </c>
      <c r="N696" s="155">
        <f t="shared" si="109"/>
        <v>-2.1097046413501852E-3</v>
      </c>
      <c r="O696" s="155">
        <f t="shared" si="110"/>
        <v>-1.229660144181266E-2</v>
      </c>
      <c r="P696" s="162">
        <f t="shared" si="111"/>
        <v>-6.4935064935065512E-3</v>
      </c>
    </row>
    <row r="697" spans="1:16">
      <c r="A697" s="319">
        <v>45211</v>
      </c>
      <c r="B697" s="31">
        <v>5.43</v>
      </c>
      <c r="C697" s="30">
        <v>5.0599999999999996</v>
      </c>
      <c r="D697" s="30">
        <v>4.82</v>
      </c>
      <c r="E697" s="30">
        <v>4.7595000000000001</v>
      </c>
      <c r="F697" s="30">
        <v>4.6900000000000004</v>
      </c>
      <c r="G697" s="159">
        <f t="shared" si="102"/>
        <v>4.9999999999999828E-4</v>
      </c>
      <c r="H697" s="154">
        <f t="shared" si="103"/>
        <v>6.9999999999999392E-4</v>
      </c>
      <c r="I697" s="154">
        <f t="shared" si="104"/>
        <v>8.9999999999999857E-4</v>
      </c>
      <c r="J697" s="154">
        <f t="shared" si="105"/>
        <v>-3.5800000000000052E-4</v>
      </c>
      <c r="K697" s="160">
        <f t="shared" si="106"/>
        <v>1.0000000000000052E-3</v>
      </c>
      <c r="L697" s="161">
        <f t="shared" si="107"/>
        <v>9.2936802973977439E-3</v>
      </c>
      <c r="M697" s="155">
        <f t="shared" si="108"/>
        <v>1.4028056112224352E-2</v>
      </c>
      <c r="N697" s="155">
        <f t="shared" si="109"/>
        <v>1.9027484143763207E-2</v>
      </c>
      <c r="O697" s="155">
        <f t="shared" si="110"/>
        <v>-7.4656434425375284E-3</v>
      </c>
      <c r="P697" s="162">
        <f t="shared" si="111"/>
        <v>2.1786492374727739E-2</v>
      </c>
    </row>
    <row r="698" spans="1:16">
      <c r="A698" s="319">
        <v>45212</v>
      </c>
      <c r="B698" s="31">
        <v>5.41</v>
      </c>
      <c r="C698" s="30">
        <v>5.04</v>
      </c>
      <c r="D698" s="30">
        <v>4.8</v>
      </c>
      <c r="E698" s="30">
        <v>4.7850000000000001</v>
      </c>
      <c r="F698" s="30">
        <v>4.6500000000000004</v>
      </c>
      <c r="G698" s="159">
        <f t="shared" si="102"/>
        <v>-1.9999999999999573E-4</v>
      </c>
      <c r="H698" s="154">
        <f t="shared" si="103"/>
        <v>-1.9999999999999573E-4</v>
      </c>
      <c r="I698" s="154">
        <f t="shared" si="104"/>
        <v>-2.0000000000000462E-4</v>
      </c>
      <c r="J698" s="154">
        <f t="shared" si="105"/>
        <v>2.5500000000000078E-4</v>
      </c>
      <c r="K698" s="160">
        <f t="shared" si="106"/>
        <v>-4.0000000000000034E-4</v>
      </c>
      <c r="L698" s="161">
        <f t="shared" si="107"/>
        <v>-3.6832412523019054E-3</v>
      </c>
      <c r="M698" s="155">
        <f t="shared" si="108"/>
        <v>-3.9525691699603405E-3</v>
      </c>
      <c r="N698" s="155">
        <f t="shared" si="109"/>
        <v>-4.1493775933610921E-3</v>
      </c>
      <c r="O698" s="155">
        <f t="shared" si="110"/>
        <v>5.3577056413489643E-3</v>
      </c>
      <c r="P698" s="162">
        <f t="shared" si="111"/>
        <v>-8.5287846481876262E-3</v>
      </c>
    </row>
    <row r="699" spans="1:16">
      <c r="A699" s="319">
        <v>45215</v>
      </c>
      <c r="B699" s="31">
        <v>5.42</v>
      </c>
      <c r="C699" s="30">
        <v>5.09</v>
      </c>
      <c r="D699" s="30">
        <v>4.87</v>
      </c>
      <c r="E699" s="30" t="e">
        <f>NA()</f>
        <v>#N/A</v>
      </c>
      <c r="F699" s="30">
        <v>4.72</v>
      </c>
      <c r="G699" s="159">
        <f t="shared" si="102"/>
        <v>9.9999999999997863E-5</v>
      </c>
      <c r="H699" s="154">
        <f t="shared" si="103"/>
        <v>4.9999999999999828E-4</v>
      </c>
      <c r="I699" s="154">
        <f t="shared" si="104"/>
        <v>7.0000000000000281E-4</v>
      </c>
      <c r="J699" s="154" t="e">
        <f t="shared" si="105"/>
        <v>#N/A</v>
      </c>
      <c r="K699" s="160">
        <f t="shared" si="106"/>
        <v>6.9999999999999392E-4</v>
      </c>
      <c r="L699" s="161">
        <f t="shared" si="107"/>
        <v>1.848428835489857E-3</v>
      </c>
      <c r="M699" s="155">
        <f t="shared" si="108"/>
        <v>9.9206349206348854E-3</v>
      </c>
      <c r="N699" s="155">
        <f t="shared" si="109"/>
        <v>1.4583333333333393E-2</v>
      </c>
      <c r="O699" s="155" t="e">
        <f t="shared" si="110"/>
        <v>#N/A</v>
      </c>
      <c r="P699" s="162">
        <f t="shared" si="111"/>
        <v>1.5053763440860068E-2</v>
      </c>
    </row>
    <row r="700" spans="1:16">
      <c r="A700" s="319">
        <v>45216</v>
      </c>
      <c r="B700" s="31">
        <v>5.48</v>
      </c>
      <c r="C700" s="30">
        <v>5.19</v>
      </c>
      <c r="D700" s="30">
        <v>5.01</v>
      </c>
      <c r="E700" s="30">
        <v>4.6963999999999997</v>
      </c>
      <c r="F700" s="30">
        <v>4.8600000000000003</v>
      </c>
      <c r="G700" s="159">
        <f t="shared" si="102"/>
        <v>6.0000000000000493E-4</v>
      </c>
      <c r="H700" s="154">
        <f t="shared" si="103"/>
        <v>1.0000000000000052E-3</v>
      </c>
      <c r="I700" s="154">
        <f t="shared" si="104"/>
        <v>1.3999999999999967E-3</v>
      </c>
      <c r="J700" s="154" t="e">
        <f t="shared" si="105"/>
        <v>#N/A</v>
      </c>
      <c r="K700" s="160">
        <f t="shared" si="106"/>
        <v>1.4000000000000056E-3</v>
      </c>
      <c r="L700" s="161">
        <f t="shared" si="107"/>
        <v>1.1070110701107083E-2</v>
      </c>
      <c r="M700" s="155">
        <f t="shared" si="108"/>
        <v>1.9646365422397061E-2</v>
      </c>
      <c r="N700" s="155">
        <f t="shared" si="109"/>
        <v>2.8747433264886935E-2</v>
      </c>
      <c r="O700" s="155" t="e">
        <f t="shared" si="110"/>
        <v>#N/A</v>
      </c>
      <c r="P700" s="162">
        <f t="shared" si="111"/>
        <v>2.9661016949152685E-2</v>
      </c>
    </row>
    <row r="701" spans="1:16">
      <c r="A701" s="319">
        <v>45217</v>
      </c>
      <c r="B701" s="31">
        <v>5.47</v>
      </c>
      <c r="C701" s="30">
        <v>5.19</v>
      </c>
      <c r="D701" s="30">
        <v>5.03</v>
      </c>
      <c r="E701" s="30">
        <v>4.649</v>
      </c>
      <c r="F701" s="30">
        <v>4.92</v>
      </c>
      <c r="G701" s="159">
        <f t="shared" si="102"/>
        <v>-1.0000000000000675E-4</v>
      </c>
      <c r="H701" s="154">
        <f t="shared" si="103"/>
        <v>0</v>
      </c>
      <c r="I701" s="154">
        <f t="shared" si="104"/>
        <v>2.0000000000000462E-4</v>
      </c>
      <c r="J701" s="154">
        <f t="shared" si="105"/>
        <v>-4.7399999999999667E-4</v>
      </c>
      <c r="K701" s="160">
        <f t="shared" si="106"/>
        <v>5.9999999999999604E-4</v>
      </c>
      <c r="L701" s="161">
        <f t="shared" si="107"/>
        <v>-1.8248175182482562E-3</v>
      </c>
      <c r="M701" s="155">
        <f t="shared" si="108"/>
        <v>0</v>
      </c>
      <c r="N701" s="155">
        <f t="shared" si="109"/>
        <v>3.9920159680639777E-3</v>
      </c>
      <c r="O701" s="155">
        <f t="shared" si="110"/>
        <v>-1.0092837066689286E-2</v>
      </c>
      <c r="P701" s="162">
        <f t="shared" si="111"/>
        <v>1.2345679012345512E-2</v>
      </c>
    </row>
    <row r="702" spans="1:16">
      <c r="A702" s="319">
        <v>45218</v>
      </c>
      <c r="B702" s="31">
        <v>5.44</v>
      </c>
      <c r="C702" s="30">
        <v>5.14</v>
      </c>
      <c r="D702" s="30">
        <v>5.01</v>
      </c>
      <c r="E702" s="30">
        <v>4.7271000000000001</v>
      </c>
      <c r="F702" s="30">
        <v>4.95</v>
      </c>
      <c r="G702" s="159">
        <f t="shared" si="102"/>
        <v>-2.9999999999999363E-4</v>
      </c>
      <c r="H702" s="154">
        <f t="shared" si="103"/>
        <v>-5.0000000000000706E-4</v>
      </c>
      <c r="I702" s="154">
        <f t="shared" si="104"/>
        <v>-2.0000000000000462E-4</v>
      </c>
      <c r="J702" s="154">
        <f t="shared" si="105"/>
        <v>7.8100000000000055E-4</v>
      </c>
      <c r="K702" s="160">
        <f t="shared" si="106"/>
        <v>3.0000000000000247E-4</v>
      </c>
      <c r="L702" s="161">
        <f t="shared" si="107"/>
        <v>-5.4844606946982122E-3</v>
      </c>
      <c r="M702" s="155">
        <f t="shared" si="108"/>
        <v>-9.633911368015502E-3</v>
      </c>
      <c r="N702" s="155">
        <f t="shared" si="109"/>
        <v>-3.9761431411531323E-3</v>
      </c>
      <c r="O702" s="155">
        <f t="shared" si="110"/>
        <v>1.6799311679931206E-2</v>
      </c>
      <c r="P702" s="162">
        <f t="shared" si="111"/>
        <v>6.0975609756097615E-3</v>
      </c>
    </row>
    <row r="703" spans="1:16">
      <c r="A703" s="319">
        <v>45219</v>
      </c>
      <c r="B703" s="31">
        <v>5.41</v>
      </c>
      <c r="C703" s="30">
        <v>5.07</v>
      </c>
      <c r="D703" s="30">
        <v>4.93</v>
      </c>
      <c r="E703" s="30">
        <v>4.7042000000000002</v>
      </c>
      <c r="F703" s="30">
        <v>4.8600000000000003</v>
      </c>
      <c r="G703" s="159">
        <f t="shared" si="102"/>
        <v>-3.0000000000000247E-4</v>
      </c>
      <c r="H703" s="154">
        <f t="shared" si="103"/>
        <v>-6.9999999999999392E-4</v>
      </c>
      <c r="I703" s="154">
        <f t="shared" si="104"/>
        <v>-8.0000000000000069E-4</v>
      </c>
      <c r="J703" s="154">
        <f t="shared" si="105"/>
        <v>-2.289999999999992E-4</v>
      </c>
      <c r="K703" s="160">
        <f t="shared" si="106"/>
        <v>-8.9999999999999857E-4</v>
      </c>
      <c r="L703" s="161">
        <f t="shared" si="107"/>
        <v>-5.5147058823530326E-3</v>
      </c>
      <c r="M703" s="155">
        <f t="shared" si="108"/>
        <v>-1.3618677042801397E-2</v>
      </c>
      <c r="N703" s="155">
        <f t="shared" si="109"/>
        <v>-1.5968063872255467E-2</v>
      </c>
      <c r="O703" s="155">
        <f t="shared" si="110"/>
        <v>-4.84440777643802E-3</v>
      </c>
      <c r="P703" s="162">
        <f t="shared" si="111"/>
        <v>-1.8181818181818188E-2</v>
      </c>
    </row>
    <row r="704" spans="1:16">
      <c r="A704" s="319">
        <v>45222</v>
      </c>
      <c r="B704" s="31">
        <v>5.42</v>
      </c>
      <c r="C704" s="30">
        <v>5.05</v>
      </c>
      <c r="D704" s="30">
        <v>4.8899999999999997</v>
      </c>
      <c r="E704" s="30">
        <v>4.7496</v>
      </c>
      <c r="F704" s="30">
        <v>4.8099999999999996</v>
      </c>
      <c r="G704" s="159">
        <f t="shared" si="102"/>
        <v>9.9999999999997863E-5</v>
      </c>
      <c r="H704" s="154">
        <f t="shared" si="103"/>
        <v>-2.0000000000000462E-4</v>
      </c>
      <c r="I704" s="154">
        <f t="shared" si="104"/>
        <v>-4.0000000000000034E-4</v>
      </c>
      <c r="J704" s="154">
        <f t="shared" si="105"/>
        <v>4.5399999999999884E-4</v>
      </c>
      <c r="K704" s="160">
        <f t="shared" si="106"/>
        <v>-5.0000000000000706E-4</v>
      </c>
      <c r="L704" s="161">
        <f t="shared" si="107"/>
        <v>1.848428835489857E-3</v>
      </c>
      <c r="M704" s="155">
        <f t="shared" si="108"/>
        <v>-3.9447731755425375E-3</v>
      </c>
      <c r="N704" s="155">
        <f t="shared" si="109"/>
        <v>-8.113590263691739E-3</v>
      </c>
      <c r="O704" s="155">
        <f t="shared" si="110"/>
        <v>9.6509502147017479E-3</v>
      </c>
      <c r="P704" s="162">
        <f t="shared" si="111"/>
        <v>-1.0288065843621519E-2</v>
      </c>
    </row>
    <row r="705" spans="1:16">
      <c r="A705" s="319">
        <v>45223</v>
      </c>
      <c r="B705" s="31">
        <v>5.41</v>
      </c>
      <c r="C705" s="30">
        <v>5.0199999999999996</v>
      </c>
      <c r="D705" s="30">
        <v>4.91</v>
      </c>
      <c r="E705" s="30">
        <v>4.8594999999999997</v>
      </c>
      <c r="F705" s="30">
        <v>4.82</v>
      </c>
      <c r="G705" s="159">
        <f t="shared" si="102"/>
        <v>-9.9999999999997863E-5</v>
      </c>
      <c r="H705" s="154">
        <f t="shared" si="103"/>
        <v>-3.0000000000000247E-4</v>
      </c>
      <c r="I705" s="154">
        <f t="shared" si="104"/>
        <v>2.0000000000000462E-4</v>
      </c>
      <c r="J705" s="154">
        <f t="shared" si="105"/>
        <v>1.0989999999999967E-3</v>
      </c>
      <c r="K705" s="160">
        <f t="shared" si="106"/>
        <v>1.0000000000000675E-4</v>
      </c>
      <c r="L705" s="161">
        <f t="shared" si="107"/>
        <v>-1.8450184501844769E-3</v>
      </c>
      <c r="M705" s="155">
        <f t="shared" si="108"/>
        <v>-5.9405940594059459E-3</v>
      </c>
      <c r="N705" s="155">
        <f t="shared" si="109"/>
        <v>4.0899795501023739E-3</v>
      </c>
      <c r="O705" s="155">
        <f t="shared" si="110"/>
        <v>2.3138790635000683E-2</v>
      </c>
      <c r="P705" s="162">
        <f t="shared" si="111"/>
        <v>2.0790020790022457E-3</v>
      </c>
    </row>
    <row r="706" spans="1:16">
      <c r="A706" s="319">
        <v>45224</v>
      </c>
      <c r="B706" s="31">
        <v>5.43</v>
      </c>
      <c r="C706" s="30">
        <v>5.08</v>
      </c>
      <c r="D706" s="30">
        <v>4.9800000000000004</v>
      </c>
      <c r="E706" s="30">
        <v>4.9105999999999996</v>
      </c>
      <c r="F706" s="30">
        <v>4.8899999999999997</v>
      </c>
      <c r="G706" s="159">
        <f t="shared" si="102"/>
        <v>1.9999999999999573E-4</v>
      </c>
      <c r="H706" s="154">
        <f t="shared" si="103"/>
        <v>6.0000000000000493E-4</v>
      </c>
      <c r="I706" s="154">
        <f t="shared" si="104"/>
        <v>7.0000000000000281E-4</v>
      </c>
      <c r="J706" s="154">
        <f t="shared" si="105"/>
        <v>5.1099999999999919E-4</v>
      </c>
      <c r="K706" s="160">
        <f t="shared" si="106"/>
        <v>6.9999999999999392E-4</v>
      </c>
      <c r="L706" s="161">
        <f t="shared" si="107"/>
        <v>3.696857670979492E-3</v>
      </c>
      <c r="M706" s="155">
        <f t="shared" si="108"/>
        <v>1.195219123505975E-2</v>
      </c>
      <c r="N706" s="155">
        <f t="shared" si="109"/>
        <v>1.4256619144602967E-2</v>
      </c>
      <c r="O706" s="155">
        <f t="shared" si="110"/>
        <v>1.0515485132215341E-2</v>
      </c>
      <c r="P706" s="162">
        <f t="shared" si="111"/>
        <v>1.4522821576763434E-2</v>
      </c>
    </row>
    <row r="707" spans="1:16">
      <c r="A707" s="319">
        <v>45225</v>
      </c>
      <c r="B707" s="31">
        <v>5.39</v>
      </c>
      <c r="C707" s="30">
        <v>5.0199999999999996</v>
      </c>
      <c r="D707" s="30">
        <v>4.8899999999999997</v>
      </c>
      <c r="E707" s="30">
        <v>4.9375</v>
      </c>
      <c r="F707" s="30">
        <v>4.79</v>
      </c>
      <c r="G707" s="159">
        <f t="shared" si="102"/>
        <v>-4.0000000000000034E-4</v>
      </c>
      <c r="H707" s="154">
        <f t="shared" si="103"/>
        <v>-6.0000000000000493E-4</v>
      </c>
      <c r="I707" s="154">
        <f t="shared" si="104"/>
        <v>-9.0000000000000746E-4</v>
      </c>
      <c r="J707" s="154">
        <f t="shared" si="105"/>
        <v>2.6900000000000367E-4</v>
      </c>
      <c r="K707" s="160">
        <f t="shared" si="106"/>
        <v>-9.9999999999999655E-4</v>
      </c>
      <c r="L707" s="161">
        <f t="shared" si="107"/>
        <v>-7.3664825046040328E-3</v>
      </c>
      <c r="M707" s="155">
        <f t="shared" si="108"/>
        <v>-1.1811023622047334E-2</v>
      </c>
      <c r="N707" s="155">
        <f t="shared" si="109"/>
        <v>-1.807228915662662E-2</v>
      </c>
      <c r="O707" s="155">
        <f t="shared" si="110"/>
        <v>5.477945668553863E-3</v>
      </c>
      <c r="P707" s="162">
        <f t="shared" si="111"/>
        <v>-2.0449897750511203E-2</v>
      </c>
    </row>
    <row r="708" spans="1:16">
      <c r="A708" s="319">
        <v>45226</v>
      </c>
      <c r="B708" s="31">
        <v>5.39</v>
      </c>
      <c r="C708" s="30">
        <v>4.99</v>
      </c>
      <c r="D708" s="30">
        <v>4.84</v>
      </c>
      <c r="E708" s="30">
        <v>4.8851000000000004</v>
      </c>
      <c r="F708" s="30">
        <v>4.76</v>
      </c>
      <c r="G708" s="159">
        <f t="shared" ref="G708:G771" si="112">(B708-B707)/100</f>
        <v>0</v>
      </c>
      <c r="H708" s="154">
        <f t="shared" ref="H708:H771" si="113">(C708-C707)/100</f>
        <v>-2.9999999999999363E-4</v>
      </c>
      <c r="I708" s="154">
        <f t="shared" ref="I708:I771" si="114">(D708-D707)/100</f>
        <v>-4.9999999999999828E-4</v>
      </c>
      <c r="J708" s="154">
        <f t="shared" ref="J708:J771" si="115">(E708-E707)/100</f>
        <v>-5.2399999999999561E-4</v>
      </c>
      <c r="K708" s="160">
        <f t="shared" ref="K708:K771" si="116">(F708-F707)/100</f>
        <v>-3.0000000000000247E-4</v>
      </c>
      <c r="L708" s="161">
        <f t="shared" ref="L708:L771" si="117">(B708/B707)-1</f>
        <v>0</v>
      </c>
      <c r="M708" s="155">
        <f t="shared" ref="M708:M771" si="118">(C708/C707)-1</f>
        <v>-5.9760956175297641E-3</v>
      </c>
      <c r="N708" s="155">
        <f t="shared" ref="N708:N771" si="119">(D708/D707)-1</f>
        <v>-1.0224948875255602E-2</v>
      </c>
      <c r="O708" s="155">
        <f t="shared" ref="O708:O771" si="120">(E708/E707)-1</f>
        <v>-1.061265822784796E-2</v>
      </c>
      <c r="P708" s="162">
        <f t="shared" ref="P708:P771" si="121">(F708/F707)-1</f>
        <v>-6.2630480167015223E-3</v>
      </c>
    </row>
    <row r="709" spans="1:16">
      <c r="A709" s="319">
        <v>45229</v>
      </c>
      <c r="B709" s="31">
        <v>5.41</v>
      </c>
      <c r="C709" s="30">
        <v>5.03</v>
      </c>
      <c r="D709" s="30">
        <v>4.87</v>
      </c>
      <c r="E709" s="30">
        <v>4.8331</v>
      </c>
      <c r="F709" s="30">
        <v>4.8</v>
      </c>
      <c r="G709" s="159">
        <f t="shared" si="112"/>
        <v>2.0000000000000462E-4</v>
      </c>
      <c r="H709" s="154">
        <f t="shared" si="113"/>
        <v>4.0000000000000034E-4</v>
      </c>
      <c r="I709" s="154">
        <f t="shared" si="114"/>
        <v>3.0000000000000247E-4</v>
      </c>
      <c r="J709" s="154">
        <f t="shared" si="115"/>
        <v>-5.2000000000000494E-4</v>
      </c>
      <c r="K709" s="160">
        <f t="shared" si="116"/>
        <v>4.0000000000000034E-4</v>
      </c>
      <c r="L709" s="161">
        <f t="shared" si="117"/>
        <v>3.7105751391466324E-3</v>
      </c>
      <c r="M709" s="155">
        <f t="shared" si="118"/>
        <v>8.0160320641282645E-3</v>
      </c>
      <c r="N709" s="155">
        <f t="shared" si="119"/>
        <v>6.1983471074380514E-3</v>
      </c>
      <c r="O709" s="155">
        <f t="shared" si="120"/>
        <v>-1.0644613211602705E-2</v>
      </c>
      <c r="P709" s="162">
        <f t="shared" si="121"/>
        <v>8.4033613445377853E-3</v>
      </c>
    </row>
    <row r="710" spans="1:16">
      <c r="A710" s="319">
        <v>45230</v>
      </c>
      <c r="B710" s="31">
        <v>5.44</v>
      </c>
      <c r="C710" s="30">
        <v>5.07</v>
      </c>
      <c r="D710" s="30">
        <v>4.9000000000000004</v>
      </c>
      <c r="E710" s="30">
        <v>4.8262</v>
      </c>
      <c r="F710" s="30">
        <v>4.82</v>
      </c>
      <c r="G710" s="159">
        <f t="shared" si="112"/>
        <v>3.0000000000000247E-4</v>
      </c>
      <c r="H710" s="154">
        <f t="shared" si="113"/>
        <v>4.0000000000000034E-4</v>
      </c>
      <c r="I710" s="154">
        <f t="shared" si="114"/>
        <v>3.0000000000000247E-4</v>
      </c>
      <c r="J710" s="154">
        <f t="shared" si="115"/>
        <v>-6.8999999999999062E-5</v>
      </c>
      <c r="K710" s="160">
        <f t="shared" si="116"/>
        <v>2.0000000000000462E-4</v>
      </c>
      <c r="L710" s="161">
        <f t="shared" si="117"/>
        <v>5.5452865064695711E-3</v>
      </c>
      <c r="M710" s="155">
        <f t="shared" si="118"/>
        <v>7.9522862823062646E-3</v>
      </c>
      <c r="N710" s="155">
        <f t="shared" si="119"/>
        <v>6.1601642710473747E-3</v>
      </c>
      <c r="O710" s="155">
        <f t="shared" si="120"/>
        <v>-1.427655128178551E-3</v>
      </c>
      <c r="P710" s="162">
        <f t="shared" si="121"/>
        <v>4.1666666666668739E-3</v>
      </c>
    </row>
    <row r="711" spans="1:16">
      <c r="A711" s="319">
        <v>45231</v>
      </c>
      <c r="B711" s="31">
        <v>5.37</v>
      </c>
      <c r="C711" s="30">
        <v>4.95</v>
      </c>
      <c r="D711" s="30">
        <v>4.76</v>
      </c>
      <c r="E711" s="30">
        <v>4.8906999999999998</v>
      </c>
      <c r="F711" s="30">
        <v>4.67</v>
      </c>
      <c r="G711" s="159">
        <f t="shared" si="112"/>
        <v>-7.0000000000000281E-4</v>
      </c>
      <c r="H711" s="154">
        <f t="shared" si="113"/>
        <v>-1.200000000000001E-3</v>
      </c>
      <c r="I711" s="154">
        <f t="shared" si="114"/>
        <v>-1.4000000000000056E-3</v>
      </c>
      <c r="J711" s="154">
        <f t="shared" si="115"/>
        <v>6.4499999999999779E-4</v>
      </c>
      <c r="K711" s="160">
        <f t="shared" si="116"/>
        <v>-1.5000000000000035E-3</v>
      </c>
      <c r="L711" s="161">
        <f t="shared" si="117"/>
        <v>-1.2867647058823595E-2</v>
      </c>
      <c r="M711" s="155">
        <f t="shared" si="118"/>
        <v>-2.3668639053254448E-2</v>
      </c>
      <c r="N711" s="155">
        <f t="shared" si="119"/>
        <v>-2.8571428571428692E-2</v>
      </c>
      <c r="O711" s="155">
        <f t="shared" si="120"/>
        <v>1.3364551821308579E-2</v>
      </c>
      <c r="P711" s="162">
        <f t="shared" si="121"/>
        <v>-3.112033195020758E-2</v>
      </c>
    </row>
    <row r="712" spans="1:16">
      <c r="A712" s="319">
        <v>45232</v>
      </c>
      <c r="B712" s="31">
        <v>5.38</v>
      </c>
      <c r="C712" s="30">
        <v>4.9800000000000004</v>
      </c>
      <c r="D712" s="30">
        <v>4.78</v>
      </c>
      <c r="E712" s="30">
        <v>4.8354999999999997</v>
      </c>
      <c r="F712" s="30">
        <v>4.6500000000000004</v>
      </c>
      <c r="G712" s="159">
        <f t="shared" si="112"/>
        <v>9.9999999999997863E-5</v>
      </c>
      <c r="H712" s="154">
        <f t="shared" si="113"/>
        <v>3.0000000000000247E-4</v>
      </c>
      <c r="I712" s="154">
        <f t="shared" si="114"/>
        <v>2.0000000000000462E-4</v>
      </c>
      <c r="J712" s="154">
        <f t="shared" si="115"/>
        <v>-5.5200000000000138E-4</v>
      </c>
      <c r="K712" s="160">
        <f t="shared" si="116"/>
        <v>-1.9999999999999573E-4</v>
      </c>
      <c r="L712" s="161">
        <f t="shared" si="117"/>
        <v>1.8621973929235924E-3</v>
      </c>
      <c r="M712" s="155">
        <f t="shared" si="118"/>
        <v>6.0606060606060996E-3</v>
      </c>
      <c r="N712" s="155">
        <f t="shared" si="119"/>
        <v>4.2016806722691147E-3</v>
      </c>
      <c r="O712" s="155">
        <f t="shared" si="120"/>
        <v>-1.1286727871265945E-2</v>
      </c>
      <c r="P712" s="162">
        <f t="shared" si="121"/>
        <v>-4.282655246252598E-3</v>
      </c>
    </row>
    <row r="713" spans="1:16">
      <c r="A713" s="319">
        <v>45233</v>
      </c>
      <c r="B713" s="31">
        <v>5.29</v>
      </c>
      <c r="C713" s="30">
        <v>4.83</v>
      </c>
      <c r="D713" s="30">
        <v>4.62</v>
      </c>
      <c r="E713" s="30">
        <v>4.7957999999999998</v>
      </c>
      <c r="F713" s="30">
        <v>4.49</v>
      </c>
      <c r="G713" s="159">
        <f t="shared" si="112"/>
        <v>-8.9999999999999857E-4</v>
      </c>
      <c r="H713" s="154">
        <f t="shared" si="113"/>
        <v>-1.5000000000000035E-3</v>
      </c>
      <c r="I713" s="154">
        <f t="shared" si="114"/>
        <v>-1.6000000000000014E-3</v>
      </c>
      <c r="J713" s="154">
        <f t="shared" si="115"/>
        <v>-3.9699999999999848E-4</v>
      </c>
      <c r="K713" s="160">
        <f t="shared" si="116"/>
        <v>-1.6000000000000014E-3</v>
      </c>
      <c r="L713" s="161">
        <f t="shared" si="117"/>
        <v>-1.6728624535315983E-2</v>
      </c>
      <c r="M713" s="155">
        <f t="shared" si="118"/>
        <v>-3.0120481927710885E-2</v>
      </c>
      <c r="N713" s="155">
        <f t="shared" si="119"/>
        <v>-3.3472803347280311E-2</v>
      </c>
      <c r="O713" s="155">
        <f t="shared" si="120"/>
        <v>-8.210112708096351E-3</v>
      </c>
      <c r="P713" s="162">
        <f t="shared" si="121"/>
        <v>-3.4408602150537648E-2</v>
      </c>
    </row>
    <row r="714" spans="1:16">
      <c r="A714" s="319">
        <v>45236</v>
      </c>
      <c r="B714" s="31">
        <v>5.33</v>
      </c>
      <c r="C714" s="30">
        <v>4.93</v>
      </c>
      <c r="D714" s="30">
        <v>4.72</v>
      </c>
      <c r="E714" s="30">
        <v>4.8102999999999998</v>
      </c>
      <c r="F714" s="30">
        <v>4.5999999999999996</v>
      </c>
      <c r="G714" s="159">
        <f t="shared" si="112"/>
        <v>4.0000000000000034E-4</v>
      </c>
      <c r="H714" s="154">
        <f t="shared" si="113"/>
        <v>9.9999999999999655E-4</v>
      </c>
      <c r="I714" s="154">
        <f t="shared" si="114"/>
        <v>9.9999999999999655E-4</v>
      </c>
      <c r="J714" s="154">
        <f t="shared" si="115"/>
        <v>1.4499999999999957E-4</v>
      </c>
      <c r="K714" s="160">
        <f t="shared" si="116"/>
        <v>1.0999999999999942E-3</v>
      </c>
      <c r="L714" s="161">
        <f t="shared" si="117"/>
        <v>7.5614366729679361E-3</v>
      </c>
      <c r="M714" s="155">
        <f t="shared" si="118"/>
        <v>2.0703933747411973E-2</v>
      </c>
      <c r="N714" s="155">
        <f t="shared" si="119"/>
        <v>2.1645021645021467E-2</v>
      </c>
      <c r="O714" s="155">
        <f t="shared" si="120"/>
        <v>3.0234788773511045E-3</v>
      </c>
      <c r="P714" s="162">
        <f t="shared" si="121"/>
        <v>2.4498886414253684E-2</v>
      </c>
    </row>
    <row r="715" spans="1:16">
      <c r="A715" s="319">
        <v>45237</v>
      </c>
      <c r="B715" s="31">
        <v>5.33</v>
      </c>
      <c r="C715" s="30">
        <v>4.91</v>
      </c>
      <c r="D715" s="30">
        <v>4.6399999999999997</v>
      </c>
      <c r="E715" s="30">
        <v>4.8238000000000003</v>
      </c>
      <c r="F715" s="30">
        <v>4.53</v>
      </c>
      <c r="G715" s="159">
        <f t="shared" si="112"/>
        <v>0</v>
      </c>
      <c r="H715" s="154">
        <f t="shared" si="113"/>
        <v>-1.9999999999999573E-4</v>
      </c>
      <c r="I715" s="154">
        <f t="shared" si="114"/>
        <v>-8.0000000000000069E-4</v>
      </c>
      <c r="J715" s="154">
        <f t="shared" si="115"/>
        <v>1.3500000000000512E-4</v>
      </c>
      <c r="K715" s="160">
        <f t="shared" si="116"/>
        <v>-6.9999999999999392E-4</v>
      </c>
      <c r="L715" s="161">
        <f t="shared" si="117"/>
        <v>0</v>
      </c>
      <c r="M715" s="155">
        <f t="shared" si="118"/>
        <v>-4.0567951318457585E-3</v>
      </c>
      <c r="N715" s="155">
        <f t="shared" si="119"/>
        <v>-1.6949152542372947E-2</v>
      </c>
      <c r="O715" s="155">
        <f t="shared" si="120"/>
        <v>2.8064777664595919E-3</v>
      </c>
      <c r="P715" s="162">
        <f t="shared" si="121"/>
        <v>-1.5217391304347738E-2</v>
      </c>
    </row>
    <row r="716" spans="1:16">
      <c r="A716" s="319">
        <v>45238</v>
      </c>
      <c r="B716" s="31">
        <v>5.34</v>
      </c>
      <c r="C716" s="30">
        <v>4.93</v>
      </c>
      <c r="D716" s="30">
        <v>4.6500000000000004</v>
      </c>
      <c r="E716" s="30">
        <v>4.7229999999999999</v>
      </c>
      <c r="F716" s="30">
        <v>4.51</v>
      </c>
      <c r="G716" s="159">
        <f t="shared" si="112"/>
        <v>9.9999999999997863E-5</v>
      </c>
      <c r="H716" s="154">
        <f t="shared" si="113"/>
        <v>1.9999999999999573E-4</v>
      </c>
      <c r="I716" s="154">
        <f t="shared" si="114"/>
        <v>1.0000000000000675E-4</v>
      </c>
      <c r="J716" s="154">
        <f t="shared" si="115"/>
        <v>-1.0080000000000046E-3</v>
      </c>
      <c r="K716" s="160">
        <f t="shared" si="116"/>
        <v>-2.0000000000000462E-4</v>
      </c>
      <c r="L716" s="161">
        <f t="shared" si="117"/>
        <v>1.8761726078799779E-3</v>
      </c>
      <c r="M716" s="155">
        <f t="shared" si="118"/>
        <v>4.0733197556006573E-3</v>
      </c>
      <c r="N716" s="155">
        <f t="shared" si="119"/>
        <v>2.1551724137931494E-3</v>
      </c>
      <c r="O716" s="155">
        <f t="shared" si="120"/>
        <v>-2.0896388739168437E-2</v>
      </c>
      <c r="P716" s="162">
        <f t="shared" si="121"/>
        <v>-4.4150110375277274E-3</v>
      </c>
    </row>
    <row r="717" spans="1:16">
      <c r="A717" s="319">
        <v>45239</v>
      </c>
      <c r="B717" s="31">
        <v>5.39</v>
      </c>
      <c r="C717" s="30">
        <v>5.03</v>
      </c>
      <c r="D717" s="30">
        <v>4.7699999999999996</v>
      </c>
      <c r="E717" s="30">
        <v>4.6753999999999998</v>
      </c>
      <c r="F717" s="30">
        <v>4.6500000000000004</v>
      </c>
      <c r="G717" s="159">
        <f t="shared" si="112"/>
        <v>4.9999999999999828E-4</v>
      </c>
      <c r="H717" s="154">
        <f t="shared" si="113"/>
        <v>1.0000000000000052E-3</v>
      </c>
      <c r="I717" s="154">
        <f t="shared" si="114"/>
        <v>1.1999999999999921E-3</v>
      </c>
      <c r="J717" s="154">
        <f t="shared" si="115"/>
        <v>-4.7600000000000089E-4</v>
      </c>
      <c r="K717" s="160">
        <f t="shared" si="116"/>
        <v>1.4000000000000056E-3</v>
      </c>
      <c r="L717" s="161">
        <f t="shared" si="117"/>
        <v>9.3632958801497246E-3</v>
      </c>
      <c r="M717" s="155">
        <f t="shared" si="118"/>
        <v>2.0283975659229236E-2</v>
      </c>
      <c r="N717" s="155">
        <f t="shared" si="119"/>
        <v>2.580645161290307E-2</v>
      </c>
      <c r="O717" s="155">
        <f t="shared" si="120"/>
        <v>-1.0078340038111366E-2</v>
      </c>
      <c r="P717" s="162">
        <f t="shared" si="121"/>
        <v>3.1042128603104402E-2</v>
      </c>
    </row>
    <row r="718" spans="1:16">
      <c r="A718" s="319">
        <v>45240</v>
      </c>
      <c r="B718" s="31">
        <v>5.38</v>
      </c>
      <c r="C718" s="30">
        <v>5.04</v>
      </c>
      <c r="D718" s="30">
        <v>4.8</v>
      </c>
      <c r="E718" s="30">
        <v>4.5541</v>
      </c>
      <c r="F718" s="30">
        <v>4.6500000000000004</v>
      </c>
      <c r="G718" s="159">
        <f t="shared" si="112"/>
        <v>-9.9999999999997863E-5</v>
      </c>
      <c r="H718" s="154">
        <f t="shared" si="113"/>
        <v>9.9999999999997863E-5</v>
      </c>
      <c r="I718" s="154">
        <f t="shared" si="114"/>
        <v>3.0000000000000247E-4</v>
      </c>
      <c r="J718" s="154">
        <f t="shared" si="115"/>
        <v>-1.2129999999999975E-3</v>
      </c>
      <c r="K718" s="160">
        <f t="shared" si="116"/>
        <v>0</v>
      </c>
      <c r="L718" s="161">
        <f t="shared" si="117"/>
        <v>-1.8552875695732052E-3</v>
      </c>
      <c r="M718" s="155">
        <f t="shared" si="118"/>
        <v>1.9880715705764551E-3</v>
      </c>
      <c r="N718" s="155">
        <f t="shared" si="119"/>
        <v>6.2893081761006275E-3</v>
      </c>
      <c r="O718" s="155">
        <f t="shared" si="120"/>
        <v>-2.594430423065397E-2</v>
      </c>
      <c r="P718" s="162">
        <f t="shared" si="121"/>
        <v>0</v>
      </c>
    </row>
    <row r="719" spans="1:16">
      <c r="A719" s="319">
        <v>45243</v>
      </c>
      <c r="B719" s="31">
        <v>5.37</v>
      </c>
      <c r="C719" s="30">
        <v>5.0199999999999996</v>
      </c>
      <c r="D719" s="30">
        <v>4.8</v>
      </c>
      <c r="E719" s="30">
        <v>4.6096000000000004</v>
      </c>
      <c r="F719" s="30">
        <v>4.66</v>
      </c>
      <c r="G719" s="159">
        <f t="shared" si="112"/>
        <v>-9.9999999999997863E-5</v>
      </c>
      <c r="H719" s="154">
        <f t="shared" si="113"/>
        <v>-2.0000000000000462E-4</v>
      </c>
      <c r="I719" s="154">
        <f t="shared" si="114"/>
        <v>0</v>
      </c>
      <c r="J719" s="154">
        <f t="shared" si="115"/>
        <v>5.550000000000033E-4</v>
      </c>
      <c r="K719" s="160">
        <f t="shared" si="116"/>
        <v>9.9999999999997863E-5</v>
      </c>
      <c r="L719" s="161">
        <f t="shared" si="117"/>
        <v>-1.8587360594795044E-3</v>
      </c>
      <c r="M719" s="155">
        <f t="shared" si="118"/>
        <v>-3.9682539682540652E-3</v>
      </c>
      <c r="N719" s="155">
        <f t="shared" si="119"/>
        <v>0</v>
      </c>
      <c r="O719" s="155">
        <f t="shared" si="120"/>
        <v>1.2186820667091203E-2</v>
      </c>
      <c r="P719" s="162">
        <f t="shared" si="121"/>
        <v>2.1505376344086446E-3</v>
      </c>
    </row>
    <row r="720" spans="1:16">
      <c r="A720" s="319">
        <v>45244</v>
      </c>
      <c r="B720" s="31">
        <v>5.24</v>
      </c>
      <c r="C720" s="30">
        <v>4.8</v>
      </c>
      <c r="D720" s="30">
        <v>4.5599999999999996</v>
      </c>
      <c r="E720" s="30">
        <v>4.5744999999999996</v>
      </c>
      <c r="F720" s="30">
        <v>4.42</v>
      </c>
      <c r="G720" s="159">
        <f t="shared" si="112"/>
        <v>-1.2999999999999989E-3</v>
      </c>
      <c r="H720" s="154">
        <f t="shared" si="113"/>
        <v>-2.1999999999999975E-3</v>
      </c>
      <c r="I720" s="154">
        <f t="shared" si="114"/>
        <v>-2.400000000000002E-3</v>
      </c>
      <c r="J720" s="154">
        <f t="shared" si="115"/>
        <v>-3.5100000000000799E-4</v>
      </c>
      <c r="K720" s="160">
        <f t="shared" si="116"/>
        <v>-2.400000000000002E-3</v>
      </c>
      <c r="L720" s="161">
        <f t="shared" si="117"/>
        <v>-2.4208566108007479E-2</v>
      </c>
      <c r="M720" s="155">
        <f t="shared" si="118"/>
        <v>-4.3824701195219085E-2</v>
      </c>
      <c r="N720" s="155">
        <f t="shared" si="119"/>
        <v>-5.0000000000000044E-2</v>
      </c>
      <c r="O720" s="155">
        <f t="shared" si="120"/>
        <v>-7.6145435612636758E-3</v>
      </c>
      <c r="P720" s="162">
        <f t="shared" si="121"/>
        <v>-5.1502145922746823E-2</v>
      </c>
    </row>
    <row r="721" spans="1:16">
      <c r="A721" s="319">
        <v>45245</v>
      </c>
      <c r="B721" s="31">
        <v>5.27</v>
      </c>
      <c r="C721" s="30">
        <v>4.9000000000000004</v>
      </c>
      <c r="D721" s="30">
        <v>4.68</v>
      </c>
      <c r="E721" s="30">
        <v>4.5570000000000004</v>
      </c>
      <c r="F721" s="30">
        <v>4.5199999999999996</v>
      </c>
      <c r="G721" s="159">
        <f t="shared" si="112"/>
        <v>2.9999999999999363E-4</v>
      </c>
      <c r="H721" s="154">
        <f t="shared" si="113"/>
        <v>1.0000000000000052E-3</v>
      </c>
      <c r="I721" s="154">
        <f t="shared" si="114"/>
        <v>1.200000000000001E-3</v>
      </c>
      <c r="J721" s="154">
        <f t="shared" si="115"/>
        <v>-1.7499999999999184E-4</v>
      </c>
      <c r="K721" s="160">
        <f t="shared" si="116"/>
        <v>9.9999999999999655E-4</v>
      </c>
      <c r="L721" s="161">
        <f t="shared" si="117"/>
        <v>5.7251908396944717E-3</v>
      </c>
      <c r="M721" s="155">
        <f t="shared" si="118"/>
        <v>2.0833333333333481E-2</v>
      </c>
      <c r="N721" s="155">
        <f t="shared" si="119"/>
        <v>2.6315789473684292E-2</v>
      </c>
      <c r="O721" s="155">
        <f t="shared" si="120"/>
        <v>-3.8255547054321104E-3</v>
      </c>
      <c r="P721" s="162">
        <f t="shared" si="121"/>
        <v>2.2624434389140191E-2</v>
      </c>
    </row>
    <row r="722" spans="1:16">
      <c r="A722" s="319">
        <v>45246</v>
      </c>
      <c r="B722" s="31">
        <v>5.23</v>
      </c>
      <c r="C722" s="30">
        <v>4.83</v>
      </c>
      <c r="D722" s="30">
        <v>4.59</v>
      </c>
      <c r="E722" s="30">
        <v>4.6558000000000002</v>
      </c>
      <c r="F722" s="30">
        <v>4.43</v>
      </c>
      <c r="G722" s="159">
        <f t="shared" si="112"/>
        <v>-3.9999999999999145E-4</v>
      </c>
      <c r="H722" s="154">
        <f t="shared" si="113"/>
        <v>-7.0000000000000281E-4</v>
      </c>
      <c r="I722" s="154">
        <f t="shared" si="114"/>
        <v>-8.9999999999999857E-4</v>
      </c>
      <c r="J722" s="154">
        <f t="shared" si="115"/>
        <v>9.8799999999999778E-4</v>
      </c>
      <c r="K722" s="160">
        <f t="shared" si="116"/>
        <v>-8.9999999999999857E-4</v>
      </c>
      <c r="L722" s="161">
        <f t="shared" si="117"/>
        <v>-7.5901328273243474E-3</v>
      </c>
      <c r="M722" s="155">
        <f t="shared" si="118"/>
        <v>-1.4285714285714346E-2</v>
      </c>
      <c r="N722" s="155">
        <f t="shared" si="119"/>
        <v>-1.9230769230769162E-2</v>
      </c>
      <c r="O722" s="155">
        <f t="shared" si="120"/>
        <v>2.1680930436690726E-2</v>
      </c>
      <c r="P722" s="162">
        <f t="shared" si="121"/>
        <v>-1.9911504424778736E-2</v>
      </c>
    </row>
    <row r="723" spans="1:16">
      <c r="A723" s="319">
        <v>45247</v>
      </c>
      <c r="B723" s="31">
        <v>5.24</v>
      </c>
      <c r="C723" s="30">
        <v>4.88</v>
      </c>
      <c r="D723" s="30">
        <v>4.6399999999999997</v>
      </c>
      <c r="E723" s="30">
        <v>4.6828000000000003</v>
      </c>
      <c r="F723" s="30">
        <v>4.45</v>
      </c>
      <c r="G723" s="159">
        <f t="shared" si="112"/>
        <v>9.9999999999997863E-5</v>
      </c>
      <c r="H723" s="154">
        <f t="shared" si="113"/>
        <v>4.9999999999999828E-4</v>
      </c>
      <c r="I723" s="154">
        <f t="shared" si="114"/>
        <v>4.9999999999999828E-4</v>
      </c>
      <c r="J723" s="154">
        <f t="shared" si="115"/>
        <v>2.7000000000000136E-4</v>
      </c>
      <c r="K723" s="160">
        <f t="shared" si="116"/>
        <v>2.0000000000000462E-4</v>
      </c>
      <c r="L723" s="161">
        <f t="shared" si="117"/>
        <v>1.9120458891013214E-3</v>
      </c>
      <c r="M723" s="155">
        <f t="shared" si="118"/>
        <v>1.0351966873705987E-2</v>
      </c>
      <c r="N723" s="155">
        <f t="shared" si="119"/>
        <v>1.089324618736387E-2</v>
      </c>
      <c r="O723" s="155">
        <f t="shared" si="120"/>
        <v>5.7992181794750408E-3</v>
      </c>
      <c r="P723" s="162">
        <f t="shared" si="121"/>
        <v>4.5146726862304032E-3</v>
      </c>
    </row>
    <row r="724" spans="1:16">
      <c r="A724" s="319">
        <v>45250</v>
      </c>
      <c r="B724" s="31">
        <v>5.25</v>
      </c>
      <c r="C724" s="30">
        <v>4.8899999999999997</v>
      </c>
      <c r="D724" s="30">
        <v>4.62</v>
      </c>
      <c r="E724" s="30">
        <v>4.6943000000000001</v>
      </c>
      <c r="F724" s="30">
        <v>4.4400000000000004</v>
      </c>
      <c r="G724" s="159">
        <f t="shared" si="112"/>
        <v>9.9999999999997863E-5</v>
      </c>
      <c r="H724" s="154">
        <f t="shared" si="113"/>
        <v>9.9999999999997863E-5</v>
      </c>
      <c r="I724" s="154">
        <f t="shared" si="114"/>
        <v>-1.9999999999999573E-4</v>
      </c>
      <c r="J724" s="154">
        <f t="shared" si="115"/>
        <v>1.1499999999999843E-4</v>
      </c>
      <c r="K724" s="160">
        <f t="shared" si="116"/>
        <v>-9.9999999999997863E-5</v>
      </c>
      <c r="L724" s="161">
        <f t="shared" si="117"/>
        <v>1.9083969465647499E-3</v>
      </c>
      <c r="M724" s="155">
        <f t="shared" si="118"/>
        <v>2.049180327868827E-3</v>
      </c>
      <c r="N724" s="155">
        <f t="shared" si="119"/>
        <v>-4.3103448275860767E-3</v>
      </c>
      <c r="O724" s="155">
        <f t="shared" si="120"/>
        <v>2.4557956777995216E-3</v>
      </c>
      <c r="P724" s="162">
        <f t="shared" si="121"/>
        <v>-2.2471910112359383E-3</v>
      </c>
    </row>
    <row r="725" spans="1:16">
      <c r="A725" s="319">
        <v>45251</v>
      </c>
      <c r="B725" s="31">
        <v>5.24</v>
      </c>
      <c r="C725" s="30">
        <v>4.8600000000000003</v>
      </c>
      <c r="D725" s="30">
        <v>4.5999999999999996</v>
      </c>
      <c r="E725" s="30">
        <v>4.5114000000000001</v>
      </c>
      <c r="F725" s="30">
        <v>4.41</v>
      </c>
      <c r="G725" s="159">
        <f t="shared" si="112"/>
        <v>-9.9999999999997863E-5</v>
      </c>
      <c r="H725" s="154">
        <f t="shared" si="113"/>
        <v>-2.9999999999999363E-4</v>
      </c>
      <c r="I725" s="154">
        <f t="shared" si="114"/>
        <v>-2.0000000000000462E-4</v>
      </c>
      <c r="J725" s="154">
        <f t="shared" si="115"/>
        <v>-1.8290000000000005E-3</v>
      </c>
      <c r="K725" s="160">
        <f t="shared" si="116"/>
        <v>-3.0000000000000247E-4</v>
      </c>
      <c r="L725" s="161">
        <f t="shared" si="117"/>
        <v>-1.9047619047618536E-3</v>
      </c>
      <c r="M725" s="155">
        <f t="shared" si="118"/>
        <v>-6.1349693251532278E-3</v>
      </c>
      <c r="N725" s="155">
        <f t="shared" si="119"/>
        <v>-4.3290043290044045E-3</v>
      </c>
      <c r="O725" s="155">
        <f t="shared" si="120"/>
        <v>-3.8962145580810792E-2</v>
      </c>
      <c r="P725" s="162">
        <f t="shared" si="121"/>
        <v>-6.7567567567567988E-3</v>
      </c>
    </row>
    <row r="726" spans="1:16">
      <c r="A726" s="319">
        <v>45252</v>
      </c>
      <c r="B726" s="31">
        <v>5.26</v>
      </c>
      <c r="C726" s="30">
        <v>4.8899999999999997</v>
      </c>
      <c r="D726" s="30">
        <v>4.62</v>
      </c>
      <c r="E726" s="30">
        <v>4.5464000000000002</v>
      </c>
      <c r="F726" s="30">
        <v>4.4400000000000004</v>
      </c>
      <c r="G726" s="159">
        <f t="shared" si="112"/>
        <v>1.9999999999999573E-4</v>
      </c>
      <c r="H726" s="154">
        <f t="shared" si="113"/>
        <v>2.9999999999999363E-4</v>
      </c>
      <c r="I726" s="154">
        <f t="shared" si="114"/>
        <v>2.0000000000000462E-4</v>
      </c>
      <c r="J726" s="154">
        <f t="shared" si="115"/>
        <v>3.5000000000000141E-4</v>
      </c>
      <c r="K726" s="160">
        <f t="shared" si="116"/>
        <v>3.0000000000000247E-4</v>
      </c>
      <c r="L726" s="161">
        <f t="shared" si="117"/>
        <v>3.8167938931297218E-3</v>
      </c>
      <c r="M726" s="155">
        <f t="shared" si="118"/>
        <v>6.1728395061726449E-3</v>
      </c>
      <c r="N726" s="155">
        <f t="shared" si="119"/>
        <v>4.3478260869567187E-3</v>
      </c>
      <c r="O726" s="155">
        <f t="shared" si="120"/>
        <v>7.7581238639889971E-3</v>
      </c>
      <c r="P726" s="162">
        <f t="shared" si="121"/>
        <v>6.8027210884353817E-3</v>
      </c>
    </row>
    <row r="727" spans="1:16">
      <c r="A727" s="319">
        <v>45254</v>
      </c>
      <c r="B727" s="31">
        <v>5.27</v>
      </c>
      <c r="C727" s="30">
        <v>4.92</v>
      </c>
      <c r="D727" s="30">
        <v>4.67</v>
      </c>
      <c r="E727" s="30">
        <v>4.4898999999999996</v>
      </c>
      <c r="F727" s="30">
        <v>4.49</v>
      </c>
      <c r="G727" s="159">
        <f t="shared" si="112"/>
        <v>9.9999999999997863E-5</v>
      </c>
      <c r="H727" s="154">
        <f t="shared" si="113"/>
        <v>3.0000000000000247E-4</v>
      </c>
      <c r="I727" s="154">
        <f t="shared" si="114"/>
        <v>4.9999999999999828E-4</v>
      </c>
      <c r="J727" s="154">
        <f t="shared" si="115"/>
        <v>-5.6500000000000658E-4</v>
      </c>
      <c r="K727" s="160">
        <f t="shared" si="116"/>
        <v>4.9999999999999828E-4</v>
      </c>
      <c r="L727" s="161">
        <f t="shared" si="117"/>
        <v>1.9011406844104961E-3</v>
      </c>
      <c r="M727" s="155">
        <f t="shared" si="118"/>
        <v>6.1349693251533388E-3</v>
      </c>
      <c r="N727" s="155">
        <f t="shared" si="119"/>
        <v>1.0822510822510845E-2</v>
      </c>
      <c r="O727" s="155">
        <f t="shared" si="120"/>
        <v>-1.2427415097659877E-2</v>
      </c>
      <c r="P727" s="162">
        <f t="shared" si="121"/>
        <v>1.1261261261261257E-2</v>
      </c>
    </row>
    <row r="728" spans="1:16">
      <c r="A728" s="319">
        <v>45257</v>
      </c>
      <c r="B728" s="31">
        <v>5.24</v>
      </c>
      <c r="C728" s="30">
        <v>4.84</v>
      </c>
      <c r="D728" s="30">
        <v>4.5999999999999996</v>
      </c>
      <c r="E728" s="30">
        <v>4.49</v>
      </c>
      <c r="F728" s="30">
        <v>4.38</v>
      </c>
      <c r="G728" s="159">
        <f t="shared" si="112"/>
        <v>-2.9999999999999363E-4</v>
      </c>
      <c r="H728" s="154">
        <f t="shared" si="113"/>
        <v>-8.0000000000000069E-4</v>
      </c>
      <c r="I728" s="154">
        <f t="shared" si="114"/>
        <v>-7.0000000000000281E-4</v>
      </c>
      <c r="J728" s="154">
        <f t="shared" si="115"/>
        <v>1.0000000000065511E-6</v>
      </c>
      <c r="K728" s="160">
        <f t="shared" si="116"/>
        <v>-1.1000000000000031E-3</v>
      </c>
      <c r="L728" s="161">
        <f t="shared" si="117"/>
        <v>-5.6925996204932883E-3</v>
      </c>
      <c r="M728" s="155">
        <f t="shared" si="118"/>
        <v>-1.6260162601625994E-2</v>
      </c>
      <c r="N728" s="155">
        <f t="shared" si="119"/>
        <v>-1.4989293361884481E-2</v>
      </c>
      <c r="O728" s="155">
        <f t="shared" si="120"/>
        <v>2.2272210962626104E-5</v>
      </c>
      <c r="P728" s="162">
        <f t="shared" si="121"/>
        <v>-2.4498886414254017E-2</v>
      </c>
    </row>
    <row r="729" spans="1:16">
      <c r="A729" s="319">
        <v>45258</v>
      </c>
      <c r="B729" s="31">
        <v>5.21</v>
      </c>
      <c r="C729" s="30">
        <v>4.7300000000000004</v>
      </c>
      <c r="D729" s="30">
        <v>4.49</v>
      </c>
      <c r="E729" s="30">
        <v>4.4852999999999996</v>
      </c>
      <c r="F729" s="30">
        <v>4.29</v>
      </c>
      <c r="G729" s="159">
        <f t="shared" si="112"/>
        <v>-3.0000000000000247E-4</v>
      </c>
      <c r="H729" s="154">
        <f t="shared" si="113"/>
        <v>-1.0999999999999942E-3</v>
      </c>
      <c r="I729" s="154">
        <f t="shared" si="114"/>
        <v>-1.0999999999999942E-3</v>
      </c>
      <c r="J729" s="154">
        <f t="shared" si="115"/>
        <v>-4.7000000000005926E-5</v>
      </c>
      <c r="K729" s="160">
        <f t="shared" si="116"/>
        <v>-8.9999999999999857E-4</v>
      </c>
      <c r="L729" s="161">
        <f t="shared" si="117"/>
        <v>-5.7251908396946938E-3</v>
      </c>
      <c r="M729" s="155">
        <f t="shared" si="118"/>
        <v>-2.2727272727272596E-2</v>
      </c>
      <c r="N729" s="155">
        <f t="shared" si="119"/>
        <v>-2.3913043478260732E-2</v>
      </c>
      <c r="O729" s="155">
        <f t="shared" si="120"/>
        <v>-1.0467706013363998E-3</v>
      </c>
      <c r="P729" s="162">
        <f t="shared" si="121"/>
        <v>-2.0547945205479423E-2</v>
      </c>
    </row>
    <row r="730" spans="1:16">
      <c r="A730" s="319">
        <v>45259</v>
      </c>
      <c r="B730" s="31">
        <v>5.12</v>
      </c>
      <c r="C730" s="30">
        <v>4.6399999999999997</v>
      </c>
      <c r="D730" s="30">
        <v>4.4000000000000004</v>
      </c>
      <c r="E730" s="30">
        <v>4.4694000000000003</v>
      </c>
      <c r="F730" s="30">
        <v>4.22</v>
      </c>
      <c r="G730" s="159">
        <f t="shared" si="112"/>
        <v>-8.9999999999999857E-4</v>
      </c>
      <c r="H730" s="154">
        <f t="shared" si="113"/>
        <v>-9.0000000000000746E-4</v>
      </c>
      <c r="I730" s="154">
        <f t="shared" si="114"/>
        <v>-8.9999999999999857E-4</v>
      </c>
      <c r="J730" s="154">
        <f t="shared" si="115"/>
        <v>-1.5899999999999359E-4</v>
      </c>
      <c r="K730" s="160">
        <f t="shared" si="116"/>
        <v>-7.0000000000000281E-4</v>
      </c>
      <c r="L730" s="161">
        <f t="shared" si="117"/>
        <v>-1.7274472168905874E-2</v>
      </c>
      <c r="M730" s="155">
        <f t="shared" si="118"/>
        <v>-1.9027484143763318E-2</v>
      </c>
      <c r="N730" s="155">
        <f t="shared" si="119"/>
        <v>-2.0044543429844075E-2</v>
      </c>
      <c r="O730" s="155">
        <f t="shared" si="120"/>
        <v>-3.5449133837199831E-3</v>
      </c>
      <c r="P730" s="162">
        <f t="shared" si="121"/>
        <v>-1.6317016317016431E-2</v>
      </c>
    </row>
    <row r="731" spans="1:16">
      <c r="A731" s="319">
        <v>45260</v>
      </c>
      <c r="B731" s="31">
        <v>5.16</v>
      </c>
      <c r="C731" s="30">
        <v>4.7300000000000004</v>
      </c>
      <c r="D731" s="30">
        <v>4.4800000000000004</v>
      </c>
      <c r="E731" s="30">
        <v>4.4813000000000001</v>
      </c>
      <c r="F731" s="30">
        <v>4.3099999999999996</v>
      </c>
      <c r="G731" s="159">
        <f t="shared" si="112"/>
        <v>4.0000000000000034E-4</v>
      </c>
      <c r="H731" s="154">
        <f t="shared" si="113"/>
        <v>9.0000000000000746E-4</v>
      </c>
      <c r="I731" s="154">
        <f t="shared" si="114"/>
        <v>8.0000000000000069E-4</v>
      </c>
      <c r="J731" s="154">
        <f t="shared" si="115"/>
        <v>1.18999999999998E-4</v>
      </c>
      <c r="K731" s="160">
        <f t="shared" si="116"/>
        <v>8.9999999999999857E-4</v>
      </c>
      <c r="L731" s="161">
        <f t="shared" si="117"/>
        <v>7.8125E-3</v>
      </c>
      <c r="M731" s="155">
        <f t="shared" si="118"/>
        <v>1.9396551724138122E-2</v>
      </c>
      <c r="N731" s="155">
        <f t="shared" si="119"/>
        <v>1.8181818181818299E-2</v>
      </c>
      <c r="O731" s="155">
        <f t="shared" si="120"/>
        <v>2.6625497829686484E-3</v>
      </c>
      <c r="P731" s="162">
        <f t="shared" si="121"/>
        <v>2.1327014218009532E-2</v>
      </c>
    </row>
    <row r="732" spans="1:16">
      <c r="A732" s="319">
        <v>45261</v>
      </c>
      <c r="B732" s="31">
        <v>5.05</v>
      </c>
      <c r="C732" s="30">
        <v>4.5599999999999996</v>
      </c>
      <c r="D732" s="30">
        <v>4.3099999999999996</v>
      </c>
      <c r="E732" s="30">
        <v>4.5380000000000003</v>
      </c>
      <c r="F732" s="30">
        <v>4.1399999999999997</v>
      </c>
      <c r="G732" s="159">
        <f t="shared" si="112"/>
        <v>-1.1000000000000031E-3</v>
      </c>
      <c r="H732" s="154">
        <f t="shared" si="113"/>
        <v>-1.7000000000000081E-3</v>
      </c>
      <c r="I732" s="154">
        <f t="shared" si="114"/>
        <v>-1.7000000000000081E-3</v>
      </c>
      <c r="J732" s="154">
        <f t="shared" si="115"/>
        <v>5.6700000000000196E-4</v>
      </c>
      <c r="K732" s="160">
        <f t="shared" si="116"/>
        <v>-1.6999999999999993E-3</v>
      </c>
      <c r="L732" s="161">
        <f t="shared" si="117"/>
        <v>-2.1317829457364379E-2</v>
      </c>
      <c r="M732" s="155">
        <f t="shared" si="118"/>
        <v>-3.5940803382664033E-2</v>
      </c>
      <c r="N732" s="155">
        <f t="shared" si="119"/>
        <v>-3.7946428571428714E-2</v>
      </c>
      <c r="O732" s="155">
        <f t="shared" si="120"/>
        <v>1.2652578492848177E-2</v>
      </c>
      <c r="P732" s="162">
        <f t="shared" si="121"/>
        <v>-3.9443155452436152E-2</v>
      </c>
    </row>
    <row r="733" spans="1:16">
      <c r="A733" s="319">
        <v>45264</v>
      </c>
      <c r="B733" s="31">
        <v>5.0999999999999996</v>
      </c>
      <c r="C733" s="30">
        <v>4.6399999999999997</v>
      </c>
      <c r="D733" s="30">
        <v>4.4000000000000004</v>
      </c>
      <c r="E733" s="30">
        <v>4.4782000000000002</v>
      </c>
      <c r="F733" s="30">
        <v>4.2300000000000004</v>
      </c>
      <c r="G733" s="159">
        <f t="shared" si="112"/>
        <v>4.9999999999999828E-4</v>
      </c>
      <c r="H733" s="154">
        <f t="shared" si="113"/>
        <v>8.0000000000000069E-4</v>
      </c>
      <c r="I733" s="154">
        <f t="shared" si="114"/>
        <v>9.0000000000000746E-4</v>
      </c>
      <c r="J733" s="154">
        <f t="shared" si="115"/>
        <v>-5.9800000000000077E-4</v>
      </c>
      <c r="K733" s="160">
        <f t="shared" si="116"/>
        <v>9.0000000000000746E-4</v>
      </c>
      <c r="L733" s="161">
        <f t="shared" si="117"/>
        <v>9.9009900990099098E-3</v>
      </c>
      <c r="M733" s="155">
        <f t="shared" si="118"/>
        <v>1.7543859649122862E-2</v>
      </c>
      <c r="N733" s="155">
        <f t="shared" si="119"/>
        <v>2.088167053364276E-2</v>
      </c>
      <c r="O733" s="155">
        <f t="shared" si="120"/>
        <v>-1.3177611282503277E-2</v>
      </c>
      <c r="P733" s="162">
        <f t="shared" si="121"/>
        <v>2.1739130434782705E-2</v>
      </c>
    </row>
    <row r="734" spans="1:16">
      <c r="A734" s="319">
        <v>45265</v>
      </c>
      <c r="B734" s="31">
        <v>5.0599999999999996</v>
      </c>
      <c r="C734" s="30">
        <v>4.57</v>
      </c>
      <c r="D734" s="30">
        <v>4.33</v>
      </c>
      <c r="E734" s="30">
        <v>4.3987999999999996</v>
      </c>
      <c r="F734" s="30">
        <v>4.1399999999999997</v>
      </c>
      <c r="G734" s="159">
        <f t="shared" si="112"/>
        <v>-4.0000000000000034E-4</v>
      </c>
      <c r="H734" s="154">
        <f t="shared" si="113"/>
        <v>-6.9999999999999392E-4</v>
      </c>
      <c r="I734" s="154">
        <f t="shared" si="114"/>
        <v>-7.0000000000000281E-4</v>
      </c>
      <c r="J734" s="154">
        <f t="shared" si="115"/>
        <v>-7.9400000000000586E-4</v>
      </c>
      <c r="K734" s="160">
        <f t="shared" si="116"/>
        <v>-9.0000000000000746E-4</v>
      </c>
      <c r="L734" s="161">
        <f t="shared" si="117"/>
        <v>-7.8431372549019329E-3</v>
      </c>
      <c r="M734" s="155">
        <f t="shared" si="118"/>
        <v>-1.5086206896551602E-2</v>
      </c>
      <c r="N734" s="155">
        <f t="shared" si="119"/>
        <v>-1.5909090909090984E-2</v>
      </c>
      <c r="O734" s="155">
        <f t="shared" si="120"/>
        <v>-1.7730338082265318E-2</v>
      </c>
      <c r="P734" s="162">
        <f t="shared" si="121"/>
        <v>-2.1276595744680993E-2</v>
      </c>
    </row>
    <row r="735" spans="1:16">
      <c r="A735" s="319">
        <v>45266</v>
      </c>
      <c r="B735" s="31">
        <v>5.07</v>
      </c>
      <c r="C735" s="30">
        <v>4.5999999999999996</v>
      </c>
      <c r="D735" s="30">
        <v>4.33</v>
      </c>
      <c r="E735" s="30">
        <v>4.3156999999999996</v>
      </c>
      <c r="F735" s="30">
        <v>4.12</v>
      </c>
      <c r="G735" s="159">
        <f t="shared" si="112"/>
        <v>1.0000000000000675E-4</v>
      </c>
      <c r="H735" s="154">
        <f t="shared" si="113"/>
        <v>2.9999999999999363E-4</v>
      </c>
      <c r="I735" s="154">
        <f t="shared" si="114"/>
        <v>0</v>
      </c>
      <c r="J735" s="154">
        <f t="shared" si="115"/>
        <v>-8.3099999999999949E-4</v>
      </c>
      <c r="K735" s="160">
        <f t="shared" si="116"/>
        <v>-1.9999999999999573E-4</v>
      </c>
      <c r="L735" s="161">
        <f t="shared" si="117"/>
        <v>1.9762845849804478E-3</v>
      </c>
      <c r="M735" s="155">
        <f t="shared" si="118"/>
        <v>6.5645514223193757E-3</v>
      </c>
      <c r="N735" s="155">
        <f t="shared" si="119"/>
        <v>0</v>
      </c>
      <c r="O735" s="155">
        <f t="shared" si="120"/>
        <v>-1.8891515867964004E-2</v>
      </c>
      <c r="P735" s="162">
        <f t="shared" si="121"/>
        <v>-4.8309178743960457E-3</v>
      </c>
    </row>
    <row r="736" spans="1:16">
      <c r="A736" s="319">
        <v>45267</v>
      </c>
      <c r="B736" s="31">
        <v>5.05</v>
      </c>
      <c r="C736" s="30">
        <v>4.58</v>
      </c>
      <c r="D736" s="30">
        <v>4.3099999999999996</v>
      </c>
      <c r="E736" s="30">
        <v>4.3600000000000003</v>
      </c>
      <c r="F736" s="30">
        <v>4.1100000000000003</v>
      </c>
      <c r="G736" s="159">
        <f t="shared" si="112"/>
        <v>-2.0000000000000462E-4</v>
      </c>
      <c r="H736" s="154">
        <f t="shared" si="113"/>
        <v>-1.9999999999999573E-4</v>
      </c>
      <c r="I736" s="154">
        <f t="shared" si="114"/>
        <v>-2.0000000000000462E-4</v>
      </c>
      <c r="J736" s="154">
        <f t="shared" si="115"/>
        <v>4.430000000000067E-4</v>
      </c>
      <c r="K736" s="160">
        <f t="shared" si="116"/>
        <v>-9.9999999999997863E-5</v>
      </c>
      <c r="L736" s="161">
        <f t="shared" si="117"/>
        <v>-3.9447731755425375E-3</v>
      </c>
      <c r="M736" s="155">
        <f t="shared" si="118"/>
        <v>-4.3478260869563856E-3</v>
      </c>
      <c r="N736" s="155">
        <f t="shared" si="119"/>
        <v>-4.6189376443419583E-3</v>
      </c>
      <c r="O736" s="155">
        <f t="shared" si="120"/>
        <v>1.0264846954144424E-2</v>
      </c>
      <c r="P736" s="162">
        <f t="shared" si="121"/>
        <v>-2.4271844660194164E-3</v>
      </c>
    </row>
    <row r="737" spans="1:16">
      <c r="A737" s="319">
        <v>45268</v>
      </c>
      <c r="B737" s="31">
        <v>5.13</v>
      </c>
      <c r="C737" s="30">
        <v>4.71</v>
      </c>
      <c r="D737" s="30">
        <v>4.45</v>
      </c>
      <c r="E737" s="30">
        <v>4.2359999999999998</v>
      </c>
      <c r="F737" s="30">
        <v>4.24</v>
      </c>
      <c r="G737" s="159">
        <f t="shared" si="112"/>
        <v>8.0000000000000069E-4</v>
      </c>
      <c r="H737" s="154">
        <f t="shared" si="113"/>
        <v>1.2999999999999989E-3</v>
      </c>
      <c r="I737" s="154">
        <f t="shared" si="114"/>
        <v>1.4000000000000056E-3</v>
      </c>
      <c r="J737" s="154">
        <f t="shared" si="115"/>
        <v>-1.2400000000000056E-3</v>
      </c>
      <c r="K737" s="160">
        <f t="shared" si="116"/>
        <v>1.2999999999999989E-3</v>
      </c>
      <c r="L737" s="161">
        <f t="shared" si="117"/>
        <v>1.5841584158415856E-2</v>
      </c>
      <c r="M737" s="155">
        <f t="shared" si="118"/>
        <v>2.8384279475982543E-2</v>
      </c>
      <c r="N737" s="155">
        <f t="shared" si="119"/>
        <v>3.2482598607888713E-2</v>
      </c>
      <c r="O737" s="155">
        <f t="shared" si="120"/>
        <v>-2.8440366972477205E-2</v>
      </c>
      <c r="P737" s="162">
        <f t="shared" si="121"/>
        <v>3.1630170316301776E-2</v>
      </c>
    </row>
    <row r="738" spans="1:16">
      <c r="A738" s="319">
        <v>45271</v>
      </c>
      <c r="B738" s="31">
        <v>5.14</v>
      </c>
      <c r="C738" s="30">
        <v>4.71</v>
      </c>
      <c r="D738" s="30">
        <v>4.42</v>
      </c>
      <c r="E738" s="30">
        <v>4.2702</v>
      </c>
      <c r="F738" s="30">
        <v>4.25</v>
      </c>
      <c r="G738" s="159">
        <f t="shared" si="112"/>
        <v>9.9999999999997863E-5</v>
      </c>
      <c r="H738" s="154">
        <f t="shared" si="113"/>
        <v>0</v>
      </c>
      <c r="I738" s="154">
        <f t="shared" si="114"/>
        <v>-3.0000000000000247E-4</v>
      </c>
      <c r="J738" s="154">
        <f t="shared" si="115"/>
        <v>3.420000000000023E-4</v>
      </c>
      <c r="K738" s="160">
        <f t="shared" si="116"/>
        <v>9.9999999999997863E-5</v>
      </c>
      <c r="L738" s="161">
        <f t="shared" si="117"/>
        <v>1.9493177387914784E-3</v>
      </c>
      <c r="M738" s="155">
        <f t="shared" si="118"/>
        <v>0</v>
      </c>
      <c r="N738" s="155">
        <f t="shared" si="119"/>
        <v>-6.741573033707926E-3</v>
      </c>
      <c r="O738" s="155">
        <f t="shared" si="120"/>
        <v>8.0736543909349923E-3</v>
      </c>
      <c r="P738" s="162">
        <f t="shared" si="121"/>
        <v>2.3584905660376521E-3</v>
      </c>
    </row>
    <row r="739" spans="1:16">
      <c r="A739" s="319">
        <v>45272</v>
      </c>
      <c r="B739" s="31">
        <v>5.14</v>
      </c>
      <c r="C739" s="30">
        <v>4.7300000000000004</v>
      </c>
      <c r="D739" s="30">
        <v>4.42</v>
      </c>
      <c r="E739" s="30">
        <v>4.2055999999999996</v>
      </c>
      <c r="F739" s="30">
        <v>4.2300000000000004</v>
      </c>
      <c r="G739" s="159">
        <f t="shared" si="112"/>
        <v>0</v>
      </c>
      <c r="H739" s="154">
        <f t="shared" si="113"/>
        <v>2.0000000000000462E-4</v>
      </c>
      <c r="I739" s="154">
        <f t="shared" si="114"/>
        <v>0</v>
      </c>
      <c r="J739" s="154">
        <f t="shared" si="115"/>
        <v>-6.4600000000000432E-4</v>
      </c>
      <c r="K739" s="160">
        <f t="shared" si="116"/>
        <v>-1.9999999999999573E-4</v>
      </c>
      <c r="L739" s="161">
        <f t="shared" si="117"/>
        <v>0</v>
      </c>
      <c r="M739" s="155">
        <f t="shared" si="118"/>
        <v>4.2462845010615702E-3</v>
      </c>
      <c r="N739" s="155">
        <f t="shared" si="119"/>
        <v>0</v>
      </c>
      <c r="O739" s="155">
        <f t="shared" si="120"/>
        <v>-1.5128097044635025E-2</v>
      </c>
      <c r="P739" s="162">
        <f t="shared" si="121"/>
        <v>-4.7058823529411153E-3</v>
      </c>
    </row>
    <row r="740" spans="1:16">
      <c r="A740" s="319">
        <v>45273</v>
      </c>
      <c r="B740" s="31">
        <v>4.9400000000000004</v>
      </c>
      <c r="C740" s="30">
        <v>4.46</v>
      </c>
      <c r="D740" s="30">
        <v>4.18</v>
      </c>
      <c r="E740" s="30">
        <v>4.1725000000000003</v>
      </c>
      <c r="F740" s="30">
        <v>4</v>
      </c>
      <c r="G740" s="159">
        <f t="shared" si="112"/>
        <v>-1.9999999999999931E-3</v>
      </c>
      <c r="H740" s="154">
        <f t="shared" si="113"/>
        <v>-2.7000000000000045E-3</v>
      </c>
      <c r="I740" s="154">
        <f t="shared" si="114"/>
        <v>-2.400000000000002E-3</v>
      </c>
      <c r="J740" s="154">
        <f t="shared" si="115"/>
        <v>-3.3099999999999243E-4</v>
      </c>
      <c r="K740" s="160">
        <f t="shared" si="116"/>
        <v>-2.3000000000000043E-3</v>
      </c>
      <c r="L740" s="161">
        <f t="shared" si="117"/>
        <v>-3.8910505836575737E-2</v>
      </c>
      <c r="M740" s="155">
        <f t="shared" si="118"/>
        <v>-5.7082452431289732E-2</v>
      </c>
      <c r="N740" s="155">
        <f t="shared" si="119"/>
        <v>-5.4298642533936681E-2</v>
      </c>
      <c r="O740" s="155">
        <f t="shared" si="120"/>
        <v>-7.8704584363703534E-3</v>
      </c>
      <c r="P740" s="162">
        <f t="shared" si="121"/>
        <v>-5.437352245862892E-2</v>
      </c>
    </row>
    <row r="741" spans="1:16">
      <c r="A741" s="319">
        <v>45274</v>
      </c>
      <c r="B741" s="31">
        <v>4.9000000000000004</v>
      </c>
      <c r="C741" s="30">
        <v>4.37</v>
      </c>
      <c r="D741" s="30">
        <v>4.09</v>
      </c>
      <c r="E741" s="30">
        <v>4.1607000000000003</v>
      </c>
      <c r="F741" s="30">
        <v>3.9</v>
      </c>
      <c r="G741" s="159">
        <f t="shared" si="112"/>
        <v>-4.0000000000000034E-4</v>
      </c>
      <c r="H741" s="154">
        <f t="shared" si="113"/>
        <v>-8.9999999999999857E-4</v>
      </c>
      <c r="I741" s="154">
        <f t="shared" si="114"/>
        <v>-8.9999999999999857E-4</v>
      </c>
      <c r="J741" s="154">
        <f t="shared" si="115"/>
        <v>-1.1800000000000032E-4</v>
      </c>
      <c r="K741" s="160">
        <f t="shared" si="116"/>
        <v>-1.0000000000000009E-3</v>
      </c>
      <c r="L741" s="161">
        <f t="shared" si="117"/>
        <v>-8.0971659919027994E-3</v>
      </c>
      <c r="M741" s="155">
        <f t="shared" si="118"/>
        <v>-2.0179372197309364E-2</v>
      </c>
      <c r="N741" s="155">
        <f t="shared" si="119"/>
        <v>-2.1531100478468845E-2</v>
      </c>
      <c r="O741" s="155">
        <f t="shared" si="120"/>
        <v>-2.8280407429598364E-3</v>
      </c>
      <c r="P741" s="162">
        <f t="shared" si="121"/>
        <v>-2.5000000000000022E-2</v>
      </c>
    </row>
    <row r="742" spans="1:16">
      <c r="A742" s="319">
        <v>45275</v>
      </c>
      <c r="B742" s="31">
        <v>4.95</v>
      </c>
      <c r="C742" s="30">
        <v>4.4400000000000004</v>
      </c>
      <c r="D742" s="30">
        <v>4.13</v>
      </c>
      <c r="E742" s="30">
        <v>4.2492999999999999</v>
      </c>
      <c r="F742" s="30">
        <v>3.91</v>
      </c>
      <c r="G742" s="159">
        <f t="shared" si="112"/>
        <v>4.9999999999999828E-4</v>
      </c>
      <c r="H742" s="154">
        <f t="shared" si="113"/>
        <v>7.0000000000000281E-4</v>
      </c>
      <c r="I742" s="154">
        <f t="shared" si="114"/>
        <v>4.0000000000000034E-4</v>
      </c>
      <c r="J742" s="154">
        <f t="shared" si="115"/>
        <v>8.8599999999999573E-4</v>
      </c>
      <c r="K742" s="160">
        <f t="shared" si="116"/>
        <v>1.0000000000000231E-4</v>
      </c>
      <c r="L742" s="161">
        <f t="shared" si="117"/>
        <v>1.0204081632652962E-2</v>
      </c>
      <c r="M742" s="155">
        <f t="shared" si="118"/>
        <v>1.6018306636155666E-2</v>
      </c>
      <c r="N742" s="155">
        <f t="shared" si="119"/>
        <v>9.7799511002445438E-3</v>
      </c>
      <c r="O742" s="155">
        <f t="shared" si="120"/>
        <v>2.1294493714999696E-2</v>
      </c>
      <c r="P742" s="162">
        <f t="shared" si="121"/>
        <v>2.564102564102555E-3</v>
      </c>
    </row>
    <row r="743" spans="1:16">
      <c r="A743" s="319">
        <v>45278</v>
      </c>
      <c r="B743" s="31">
        <v>4.95</v>
      </c>
      <c r="C743" s="30">
        <v>4.43</v>
      </c>
      <c r="D743" s="30">
        <v>4.1500000000000004</v>
      </c>
      <c r="E743" s="30">
        <v>4.2747000000000002</v>
      </c>
      <c r="F743" s="30">
        <v>3.94</v>
      </c>
      <c r="G743" s="159">
        <f t="shared" si="112"/>
        <v>0</v>
      </c>
      <c r="H743" s="154">
        <f t="shared" si="113"/>
        <v>-1.0000000000000675E-4</v>
      </c>
      <c r="I743" s="154">
        <f t="shared" si="114"/>
        <v>2.0000000000000462E-4</v>
      </c>
      <c r="J743" s="154">
        <f t="shared" si="115"/>
        <v>2.5400000000000314E-4</v>
      </c>
      <c r="K743" s="160">
        <f t="shared" si="116"/>
        <v>2.9999999999999802E-4</v>
      </c>
      <c r="L743" s="161">
        <f t="shared" si="117"/>
        <v>0</v>
      </c>
      <c r="M743" s="155">
        <f t="shared" si="118"/>
        <v>-2.2522522522524513E-3</v>
      </c>
      <c r="N743" s="155">
        <f t="shared" si="119"/>
        <v>4.8426150121065881E-3</v>
      </c>
      <c r="O743" s="155">
        <f t="shared" si="120"/>
        <v>5.9774551102536044E-3</v>
      </c>
      <c r="P743" s="162">
        <f t="shared" si="121"/>
        <v>7.6726342710997653E-3</v>
      </c>
    </row>
    <row r="744" spans="1:16">
      <c r="A744" s="319">
        <v>45279</v>
      </c>
      <c r="B744" s="31">
        <v>4.93</v>
      </c>
      <c r="C744" s="30">
        <v>4.41</v>
      </c>
      <c r="D744" s="30">
        <v>4.1500000000000004</v>
      </c>
      <c r="E744" s="30">
        <v>4.2657999999999996</v>
      </c>
      <c r="F744" s="30">
        <v>3.94</v>
      </c>
      <c r="G744" s="159">
        <f t="shared" si="112"/>
        <v>-2.0000000000000462E-4</v>
      </c>
      <c r="H744" s="154">
        <f t="shared" si="113"/>
        <v>-1.9999999999999573E-4</v>
      </c>
      <c r="I744" s="154">
        <f t="shared" si="114"/>
        <v>0</v>
      </c>
      <c r="J744" s="154">
        <f t="shared" si="115"/>
        <v>-8.9000000000005741E-5</v>
      </c>
      <c r="K744" s="160">
        <f t="shared" si="116"/>
        <v>0</v>
      </c>
      <c r="L744" s="161">
        <f t="shared" si="117"/>
        <v>-4.0404040404041774E-3</v>
      </c>
      <c r="M744" s="155">
        <f t="shared" si="118"/>
        <v>-4.5146726862301811E-3</v>
      </c>
      <c r="N744" s="155">
        <f t="shared" si="119"/>
        <v>0</v>
      </c>
      <c r="O744" s="155">
        <f t="shared" si="120"/>
        <v>-2.0820174515171486E-3</v>
      </c>
      <c r="P744" s="162">
        <f t="shared" si="121"/>
        <v>0</v>
      </c>
    </row>
    <row r="745" spans="1:16">
      <c r="A745" s="319">
        <v>45280</v>
      </c>
      <c r="B745" s="31">
        <v>4.88</v>
      </c>
      <c r="C745" s="30">
        <v>4.34</v>
      </c>
      <c r="D745" s="30">
        <v>4.0599999999999996</v>
      </c>
      <c r="E745" s="30">
        <v>4.0960999999999999</v>
      </c>
      <c r="F745" s="30">
        <v>3.86</v>
      </c>
      <c r="G745" s="159">
        <f t="shared" si="112"/>
        <v>-4.9999999999999828E-4</v>
      </c>
      <c r="H745" s="154">
        <f t="shared" si="113"/>
        <v>-7.0000000000000281E-4</v>
      </c>
      <c r="I745" s="154">
        <f t="shared" si="114"/>
        <v>-9.0000000000000746E-4</v>
      </c>
      <c r="J745" s="154">
        <f t="shared" si="115"/>
        <v>-1.6969999999999973E-3</v>
      </c>
      <c r="K745" s="160">
        <f t="shared" si="116"/>
        <v>-8.0000000000000069E-4</v>
      </c>
      <c r="L745" s="161">
        <f t="shared" si="117"/>
        <v>-1.0141987829614618E-2</v>
      </c>
      <c r="M745" s="155">
        <f t="shared" si="118"/>
        <v>-1.5873015873015928E-2</v>
      </c>
      <c r="N745" s="155">
        <f t="shared" si="119"/>
        <v>-2.1686746987952032E-2</v>
      </c>
      <c r="O745" s="155">
        <f t="shared" si="120"/>
        <v>-3.9781518120868276E-2</v>
      </c>
      <c r="P745" s="162">
        <f t="shared" si="121"/>
        <v>-2.0304568527918843E-2</v>
      </c>
    </row>
    <row r="746" spans="1:16">
      <c r="A746" s="319">
        <v>45281</v>
      </c>
      <c r="B746" s="31">
        <v>4.84</v>
      </c>
      <c r="C746" s="30">
        <v>4.33</v>
      </c>
      <c r="D746" s="30">
        <v>4.0599999999999996</v>
      </c>
      <c r="E746" s="30">
        <v>3.9725999999999999</v>
      </c>
      <c r="F746" s="30">
        <v>3.87</v>
      </c>
      <c r="G746" s="159">
        <f t="shared" si="112"/>
        <v>-4.0000000000000034E-4</v>
      </c>
      <c r="H746" s="154">
        <f t="shared" si="113"/>
        <v>-9.9999999999997863E-5</v>
      </c>
      <c r="I746" s="154">
        <f t="shared" si="114"/>
        <v>0</v>
      </c>
      <c r="J746" s="154">
        <f t="shared" si="115"/>
        <v>-1.2349999999999993E-3</v>
      </c>
      <c r="K746" s="160">
        <f t="shared" si="116"/>
        <v>1.0000000000000231E-4</v>
      </c>
      <c r="L746" s="161">
        <f t="shared" si="117"/>
        <v>-8.1967213114754189E-3</v>
      </c>
      <c r="M746" s="155">
        <f t="shared" si="118"/>
        <v>-2.3041474654377225E-3</v>
      </c>
      <c r="N746" s="155">
        <f t="shared" si="119"/>
        <v>0</v>
      </c>
      <c r="O746" s="155">
        <f t="shared" si="120"/>
        <v>-3.0150631088108226E-2</v>
      </c>
      <c r="P746" s="162">
        <f t="shared" si="121"/>
        <v>2.5906735751295429E-3</v>
      </c>
    </row>
    <row r="747" spans="1:16">
      <c r="A747" s="319">
        <v>45282</v>
      </c>
      <c r="B747" s="31">
        <v>4.82</v>
      </c>
      <c r="C747" s="30">
        <v>4.3099999999999996</v>
      </c>
      <c r="D747" s="30">
        <v>4.04</v>
      </c>
      <c r="E747" s="30">
        <v>3.9598</v>
      </c>
      <c r="F747" s="30">
        <v>3.87</v>
      </c>
      <c r="G747" s="159">
        <f t="shared" si="112"/>
        <v>-1.9999999999999573E-4</v>
      </c>
      <c r="H747" s="154">
        <f t="shared" si="113"/>
        <v>-2.0000000000000462E-4</v>
      </c>
      <c r="I747" s="154">
        <f t="shared" si="114"/>
        <v>-1.9999999999999573E-4</v>
      </c>
      <c r="J747" s="154">
        <f t="shared" si="115"/>
        <v>-1.2799999999999924E-4</v>
      </c>
      <c r="K747" s="160">
        <f t="shared" si="116"/>
        <v>0</v>
      </c>
      <c r="L747" s="161">
        <f t="shared" si="117"/>
        <v>-4.1322314049585529E-3</v>
      </c>
      <c r="M747" s="155">
        <f t="shared" si="118"/>
        <v>-4.6189376443419583E-3</v>
      </c>
      <c r="N747" s="155">
        <f t="shared" si="119"/>
        <v>-4.9261083743841194E-3</v>
      </c>
      <c r="O747" s="155">
        <f t="shared" si="120"/>
        <v>-3.2220711876352892E-3</v>
      </c>
      <c r="P747" s="162">
        <f t="shared" si="121"/>
        <v>0</v>
      </c>
    </row>
    <row r="748" spans="1:16">
      <c r="A748" s="319">
        <v>45286</v>
      </c>
      <c r="B748" s="31">
        <v>4.83</v>
      </c>
      <c r="C748" s="30">
        <v>4.26</v>
      </c>
      <c r="D748" s="30">
        <v>4.05</v>
      </c>
      <c r="E748" s="30">
        <v>3.9771000000000001</v>
      </c>
      <c r="F748" s="30">
        <v>3.89</v>
      </c>
      <c r="G748" s="159">
        <f t="shared" si="112"/>
        <v>9.9999999999997863E-5</v>
      </c>
      <c r="H748" s="154">
        <f t="shared" si="113"/>
        <v>-4.9999999999999828E-4</v>
      </c>
      <c r="I748" s="154">
        <f t="shared" si="114"/>
        <v>9.9999999999997863E-5</v>
      </c>
      <c r="J748" s="154">
        <f t="shared" si="115"/>
        <v>1.7300000000000093E-4</v>
      </c>
      <c r="K748" s="160">
        <f t="shared" si="116"/>
        <v>2.0000000000000017E-4</v>
      </c>
      <c r="L748" s="161">
        <f t="shared" si="117"/>
        <v>2.0746887966804906E-3</v>
      </c>
      <c r="M748" s="155">
        <f t="shared" si="118"/>
        <v>-1.1600928074245953E-2</v>
      </c>
      <c r="N748" s="155">
        <f t="shared" si="119"/>
        <v>2.4752475247524774E-3</v>
      </c>
      <c r="O748" s="155">
        <f t="shared" si="120"/>
        <v>4.3689075205819439E-3</v>
      </c>
      <c r="P748" s="162">
        <f t="shared" si="121"/>
        <v>5.1679586563306845E-3</v>
      </c>
    </row>
    <row r="749" spans="1:16">
      <c r="A749" s="319">
        <v>45287</v>
      </c>
      <c r="B749" s="31">
        <v>4.79</v>
      </c>
      <c r="C749" s="30">
        <v>4.2</v>
      </c>
      <c r="D749" s="30">
        <v>3.97</v>
      </c>
      <c r="E749" s="30">
        <v>3.9699</v>
      </c>
      <c r="F749" s="30">
        <v>3.78</v>
      </c>
      <c r="G749" s="159">
        <f t="shared" si="112"/>
        <v>-4.0000000000000034E-4</v>
      </c>
      <c r="H749" s="154">
        <f t="shared" si="113"/>
        <v>-5.9999999999999604E-4</v>
      </c>
      <c r="I749" s="154">
        <f t="shared" si="114"/>
        <v>-7.9999999999999624E-4</v>
      </c>
      <c r="J749" s="154">
        <f t="shared" si="115"/>
        <v>-7.2000000000000951E-5</v>
      </c>
      <c r="K749" s="160">
        <f t="shared" si="116"/>
        <v>-1.1000000000000031E-3</v>
      </c>
      <c r="L749" s="161">
        <f t="shared" si="117"/>
        <v>-8.281573498964856E-3</v>
      </c>
      <c r="M749" s="155">
        <f t="shared" si="118"/>
        <v>-1.4084507042253391E-2</v>
      </c>
      <c r="N749" s="155">
        <f t="shared" si="119"/>
        <v>-1.9753086419753041E-2</v>
      </c>
      <c r="O749" s="155">
        <f t="shared" si="120"/>
        <v>-1.8103643358226007E-3</v>
      </c>
      <c r="P749" s="162">
        <f t="shared" si="121"/>
        <v>-2.8277634961439646E-2</v>
      </c>
    </row>
    <row r="750" spans="1:16">
      <c r="A750" s="319">
        <v>45288</v>
      </c>
      <c r="B750" s="31">
        <v>4.82</v>
      </c>
      <c r="C750" s="30">
        <v>4.26</v>
      </c>
      <c r="D750" s="30">
        <v>4.0199999999999996</v>
      </c>
      <c r="E750" s="30">
        <v>3.9068000000000001</v>
      </c>
      <c r="F750" s="30">
        <v>3.83</v>
      </c>
      <c r="G750" s="159">
        <f t="shared" si="112"/>
        <v>3.0000000000000247E-4</v>
      </c>
      <c r="H750" s="154">
        <f t="shared" si="113"/>
        <v>5.9999999999999604E-4</v>
      </c>
      <c r="I750" s="154">
        <f t="shared" si="114"/>
        <v>4.9999999999999383E-4</v>
      </c>
      <c r="J750" s="154">
        <f t="shared" si="115"/>
        <v>-6.3099999999999929E-4</v>
      </c>
      <c r="K750" s="160">
        <f t="shared" si="116"/>
        <v>5.0000000000000261E-4</v>
      </c>
      <c r="L750" s="161">
        <f t="shared" si="117"/>
        <v>6.2630480167014113E-3</v>
      </c>
      <c r="M750" s="155">
        <f t="shared" si="118"/>
        <v>1.4285714285714235E-2</v>
      </c>
      <c r="N750" s="155">
        <f t="shared" si="119"/>
        <v>1.2594458438287104E-2</v>
      </c>
      <c r="O750" s="155">
        <f t="shared" si="120"/>
        <v>-1.5894606917050802E-2</v>
      </c>
      <c r="P750" s="162">
        <f t="shared" si="121"/>
        <v>1.3227513227513255E-2</v>
      </c>
    </row>
    <row r="751" spans="1:16">
      <c r="A751" s="319">
        <v>45289</v>
      </c>
      <c r="B751" s="31">
        <v>4.79</v>
      </c>
      <c r="C751" s="30">
        <v>4.2300000000000004</v>
      </c>
      <c r="D751" s="30">
        <v>4.01</v>
      </c>
      <c r="E751" s="30">
        <v>3.8975</v>
      </c>
      <c r="F751" s="30">
        <v>3.84</v>
      </c>
      <c r="G751" s="159">
        <f t="shared" si="112"/>
        <v>-3.0000000000000247E-4</v>
      </c>
      <c r="H751" s="154">
        <f t="shared" si="113"/>
        <v>-2.9999999999999363E-4</v>
      </c>
      <c r="I751" s="154">
        <f t="shared" si="114"/>
        <v>-9.9999999999997863E-5</v>
      </c>
      <c r="J751" s="154">
        <f t="shared" si="115"/>
        <v>-9.3000000000000865E-5</v>
      </c>
      <c r="K751" s="160">
        <f t="shared" si="116"/>
        <v>9.9999999999997863E-5</v>
      </c>
      <c r="L751" s="161">
        <f t="shared" si="117"/>
        <v>-6.2240663900415827E-3</v>
      </c>
      <c r="M751" s="155">
        <f t="shared" si="118"/>
        <v>-7.0422535211266402E-3</v>
      </c>
      <c r="N751" s="155">
        <f t="shared" si="119"/>
        <v>-2.4875621890546595E-3</v>
      </c>
      <c r="O751" s="155">
        <f t="shared" si="120"/>
        <v>-2.3804648305518761E-3</v>
      </c>
      <c r="P751" s="162">
        <f t="shared" si="121"/>
        <v>2.6109660574411553E-3</v>
      </c>
    </row>
    <row r="752" spans="1:16">
      <c r="A752" s="319">
        <v>45293</v>
      </c>
      <c r="B752" s="31">
        <v>4.8</v>
      </c>
      <c r="C752" s="30">
        <v>4.33</v>
      </c>
      <c r="D752" s="30">
        <v>4.09</v>
      </c>
      <c r="E752" s="30">
        <v>3.8883999999999999</v>
      </c>
      <c r="F752" s="30">
        <v>3.93</v>
      </c>
      <c r="G752" s="159">
        <f t="shared" si="112"/>
        <v>9.9999999999997863E-5</v>
      </c>
      <c r="H752" s="154">
        <f t="shared" si="113"/>
        <v>9.9999999999999655E-4</v>
      </c>
      <c r="I752" s="154">
        <f t="shared" si="114"/>
        <v>8.0000000000000069E-4</v>
      </c>
      <c r="J752" s="154">
        <f t="shared" si="115"/>
        <v>-9.1000000000001074E-5</v>
      </c>
      <c r="K752" s="160">
        <f t="shared" si="116"/>
        <v>9.0000000000000301E-4</v>
      </c>
      <c r="L752" s="161">
        <f t="shared" si="117"/>
        <v>2.0876826722338038E-3</v>
      </c>
      <c r="M752" s="155">
        <f t="shared" si="118"/>
        <v>2.3640661938534091E-2</v>
      </c>
      <c r="N752" s="155">
        <f t="shared" si="119"/>
        <v>1.9950124688279391E-2</v>
      </c>
      <c r="O752" s="155">
        <f t="shared" si="120"/>
        <v>-2.3348300192431726E-3</v>
      </c>
      <c r="P752" s="162">
        <f t="shared" si="121"/>
        <v>2.34375E-2</v>
      </c>
    </row>
    <row r="753" spans="1:16">
      <c r="A753" s="319">
        <v>45294</v>
      </c>
      <c r="B753" s="31">
        <v>4.8099999999999996</v>
      </c>
      <c r="C753" s="30">
        <v>4.33</v>
      </c>
      <c r="D753" s="30">
        <v>4.07</v>
      </c>
      <c r="E753" s="30">
        <v>3.8872</v>
      </c>
      <c r="F753" s="30">
        <v>3.9</v>
      </c>
      <c r="G753" s="159">
        <f t="shared" si="112"/>
        <v>9.9999999999997863E-5</v>
      </c>
      <c r="H753" s="154">
        <f t="shared" si="113"/>
        <v>0</v>
      </c>
      <c r="I753" s="154">
        <f t="shared" si="114"/>
        <v>-1.9999999999999573E-4</v>
      </c>
      <c r="J753" s="154">
        <f t="shared" si="115"/>
        <v>-1.1999999999998679E-5</v>
      </c>
      <c r="K753" s="160">
        <f t="shared" si="116"/>
        <v>-3.0000000000000247E-4</v>
      </c>
      <c r="L753" s="161">
        <f t="shared" si="117"/>
        <v>2.0833333333332149E-3</v>
      </c>
      <c r="M753" s="155">
        <f t="shared" si="118"/>
        <v>0</v>
      </c>
      <c r="N753" s="155">
        <f t="shared" si="119"/>
        <v>-4.8899755501221609E-3</v>
      </c>
      <c r="O753" s="155">
        <f t="shared" si="120"/>
        <v>-3.086102252853884E-4</v>
      </c>
      <c r="P753" s="162">
        <f t="shared" si="121"/>
        <v>-7.6335877862595547E-3</v>
      </c>
    </row>
    <row r="754" spans="1:16">
      <c r="A754" s="319">
        <v>45295</v>
      </c>
      <c r="B754" s="31">
        <v>4.8499999999999996</v>
      </c>
      <c r="C754" s="30">
        <v>4.38</v>
      </c>
      <c r="D754" s="30">
        <v>4.1399999999999997</v>
      </c>
      <c r="E754" s="30">
        <v>3.8128000000000002</v>
      </c>
      <c r="F754" s="30">
        <v>3.97</v>
      </c>
      <c r="G754" s="159">
        <f t="shared" si="112"/>
        <v>4.0000000000000034E-4</v>
      </c>
      <c r="H754" s="154">
        <f t="shared" si="113"/>
        <v>4.9999999999999828E-4</v>
      </c>
      <c r="I754" s="154">
        <f t="shared" si="114"/>
        <v>6.9999999999999392E-4</v>
      </c>
      <c r="J754" s="154">
        <f t="shared" si="115"/>
        <v>-7.4399999999999803E-4</v>
      </c>
      <c r="K754" s="160">
        <f t="shared" si="116"/>
        <v>7.0000000000000281E-4</v>
      </c>
      <c r="L754" s="161">
        <f t="shared" si="117"/>
        <v>8.3160083160083165E-3</v>
      </c>
      <c r="M754" s="155">
        <f t="shared" si="118"/>
        <v>1.1547344110854452E-2</v>
      </c>
      <c r="N754" s="155">
        <f t="shared" si="119"/>
        <v>1.7199017199017064E-2</v>
      </c>
      <c r="O754" s="155">
        <f t="shared" si="120"/>
        <v>-1.9139740687384221E-2</v>
      </c>
      <c r="P754" s="162">
        <f t="shared" si="121"/>
        <v>1.7948717948718107E-2</v>
      </c>
    </row>
    <row r="755" spans="1:16">
      <c r="A755" s="319">
        <v>45296</v>
      </c>
      <c r="B755" s="31">
        <v>4.84</v>
      </c>
      <c r="C755" s="30">
        <v>4.4000000000000004</v>
      </c>
      <c r="D755" s="30">
        <v>4.17</v>
      </c>
      <c r="E755" s="30">
        <v>3.8330000000000002</v>
      </c>
      <c r="F755" s="30">
        <v>4.0199999999999996</v>
      </c>
      <c r="G755" s="159">
        <f t="shared" si="112"/>
        <v>-9.9999999999997863E-5</v>
      </c>
      <c r="H755" s="154">
        <f t="shared" si="113"/>
        <v>2.0000000000000462E-4</v>
      </c>
      <c r="I755" s="154">
        <f t="shared" si="114"/>
        <v>3.0000000000000247E-4</v>
      </c>
      <c r="J755" s="154">
        <f t="shared" si="115"/>
        <v>2.0199999999999995E-4</v>
      </c>
      <c r="K755" s="160">
        <f t="shared" si="116"/>
        <v>4.9999999999999383E-4</v>
      </c>
      <c r="L755" s="161">
        <f t="shared" si="117"/>
        <v>-2.0618556701030855E-3</v>
      </c>
      <c r="M755" s="155">
        <f t="shared" si="118"/>
        <v>4.5662100456622667E-3</v>
      </c>
      <c r="N755" s="155">
        <f t="shared" si="119"/>
        <v>7.2463768115942351E-3</v>
      </c>
      <c r="O755" s="155">
        <f t="shared" si="120"/>
        <v>5.2979437683591257E-3</v>
      </c>
      <c r="P755" s="162">
        <f t="shared" si="121"/>
        <v>1.2594458438287104E-2</v>
      </c>
    </row>
    <row r="756" spans="1:16">
      <c r="A756" s="319">
        <v>45299</v>
      </c>
      <c r="B756" s="31">
        <v>4.82</v>
      </c>
      <c r="C756" s="30">
        <v>4.3600000000000003</v>
      </c>
      <c r="D756" s="30">
        <v>4.1100000000000003</v>
      </c>
      <c r="E756" s="30">
        <v>3.8395000000000001</v>
      </c>
      <c r="F756" s="30">
        <v>3.97</v>
      </c>
      <c r="G756" s="159">
        <f t="shared" si="112"/>
        <v>-1.9999999999999573E-4</v>
      </c>
      <c r="H756" s="154">
        <f t="shared" si="113"/>
        <v>-4.0000000000000034E-4</v>
      </c>
      <c r="I756" s="154">
        <f t="shared" si="114"/>
        <v>-5.9999999999999604E-4</v>
      </c>
      <c r="J756" s="154">
        <f t="shared" si="115"/>
        <v>6.4999999999999506E-5</v>
      </c>
      <c r="K756" s="160">
        <f t="shared" si="116"/>
        <v>-4.9999999999999383E-4</v>
      </c>
      <c r="L756" s="161">
        <f t="shared" si="117"/>
        <v>-4.1322314049585529E-3</v>
      </c>
      <c r="M756" s="155">
        <f t="shared" si="118"/>
        <v>-9.0909090909091494E-3</v>
      </c>
      <c r="N756" s="155">
        <f t="shared" si="119"/>
        <v>-1.4388489208633004E-2</v>
      </c>
      <c r="O756" s="155">
        <f t="shared" si="120"/>
        <v>1.6957996347508608E-3</v>
      </c>
      <c r="P756" s="162">
        <f t="shared" si="121"/>
        <v>-1.243781094527352E-2</v>
      </c>
    </row>
    <row r="757" spans="1:16">
      <c r="A757" s="319">
        <v>45300</v>
      </c>
      <c r="B757" s="31">
        <v>4.82</v>
      </c>
      <c r="C757" s="30">
        <v>4.3600000000000003</v>
      </c>
      <c r="D757" s="30">
        <v>4.09</v>
      </c>
      <c r="E757" s="30">
        <v>3.8967999999999998</v>
      </c>
      <c r="F757" s="30">
        <v>3.97</v>
      </c>
      <c r="G757" s="159">
        <f t="shared" si="112"/>
        <v>0</v>
      </c>
      <c r="H757" s="154">
        <f t="shared" si="113"/>
        <v>0</v>
      </c>
      <c r="I757" s="154">
        <f t="shared" si="114"/>
        <v>-2.0000000000000462E-4</v>
      </c>
      <c r="J757" s="154">
        <f t="shared" si="115"/>
        <v>5.729999999999968E-4</v>
      </c>
      <c r="K757" s="160">
        <f t="shared" si="116"/>
        <v>0</v>
      </c>
      <c r="L757" s="161">
        <f t="shared" si="117"/>
        <v>0</v>
      </c>
      <c r="M757" s="155">
        <f t="shared" si="118"/>
        <v>0</v>
      </c>
      <c r="N757" s="155">
        <f t="shared" si="119"/>
        <v>-4.8661800486619056E-3</v>
      </c>
      <c r="O757" s="155">
        <f t="shared" si="120"/>
        <v>1.4923818205495376E-2</v>
      </c>
      <c r="P757" s="162">
        <f t="shared" si="121"/>
        <v>0</v>
      </c>
    </row>
    <row r="758" spans="1:16">
      <c r="A758" s="319">
        <v>45301</v>
      </c>
      <c r="B758" s="31">
        <v>4.82</v>
      </c>
      <c r="C758" s="30">
        <v>4.37</v>
      </c>
      <c r="D758" s="30">
        <v>4.0999999999999996</v>
      </c>
      <c r="E758" s="30">
        <v>3.8898999999999999</v>
      </c>
      <c r="F758" s="30">
        <v>3.99</v>
      </c>
      <c r="G758" s="159">
        <f t="shared" si="112"/>
        <v>0</v>
      </c>
      <c r="H758" s="154">
        <f t="shared" si="113"/>
        <v>9.9999999999997863E-5</v>
      </c>
      <c r="I758" s="154">
        <f t="shared" si="114"/>
        <v>9.9999999999997863E-5</v>
      </c>
      <c r="J758" s="154">
        <f t="shared" si="115"/>
        <v>-6.8999999999999062E-5</v>
      </c>
      <c r="K758" s="160">
        <f t="shared" si="116"/>
        <v>2.0000000000000017E-4</v>
      </c>
      <c r="L758" s="161">
        <f t="shared" si="117"/>
        <v>0</v>
      </c>
      <c r="M758" s="155">
        <f t="shared" si="118"/>
        <v>2.2935779816513069E-3</v>
      </c>
      <c r="N758" s="155">
        <f t="shared" si="119"/>
        <v>2.4449877750609694E-3</v>
      </c>
      <c r="O758" s="155">
        <f t="shared" si="120"/>
        <v>-1.770683637856707E-3</v>
      </c>
      <c r="P758" s="162">
        <f t="shared" si="121"/>
        <v>5.0377833753147971E-3</v>
      </c>
    </row>
    <row r="759" spans="1:16">
      <c r="A759" s="319">
        <v>45302</v>
      </c>
      <c r="B759" s="31">
        <v>4.75</v>
      </c>
      <c r="C759" s="30">
        <v>4.26</v>
      </c>
      <c r="D759" s="30">
        <v>4.0199999999999996</v>
      </c>
      <c r="E759" s="30">
        <v>3.9418000000000002</v>
      </c>
      <c r="F759" s="30">
        <v>3.9</v>
      </c>
      <c r="G759" s="159">
        <f t="shared" si="112"/>
        <v>-7.0000000000000281E-4</v>
      </c>
      <c r="H759" s="154">
        <f t="shared" si="113"/>
        <v>-1.1000000000000031E-3</v>
      </c>
      <c r="I759" s="154">
        <f t="shared" si="114"/>
        <v>-8.0000000000000069E-4</v>
      </c>
      <c r="J759" s="154">
        <f t="shared" si="115"/>
        <v>5.1900000000000275E-4</v>
      </c>
      <c r="K759" s="160">
        <f t="shared" si="116"/>
        <v>-9.0000000000000301E-4</v>
      </c>
      <c r="L759" s="161">
        <f t="shared" si="117"/>
        <v>-1.4522821576763545E-2</v>
      </c>
      <c r="M759" s="155">
        <f t="shared" si="118"/>
        <v>-2.517162471395884E-2</v>
      </c>
      <c r="N759" s="155">
        <f t="shared" si="119"/>
        <v>-1.9512195121951237E-2</v>
      </c>
      <c r="O759" s="155">
        <f t="shared" si="120"/>
        <v>1.334224530193584E-2</v>
      </c>
      <c r="P759" s="162">
        <f t="shared" si="121"/>
        <v>-2.2556390977443663E-2</v>
      </c>
    </row>
    <row r="760" spans="1:16">
      <c r="A760" s="319">
        <v>45303</v>
      </c>
      <c r="B760" s="31">
        <v>4.6500000000000004</v>
      </c>
      <c r="C760" s="30">
        <v>4.1399999999999997</v>
      </c>
      <c r="D760" s="30">
        <v>3.92</v>
      </c>
      <c r="E760" s="30">
        <v>3.9813999999999998</v>
      </c>
      <c r="F760" s="30">
        <v>3.84</v>
      </c>
      <c r="G760" s="159">
        <f t="shared" si="112"/>
        <v>-9.9999999999999655E-4</v>
      </c>
      <c r="H760" s="154">
        <f t="shared" si="113"/>
        <v>-1.200000000000001E-3</v>
      </c>
      <c r="I760" s="154">
        <f t="shared" si="114"/>
        <v>-9.9999999999999655E-4</v>
      </c>
      <c r="J760" s="154">
        <f t="shared" si="115"/>
        <v>3.9599999999999634E-4</v>
      </c>
      <c r="K760" s="160">
        <f t="shared" si="116"/>
        <v>-6.0000000000000049E-4</v>
      </c>
      <c r="L760" s="161">
        <f t="shared" si="117"/>
        <v>-2.1052631578947323E-2</v>
      </c>
      <c r="M760" s="155">
        <f t="shared" si="118"/>
        <v>-2.8169014084507116E-2</v>
      </c>
      <c r="N760" s="155">
        <f t="shared" si="119"/>
        <v>-2.487562189054715E-2</v>
      </c>
      <c r="O760" s="155">
        <f t="shared" si="120"/>
        <v>1.0046171799685366E-2</v>
      </c>
      <c r="P760" s="162">
        <f t="shared" si="121"/>
        <v>-1.5384615384615441E-2</v>
      </c>
    </row>
    <row r="761" spans="1:16">
      <c r="A761" s="319">
        <v>45307</v>
      </c>
      <c r="B761" s="31">
        <v>4.7</v>
      </c>
      <c r="C761" s="30">
        <v>4.22</v>
      </c>
      <c r="D761" s="30">
        <v>4.0199999999999996</v>
      </c>
      <c r="E761" s="30">
        <v>3.9535999999999998</v>
      </c>
      <c r="F761" s="30">
        <v>3.95</v>
      </c>
      <c r="G761" s="159">
        <f t="shared" si="112"/>
        <v>4.9999999999999828E-4</v>
      </c>
      <c r="H761" s="154">
        <f t="shared" si="113"/>
        <v>8.0000000000000069E-4</v>
      </c>
      <c r="I761" s="154">
        <f t="shared" si="114"/>
        <v>9.9999999999999655E-4</v>
      </c>
      <c r="J761" s="154">
        <f t="shared" si="115"/>
        <v>-2.7800000000000047E-4</v>
      </c>
      <c r="K761" s="160">
        <f t="shared" si="116"/>
        <v>1.1000000000000031E-3</v>
      </c>
      <c r="L761" s="161">
        <f t="shared" si="117"/>
        <v>1.0752688172043001E-2</v>
      </c>
      <c r="M761" s="155">
        <f t="shared" si="118"/>
        <v>1.9323671497584627E-2</v>
      </c>
      <c r="N761" s="155">
        <f t="shared" si="119"/>
        <v>2.5510204081632626E-2</v>
      </c>
      <c r="O761" s="155">
        <f t="shared" si="120"/>
        <v>-6.9824684784246527E-3</v>
      </c>
      <c r="P761" s="162">
        <f t="shared" si="121"/>
        <v>2.8645833333333481E-2</v>
      </c>
    </row>
    <row r="762" spans="1:16">
      <c r="A762" s="319">
        <v>45308</v>
      </c>
      <c r="B762" s="31">
        <v>4.8</v>
      </c>
      <c r="C762" s="30">
        <v>4.34</v>
      </c>
      <c r="D762" s="30">
        <v>4.12</v>
      </c>
      <c r="E762" s="30">
        <v>3.9506999999999999</v>
      </c>
      <c r="F762" s="30">
        <v>4.0199999999999996</v>
      </c>
      <c r="G762" s="159">
        <f t="shared" si="112"/>
        <v>9.9999999999999655E-4</v>
      </c>
      <c r="H762" s="154">
        <f t="shared" si="113"/>
        <v>1.200000000000001E-3</v>
      </c>
      <c r="I762" s="154">
        <f t="shared" si="114"/>
        <v>1.0000000000000052E-3</v>
      </c>
      <c r="J762" s="154">
        <f t="shared" si="115"/>
        <v>-2.8999999999999028E-5</v>
      </c>
      <c r="K762" s="160">
        <f t="shared" si="116"/>
        <v>6.9999999999999392E-4</v>
      </c>
      <c r="L762" s="161">
        <f t="shared" si="117"/>
        <v>2.1276595744680771E-2</v>
      </c>
      <c r="M762" s="155">
        <f t="shared" si="118"/>
        <v>2.8436018957346043E-2</v>
      </c>
      <c r="N762" s="155">
        <f t="shared" si="119"/>
        <v>2.4875621890547484E-2</v>
      </c>
      <c r="O762" s="155">
        <f t="shared" si="120"/>
        <v>-7.3350870093080722E-4</v>
      </c>
      <c r="P762" s="162">
        <f t="shared" si="121"/>
        <v>1.7721518987341645E-2</v>
      </c>
    </row>
    <row r="763" spans="1:16">
      <c r="A763" s="319">
        <v>45309</v>
      </c>
      <c r="B763" s="31">
        <v>4.8</v>
      </c>
      <c r="C763" s="30">
        <v>4.34</v>
      </c>
      <c r="D763" s="30">
        <v>4.13</v>
      </c>
      <c r="E763" s="30">
        <v>3.9573999999999998</v>
      </c>
      <c r="F763" s="30">
        <v>4.04</v>
      </c>
      <c r="G763" s="159">
        <f t="shared" si="112"/>
        <v>0</v>
      </c>
      <c r="H763" s="154">
        <f t="shared" si="113"/>
        <v>0</v>
      </c>
      <c r="I763" s="154">
        <f t="shared" si="114"/>
        <v>9.9999999999997863E-5</v>
      </c>
      <c r="J763" s="154">
        <f t="shared" si="115"/>
        <v>6.6999999999999284E-5</v>
      </c>
      <c r="K763" s="160">
        <f t="shared" si="116"/>
        <v>2.0000000000000462E-4</v>
      </c>
      <c r="L763" s="161">
        <f t="shared" si="117"/>
        <v>0</v>
      </c>
      <c r="M763" s="155">
        <f t="shared" si="118"/>
        <v>0</v>
      </c>
      <c r="N763" s="155">
        <f t="shared" si="119"/>
        <v>2.4271844660193054E-3</v>
      </c>
      <c r="O763" s="155">
        <f t="shared" si="120"/>
        <v>1.6959019920519403E-3</v>
      </c>
      <c r="P763" s="162">
        <f t="shared" si="121"/>
        <v>4.9751243781095411E-3</v>
      </c>
    </row>
    <row r="764" spans="1:16">
      <c r="A764" s="319">
        <v>45310</v>
      </c>
      <c r="B764" s="31">
        <v>4.84</v>
      </c>
      <c r="C764" s="30">
        <v>4.3899999999999997</v>
      </c>
      <c r="D764" s="30">
        <v>4.18</v>
      </c>
      <c r="E764" s="30">
        <v>3.8959000000000001</v>
      </c>
      <c r="F764" s="30">
        <v>4.08</v>
      </c>
      <c r="G764" s="159">
        <f t="shared" si="112"/>
        <v>4.0000000000000034E-4</v>
      </c>
      <c r="H764" s="154">
        <f t="shared" si="113"/>
        <v>4.9999999999999828E-4</v>
      </c>
      <c r="I764" s="154">
        <f t="shared" si="114"/>
        <v>4.9999999999999828E-4</v>
      </c>
      <c r="J764" s="154">
        <f t="shared" si="115"/>
        <v>-6.1499999999999663E-4</v>
      </c>
      <c r="K764" s="160">
        <f t="shared" si="116"/>
        <v>4.0000000000000034E-4</v>
      </c>
      <c r="L764" s="161">
        <f t="shared" si="117"/>
        <v>8.3333333333333037E-3</v>
      </c>
      <c r="M764" s="155">
        <f t="shared" si="118"/>
        <v>1.1520737327188835E-2</v>
      </c>
      <c r="N764" s="155">
        <f t="shared" si="119"/>
        <v>1.2106537530266248E-2</v>
      </c>
      <c r="O764" s="155">
        <f t="shared" si="120"/>
        <v>-1.554050639308624E-2</v>
      </c>
      <c r="P764" s="162">
        <f t="shared" si="121"/>
        <v>9.9009900990099098E-3</v>
      </c>
    </row>
    <row r="765" spans="1:16">
      <c r="A765" s="319">
        <v>45313</v>
      </c>
      <c r="B765" s="31">
        <v>4.83</v>
      </c>
      <c r="C765" s="30">
        <v>4.37</v>
      </c>
      <c r="D765" s="30">
        <v>4.1399999999999997</v>
      </c>
      <c r="E765" s="30">
        <v>3.8134000000000001</v>
      </c>
      <c r="F765" s="30">
        <v>4.03</v>
      </c>
      <c r="G765" s="159">
        <f t="shared" si="112"/>
        <v>-9.9999999999997863E-5</v>
      </c>
      <c r="H765" s="154">
        <f t="shared" si="113"/>
        <v>-1.9999999999999573E-4</v>
      </c>
      <c r="I765" s="154">
        <f t="shared" si="114"/>
        <v>-4.0000000000000034E-4</v>
      </c>
      <c r="J765" s="154">
        <f t="shared" si="115"/>
        <v>-8.2500000000000021E-4</v>
      </c>
      <c r="K765" s="160">
        <f t="shared" si="116"/>
        <v>-4.9999999999999828E-4</v>
      </c>
      <c r="L765" s="161">
        <f t="shared" si="117"/>
        <v>-2.0661157024792765E-3</v>
      </c>
      <c r="M765" s="155">
        <f t="shared" si="118"/>
        <v>-4.5558086560363309E-3</v>
      </c>
      <c r="N765" s="155">
        <f t="shared" si="119"/>
        <v>-9.5693779904306719E-3</v>
      </c>
      <c r="O765" s="155">
        <f t="shared" si="120"/>
        <v>-2.1176108216329981E-2</v>
      </c>
      <c r="P765" s="162">
        <f t="shared" si="121"/>
        <v>-1.225490196078427E-2</v>
      </c>
    </row>
    <row r="766" spans="1:16">
      <c r="A766" s="319">
        <v>45314</v>
      </c>
      <c r="B766" s="31">
        <v>4.8099999999999996</v>
      </c>
      <c r="C766" s="30">
        <v>4.3099999999999996</v>
      </c>
      <c r="D766" s="30">
        <v>4.16</v>
      </c>
      <c r="E766" s="30">
        <v>3.8752</v>
      </c>
      <c r="F766" s="30">
        <v>4.0599999999999996</v>
      </c>
      <c r="G766" s="159">
        <f t="shared" si="112"/>
        <v>-2.0000000000000462E-4</v>
      </c>
      <c r="H766" s="154">
        <f t="shared" si="113"/>
        <v>-6.0000000000000493E-4</v>
      </c>
      <c r="I766" s="154">
        <f t="shared" si="114"/>
        <v>2.0000000000000462E-4</v>
      </c>
      <c r="J766" s="154">
        <f t="shared" si="115"/>
        <v>6.1799999999999854E-4</v>
      </c>
      <c r="K766" s="160">
        <f t="shared" si="116"/>
        <v>2.9999999999999363E-4</v>
      </c>
      <c r="L766" s="161">
        <f t="shared" si="117"/>
        <v>-4.1407867494824835E-3</v>
      </c>
      <c r="M766" s="155">
        <f t="shared" si="118"/>
        <v>-1.3729977116704872E-2</v>
      </c>
      <c r="N766" s="155">
        <f t="shared" si="119"/>
        <v>4.8309178743961567E-3</v>
      </c>
      <c r="O766" s="155">
        <f t="shared" si="120"/>
        <v>1.62060103844337E-2</v>
      </c>
      <c r="P766" s="162">
        <f t="shared" si="121"/>
        <v>7.4441687344910523E-3</v>
      </c>
    </row>
    <row r="767" spans="1:16">
      <c r="A767" s="319">
        <v>45315</v>
      </c>
      <c r="B767" s="31">
        <v>4.83</v>
      </c>
      <c r="C767" s="30">
        <v>4.34</v>
      </c>
      <c r="D767" s="30">
        <v>4.1900000000000004</v>
      </c>
      <c r="E767" s="30">
        <v>3.9474999999999998</v>
      </c>
      <c r="F767" s="30">
        <v>4.0599999999999996</v>
      </c>
      <c r="G767" s="159">
        <f t="shared" si="112"/>
        <v>2.0000000000000462E-4</v>
      </c>
      <c r="H767" s="154">
        <f t="shared" si="113"/>
        <v>3.0000000000000247E-4</v>
      </c>
      <c r="I767" s="154">
        <f t="shared" si="114"/>
        <v>3.0000000000000247E-4</v>
      </c>
      <c r="J767" s="154">
        <f t="shared" si="115"/>
        <v>7.2299999999999806E-4</v>
      </c>
      <c r="K767" s="160">
        <f t="shared" si="116"/>
        <v>0</v>
      </c>
      <c r="L767" s="161">
        <f t="shared" si="117"/>
        <v>4.1580041580042693E-3</v>
      </c>
      <c r="M767" s="155">
        <f t="shared" si="118"/>
        <v>6.9605568445476607E-3</v>
      </c>
      <c r="N767" s="155">
        <f t="shared" si="119"/>
        <v>7.2115384615385469E-3</v>
      </c>
      <c r="O767" s="155">
        <f t="shared" si="120"/>
        <v>1.8657101568951173E-2</v>
      </c>
      <c r="P767" s="162">
        <f t="shared" si="121"/>
        <v>0</v>
      </c>
    </row>
    <row r="768" spans="1:16">
      <c r="A768" s="319">
        <v>45316</v>
      </c>
      <c r="B768" s="31">
        <v>4.76</v>
      </c>
      <c r="C768" s="30">
        <v>4.28</v>
      </c>
      <c r="D768" s="30">
        <v>4.12</v>
      </c>
      <c r="E768" s="30">
        <v>3.9773999999999998</v>
      </c>
      <c r="F768" s="30">
        <v>4.01</v>
      </c>
      <c r="G768" s="159">
        <f t="shared" si="112"/>
        <v>-7.0000000000000281E-4</v>
      </c>
      <c r="H768" s="154">
        <f t="shared" si="113"/>
        <v>-5.9999999999999604E-4</v>
      </c>
      <c r="I768" s="154">
        <f t="shared" si="114"/>
        <v>-7.0000000000000281E-4</v>
      </c>
      <c r="J768" s="154">
        <f t="shared" si="115"/>
        <v>2.9900000000000038E-4</v>
      </c>
      <c r="K768" s="160">
        <f t="shared" si="116"/>
        <v>-4.9999999999999828E-4</v>
      </c>
      <c r="L768" s="161">
        <f t="shared" si="117"/>
        <v>-1.449275362318847E-2</v>
      </c>
      <c r="M768" s="155">
        <f t="shared" si="118"/>
        <v>-1.3824884792626668E-2</v>
      </c>
      <c r="N768" s="155">
        <f t="shared" si="119"/>
        <v>-1.6706443914081159E-2</v>
      </c>
      <c r="O768" s="155">
        <f t="shared" si="120"/>
        <v>7.5744141861937564E-3</v>
      </c>
      <c r="P768" s="162">
        <f t="shared" si="121"/>
        <v>-1.2315270935960521E-2</v>
      </c>
    </row>
    <row r="769" spans="1:16">
      <c r="A769" s="319">
        <v>45317</v>
      </c>
      <c r="B769" s="31">
        <v>4.78</v>
      </c>
      <c r="C769" s="30">
        <v>4.34</v>
      </c>
      <c r="D769" s="30">
        <v>4.1500000000000004</v>
      </c>
      <c r="E769" s="30">
        <v>4.0098000000000003</v>
      </c>
      <c r="F769" s="30">
        <v>4.04</v>
      </c>
      <c r="G769" s="159">
        <f t="shared" si="112"/>
        <v>2.0000000000000462E-4</v>
      </c>
      <c r="H769" s="154">
        <f t="shared" si="113"/>
        <v>5.9999999999999604E-4</v>
      </c>
      <c r="I769" s="154">
        <f t="shared" si="114"/>
        <v>3.0000000000000247E-4</v>
      </c>
      <c r="J769" s="154">
        <f t="shared" si="115"/>
        <v>3.240000000000043E-4</v>
      </c>
      <c r="K769" s="160">
        <f t="shared" si="116"/>
        <v>3.0000000000000247E-4</v>
      </c>
      <c r="L769" s="161">
        <f t="shared" si="117"/>
        <v>4.2016806722691147E-3</v>
      </c>
      <c r="M769" s="155">
        <f t="shared" si="118"/>
        <v>1.4018691588784993E-2</v>
      </c>
      <c r="N769" s="155">
        <f t="shared" si="119"/>
        <v>7.2815533980583602E-3</v>
      </c>
      <c r="O769" s="155">
        <f t="shared" si="120"/>
        <v>8.1460250414844282E-3</v>
      </c>
      <c r="P769" s="162">
        <f t="shared" si="121"/>
        <v>7.4812967581048273E-3</v>
      </c>
    </row>
    <row r="770" spans="1:16">
      <c r="A770" s="319">
        <v>45320</v>
      </c>
      <c r="B770" s="31">
        <v>4.76</v>
      </c>
      <c r="C770" s="30">
        <v>4.29</v>
      </c>
      <c r="D770" s="30">
        <v>4.0999999999999996</v>
      </c>
      <c r="E770" s="30">
        <v>3.9863</v>
      </c>
      <c r="F770" s="30">
        <v>3.97</v>
      </c>
      <c r="G770" s="159">
        <f t="shared" si="112"/>
        <v>-2.0000000000000462E-4</v>
      </c>
      <c r="H770" s="154">
        <f t="shared" si="113"/>
        <v>-4.9999999999999828E-4</v>
      </c>
      <c r="I770" s="154">
        <f t="shared" si="114"/>
        <v>-5.0000000000000706E-4</v>
      </c>
      <c r="J770" s="154">
        <f t="shared" si="115"/>
        <v>-2.3500000000000297E-4</v>
      </c>
      <c r="K770" s="160">
        <f t="shared" si="116"/>
        <v>-6.9999999999999837E-4</v>
      </c>
      <c r="L770" s="161">
        <f t="shared" si="117"/>
        <v>-4.1841004184101083E-3</v>
      </c>
      <c r="M770" s="155">
        <f t="shared" si="118"/>
        <v>-1.1520737327188946E-2</v>
      </c>
      <c r="N770" s="155">
        <f t="shared" si="119"/>
        <v>-1.2048192771084487E-2</v>
      </c>
      <c r="O770" s="155">
        <f t="shared" si="120"/>
        <v>-5.8606414285002906E-3</v>
      </c>
      <c r="P770" s="162">
        <f t="shared" si="121"/>
        <v>-1.7326732673267342E-2</v>
      </c>
    </row>
    <row r="771" spans="1:16">
      <c r="A771" s="319">
        <v>45321</v>
      </c>
      <c r="B771" s="31">
        <v>4.8</v>
      </c>
      <c r="C771" s="30">
        <v>4.3600000000000003</v>
      </c>
      <c r="D771" s="30">
        <v>4.1399999999999997</v>
      </c>
      <c r="E771" s="30">
        <v>3.9982000000000002</v>
      </c>
      <c r="F771" s="30">
        <v>4</v>
      </c>
      <c r="G771" s="159">
        <f t="shared" si="112"/>
        <v>4.0000000000000034E-4</v>
      </c>
      <c r="H771" s="154">
        <f t="shared" si="113"/>
        <v>7.0000000000000281E-4</v>
      </c>
      <c r="I771" s="154">
        <f t="shared" si="114"/>
        <v>4.0000000000000034E-4</v>
      </c>
      <c r="J771" s="154">
        <f t="shared" si="115"/>
        <v>1.1900000000000243E-4</v>
      </c>
      <c r="K771" s="160">
        <f t="shared" si="116"/>
        <v>2.9999999999999802E-4</v>
      </c>
      <c r="L771" s="161">
        <f t="shared" si="117"/>
        <v>8.4033613445377853E-3</v>
      </c>
      <c r="M771" s="155">
        <f t="shared" si="118"/>
        <v>1.631701631701632E-2</v>
      </c>
      <c r="N771" s="155">
        <f t="shared" si="119"/>
        <v>9.7560975609756184E-3</v>
      </c>
      <c r="O771" s="155">
        <f t="shared" si="120"/>
        <v>2.9852243935479805E-3</v>
      </c>
      <c r="P771" s="162">
        <f t="shared" si="121"/>
        <v>7.5566750629723067E-3</v>
      </c>
    </row>
    <row r="772" spans="1:16">
      <c r="A772" s="319">
        <v>45322</v>
      </c>
      <c r="B772" s="31">
        <v>4.7300000000000004</v>
      </c>
      <c r="C772" s="30">
        <v>4.2699999999999996</v>
      </c>
      <c r="D772" s="30">
        <v>4.05</v>
      </c>
      <c r="E772" s="30">
        <v>4.0279999999999996</v>
      </c>
      <c r="F772" s="30">
        <v>3.91</v>
      </c>
      <c r="G772" s="159">
        <f t="shared" ref="G772:G835" si="122">(B772-B771)/100</f>
        <v>-6.9999999999999392E-4</v>
      </c>
      <c r="H772" s="154">
        <f t="shared" ref="H772:H835" si="123">(C772-C771)/100</f>
        <v>-9.0000000000000746E-4</v>
      </c>
      <c r="I772" s="154">
        <f t="shared" ref="I772:I835" si="124">(D772-D771)/100</f>
        <v>-8.9999999999999857E-4</v>
      </c>
      <c r="J772" s="154">
        <f t="shared" ref="J772:J835" si="125">(E772-E771)/100</f>
        <v>2.979999999999938E-4</v>
      </c>
      <c r="K772" s="160">
        <f t="shared" ref="K772:K835" si="126">(F772-F771)/100</f>
        <v>-8.9999999999999857E-4</v>
      </c>
      <c r="L772" s="161">
        <f t="shared" ref="L772:L835" si="127">(B772/B771)-1</f>
        <v>-1.4583333333333171E-2</v>
      </c>
      <c r="M772" s="155">
        <f t="shared" ref="M772:M835" si="128">(C772/C771)-1</f>
        <v>-2.0642201834862539E-2</v>
      </c>
      <c r="N772" s="155">
        <f t="shared" ref="N772:N835" si="129">(D772/D771)-1</f>
        <v>-2.1739130434782594E-2</v>
      </c>
      <c r="O772" s="155">
        <f t="shared" ref="O772:O835" si="130">(E772/E771)-1</f>
        <v>7.4533540093040251E-3</v>
      </c>
      <c r="P772" s="162">
        <f t="shared" ref="P772:P835" si="131">(F772/F771)-1</f>
        <v>-2.2499999999999964E-2</v>
      </c>
    </row>
    <row r="773" spans="1:16">
      <c r="A773" s="319">
        <v>45323</v>
      </c>
      <c r="B773" s="31">
        <v>4.68</v>
      </c>
      <c r="C773" s="30">
        <v>4.2</v>
      </c>
      <c r="D773" s="30">
        <v>3.96</v>
      </c>
      <c r="E773" s="30">
        <v>3.9882</v>
      </c>
      <c r="F773" s="30">
        <v>3.8</v>
      </c>
      <c r="G773" s="159">
        <f t="shared" si="122"/>
        <v>-5.0000000000000706E-4</v>
      </c>
      <c r="H773" s="154">
        <f t="shared" si="123"/>
        <v>-6.9999999999999392E-4</v>
      </c>
      <c r="I773" s="154">
        <f t="shared" si="124"/>
        <v>-8.9999999999999857E-4</v>
      </c>
      <c r="J773" s="154">
        <f t="shared" si="125"/>
        <v>-3.9799999999999612E-4</v>
      </c>
      <c r="K773" s="160">
        <f t="shared" si="126"/>
        <v>-1.1000000000000031E-3</v>
      </c>
      <c r="L773" s="161">
        <f t="shared" si="127"/>
        <v>-1.0570824524313016E-2</v>
      </c>
      <c r="M773" s="155">
        <f t="shared" si="128"/>
        <v>-1.6393442622950727E-2</v>
      </c>
      <c r="N773" s="155">
        <f t="shared" si="129"/>
        <v>-2.2222222222222143E-2</v>
      </c>
      <c r="O773" s="155">
        <f t="shared" si="130"/>
        <v>-9.8808341608738193E-3</v>
      </c>
      <c r="P773" s="162">
        <f t="shared" si="131"/>
        <v>-2.8132992327365769E-2</v>
      </c>
    </row>
    <row r="774" spans="1:16">
      <c r="A774" s="319">
        <v>45324</v>
      </c>
      <c r="B774" s="31">
        <v>4.8099999999999996</v>
      </c>
      <c r="C774" s="30">
        <v>4.3600000000000003</v>
      </c>
      <c r="D774" s="30">
        <v>4.1399999999999997</v>
      </c>
      <c r="E774" s="30">
        <v>4.0021000000000004</v>
      </c>
      <c r="F774" s="30">
        <v>3.99</v>
      </c>
      <c r="G774" s="159">
        <f t="shared" si="122"/>
        <v>1.2999999999999989E-3</v>
      </c>
      <c r="H774" s="154">
        <f t="shared" si="123"/>
        <v>1.6000000000000014E-3</v>
      </c>
      <c r="I774" s="154">
        <f t="shared" si="124"/>
        <v>1.7999999999999971E-3</v>
      </c>
      <c r="J774" s="154">
        <f t="shared" si="125"/>
        <v>1.3900000000000468E-4</v>
      </c>
      <c r="K774" s="160">
        <f t="shared" si="126"/>
        <v>1.9000000000000039E-3</v>
      </c>
      <c r="L774" s="161">
        <f t="shared" si="127"/>
        <v>2.7777777777777679E-2</v>
      </c>
      <c r="M774" s="155">
        <f t="shared" si="128"/>
        <v>3.8095238095238182E-2</v>
      </c>
      <c r="N774" s="155">
        <f t="shared" si="129"/>
        <v>4.5454545454545414E-2</v>
      </c>
      <c r="O774" s="155">
        <f t="shared" si="130"/>
        <v>3.4852815806629689E-3</v>
      </c>
      <c r="P774" s="162">
        <f t="shared" si="131"/>
        <v>5.0000000000000044E-2</v>
      </c>
    </row>
    <row r="775" spans="1:16">
      <c r="A775" s="319">
        <v>45327</v>
      </c>
      <c r="B775" s="31">
        <v>4.87</v>
      </c>
      <c r="C775" s="30">
        <v>4.46</v>
      </c>
      <c r="D775" s="30">
        <v>4.2699999999999996</v>
      </c>
      <c r="E775" s="30">
        <v>3.9456000000000002</v>
      </c>
      <c r="F775" s="30">
        <v>4.13</v>
      </c>
      <c r="G775" s="159">
        <f t="shared" si="122"/>
        <v>6.0000000000000493E-4</v>
      </c>
      <c r="H775" s="154">
        <f t="shared" si="123"/>
        <v>9.9999999999999655E-4</v>
      </c>
      <c r="I775" s="154">
        <f t="shared" si="124"/>
        <v>1.2999999999999989E-3</v>
      </c>
      <c r="J775" s="154">
        <f t="shared" si="125"/>
        <v>-5.6500000000000213E-4</v>
      </c>
      <c r="K775" s="160">
        <f t="shared" si="126"/>
        <v>1.3999999999999967E-3</v>
      </c>
      <c r="L775" s="161">
        <f t="shared" si="127"/>
        <v>1.2474012474012586E-2</v>
      </c>
      <c r="M775" s="155">
        <f t="shared" si="128"/>
        <v>2.2935779816513735E-2</v>
      </c>
      <c r="N775" s="155">
        <f t="shared" si="129"/>
        <v>3.1400966183574797E-2</v>
      </c>
      <c r="O775" s="155">
        <f t="shared" si="130"/>
        <v>-1.4117588266160275E-2</v>
      </c>
      <c r="P775" s="162">
        <f t="shared" si="131"/>
        <v>3.5087719298245501E-2</v>
      </c>
    </row>
    <row r="776" spans="1:16">
      <c r="A776" s="319">
        <v>45328</v>
      </c>
      <c r="B776" s="31">
        <v>4.82</v>
      </c>
      <c r="C776" s="30">
        <v>4.3899999999999997</v>
      </c>
      <c r="D776" s="30">
        <v>4.1399999999999997</v>
      </c>
      <c r="E776" s="30">
        <v>3.9550999999999998</v>
      </c>
      <c r="F776" s="30">
        <v>4.03</v>
      </c>
      <c r="G776" s="159">
        <f t="shared" si="122"/>
        <v>-4.9999999999999828E-4</v>
      </c>
      <c r="H776" s="154">
        <f t="shared" si="123"/>
        <v>-7.0000000000000281E-4</v>
      </c>
      <c r="I776" s="154">
        <f t="shared" si="124"/>
        <v>-1.2999999999999989E-3</v>
      </c>
      <c r="J776" s="154">
        <f t="shared" si="125"/>
        <v>9.4999999999996197E-5</v>
      </c>
      <c r="K776" s="160">
        <f t="shared" si="126"/>
        <v>-9.9999999999999655E-4</v>
      </c>
      <c r="L776" s="161">
        <f t="shared" si="127"/>
        <v>-1.0266940451745366E-2</v>
      </c>
      <c r="M776" s="155">
        <f t="shared" si="128"/>
        <v>-1.5695067264574036E-2</v>
      </c>
      <c r="N776" s="155">
        <f t="shared" si="129"/>
        <v>-3.0444964871194302E-2</v>
      </c>
      <c r="O776" s="155">
        <f t="shared" si="130"/>
        <v>2.4077453365773938E-3</v>
      </c>
      <c r="P776" s="162">
        <f t="shared" si="131"/>
        <v>-2.4213075060532607E-2</v>
      </c>
    </row>
    <row r="777" spans="1:16">
      <c r="A777" s="319">
        <v>45329</v>
      </c>
      <c r="B777" s="31">
        <v>4.83</v>
      </c>
      <c r="C777" s="30">
        <v>4.41</v>
      </c>
      <c r="D777" s="30">
        <v>4.16</v>
      </c>
      <c r="E777" s="30">
        <v>3.8879000000000001</v>
      </c>
      <c r="F777" s="30">
        <v>4.0599999999999996</v>
      </c>
      <c r="G777" s="159">
        <f t="shared" si="122"/>
        <v>9.9999999999997863E-5</v>
      </c>
      <c r="H777" s="154">
        <f t="shared" si="123"/>
        <v>2.0000000000000462E-4</v>
      </c>
      <c r="I777" s="154">
        <f t="shared" si="124"/>
        <v>2.0000000000000462E-4</v>
      </c>
      <c r="J777" s="154">
        <f t="shared" si="125"/>
        <v>-6.7199999999999704E-4</v>
      </c>
      <c r="K777" s="160">
        <f t="shared" si="126"/>
        <v>2.9999999999999363E-4</v>
      </c>
      <c r="L777" s="161">
        <f t="shared" si="127"/>
        <v>2.0746887966804906E-3</v>
      </c>
      <c r="M777" s="155">
        <f t="shared" si="128"/>
        <v>4.5558086560364419E-3</v>
      </c>
      <c r="N777" s="155">
        <f t="shared" si="129"/>
        <v>4.8309178743961567E-3</v>
      </c>
      <c r="O777" s="155">
        <f t="shared" si="130"/>
        <v>-1.699072084144515E-2</v>
      </c>
      <c r="P777" s="162">
        <f t="shared" si="131"/>
        <v>7.4441687344910523E-3</v>
      </c>
    </row>
    <row r="778" spans="1:16">
      <c r="A778" s="319">
        <v>45330</v>
      </c>
      <c r="B778" s="31">
        <v>4.83</v>
      </c>
      <c r="C778" s="30">
        <v>4.46</v>
      </c>
      <c r="D778" s="30">
        <v>4.22</v>
      </c>
      <c r="E778" s="30">
        <v>3.7879</v>
      </c>
      <c r="F778" s="30">
        <v>4.12</v>
      </c>
      <c r="G778" s="159">
        <f t="shared" si="122"/>
        <v>0</v>
      </c>
      <c r="H778" s="154">
        <f t="shared" si="123"/>
        <v>4.9999999999999828E-4</v>
      </c>
      <c r="I778" s="154">
        <f t="shared" si="124"/>
        <v>5.9999999999999604E-4</v>
      </c>
      <c r="J778" s="154">
        <f t="shared" si="125"/>
        <v>-1.0000000000000009E-3</v>
      </c>
      <c r="K778" s="160">
        <f t="shared" si="126"/>
        <v>6.0000000000000493E-4</v>
      </c>
      <c r="L778" s="161">
        <f t="shared" si="127"/>
        <v>0</v>
      </c>
      <c r="M778" s="155">
        <f t="shared" si="128"/>
        <v>1.1337868480725488E-2</v>
      </c>
      <c r="N778" s="155">
        <f t="shared" si="129"/>
        <v>1.4423076923076872E-2</v>
      </c>
      <c r="O778" s="155">
        <f t="shared" si="130"/>
        <v>-2.5720826152936027E-2</v>
      </c>
      <c r="P778" s="162">
        <f t="shared" si="131"/>
        <v>1.4778325123152802E-2</v>
      </c>
    </row>
    <row r="779" spans="1:16">
      <c r="A779" s="319">
        <v>45331</v>
      </c>
      <c r="B779" s="31">
        <v>4.8600000000000003</v>
      </c>
      <c r="C779" s="30">
        <v>4.4800000000000004</v>
      </c>
      <c r="D779" s="30">
        <v>4.25</v>
      </c>
      <c r="E779" s="30">
        <v>3.9196</v>
      </c>
      <c r="F779" s="30">
        <v>4.1399999999999997</v>
      </c>
      <c r="G779" s="159">
        <f t="shared" si="122"/>
        <v>3.0000000000000247E-4</v>
      </c>
      <c r="H779" s="154">
        <f t="shared" si="123"/>
        <v>2.0000000000000462E-4</v>
      </c>
      <c r="I779" s="154">
        <f t="shared" si="124"/>
        <v>3.0000000000000247E-4</v>
      </c>
      <c r="J779" s="154">
        <f t="shared" si="125"/>
        <v>1.3169999999999994E-3</v>
      </c>
      <c r="K779" s="160">
        <f t="shared" si="126"/>
        <v>1.9999999999999573E-4</v>
      </c>
      <c r="L779" s="161">
        <f t="shared" si="127"/>
        <v>6.2111801242237252E-3</v>
      </c>
      <c r="M779" s="155">
        <f t="shared" si="128"/>
        <v>4.484304932735439E-3</v>
      </c>
      <c r="N779" s="155">
        <f t="shared" si="129"/>
        <v>7.1090047393365108E-3</v>
      </c>
      <c r="O779" s="155">
        <f t="shared" si="130"/>
        <v>3.4768605295810273E-2</v>
      </c>
      <c r="P779" s="162">
        <f t="shared" si="131"/>
        <v>4.8543689320388328E-3</v>
      </c>
    </row>
    <row r="780" spans="1:16">
      <c r="A780" s="319">
        <v>45334</v>
      </c>
      <c r="B780" s="31">
        <v>4.87</v>
      </c>
      <c r="C780" s="30">
        <v>4.46</v>
      </c>
      <c r="D780" s="30">
        <v>4.25</v>
      </c>
      <c r="E780" s="30">
        <v>4.0468000000000002</v>
      </c>
      <c r="F780" s="30">
        <v>4.13</v>
      </c>
      <c r="G780" s="159">
        <f t="shared" si="122"/>
        <v>9.9999999999997863E-5</v>
      </c>
      <c r="H780" s="154">
        <f t="shared" si="123"/>
        <v>-2.0000000000000462E-4</v>
      </c>
      <c r="I780" s="154">
        <f t="shared" si="124"/>
        <v>0</v>
      </c>
      <c r="J780" s="154">
        <f t="shared" si="125"/>
        <v>1.2720000000000021E-3</v>
      </c>
      <c r="K780" s="160">
        <f t="shared" si="126"/>
        <v>-9.9999999999997863E-5</v>
      </c>
      <c r="L780" s="161">
        <f t="shared" si="127"/>
        <v>2.057613168724215E-3</v>
      </c>
      <c r="M780" s="155">
        <f t="shared" si="128"/>
        <v>-4.4642857142858094E-3</v>
      </c>
      <c r="N780" s="155">
        <f t="shared" si="129"/>
        <v>0</v>
      </c>
      <c r="O780" s="155">
        <f t="shared" si="130"/>
        <v>3.2452291050107274E-2</v>
      </c>
      <c r="P780" s="162">
        <f t="shared" si="131"/>
        <v>-2.4154589371979673E-3</v>
      </c>
    </row>
    <row r="781" spans="1:16">
      <c r="A781" s="319">
        <v>45335</v>
      </c>
      <c r="B781" s="31">
        <v>4.99</v>
      </c>
      <c r="C781" s="30">
        <v>4.6399999999999997</v>
      </c>
      <c r="D781" s="30">
        <v>4.4400000000000004</v>
      </c>
      <c r="E781" s="30">
        <v>4.0103999999999997</v>
      </c>
      <c r="F781" s="30">
        <v>4.3099999999999996</v>
      </c>
      <c r="G781" s="159">
        <f t="shared" si="122"/>
        <v>1.200000000000001E-3</v>
      </c>
      <c r="H781" s="154">
        <f t="shared" si="123"/>
        <v>1.7999999999999971E-3</v>
      </c>
      <c r="I781" s="154">
        <f t="shared" si="124"/>
        <v>1.9000000000000039E-3</v>
      </c>
      <c r="J781" s="154">
        <f t="shared" si="125"/>
        <v>-3.6400000000000429E-4</v>
      </c>
      <c r="K781" s="160">
        <f t="shared" si="126"/>
        <v>1.7999999999999971E-3</v>
      </c>
      <c r="L781" s="161">
        <f t="shared" si="127"/>
        <v>2.4640657084188833E-2</v>
      </c>
      <c r="M781" s="155">
        <f t="shared" si="128"/>
        <v>4.0358744394618729E-2</v>
      </c>
      <c r="N781" s="155">
        <f t="shared" si="129"/>
        <v>4.4705882352941373E-2</v>
      </c>
      <c r="O781" s="155">
        <f t="shared" si="130"/>
        <v>-8.9947612928734655E-3</v>
      </c>
      <c r="P781" s="162">
        <f t="shared" si="131"/>
        <v>4.3583535108958849E-2</v>
      </c>
    </row>
    <row r="782" spans="1:16">
      <c r="A782" s="319">
        <v>45336</v>
      </c>
      <c r="B782" s="31">
        <v>4.9400000000000004</v>
      </c>
      <c r="C782" s="30">
        <v>4.5599999999999996</v>
      </c>
      <c r="D782" s="30">
        <v>4.38</v>
      </c>
      <c r="E782" s="30">
        <v>4.0167000000000002</v>
      </c>
      <c r="F782" s="30">
        <v>4.25</v>
      </c>
      <c r="G782" s="159">
        <f t="shared" si="122"/>
        <v>-4.9999999999999828E-4</v>
      </c>
      <c r="H782" s="154">
        <f t="shared" si="123"/>
        <v>-8.0000000000000069E-4</v>
      </c>
      <c r="I782" s="154">
        <f t="shared" si="124"/>
        <v>-6.0000000000000493E-4</v>
      </c>
      <c r="J782" s="154">
        <f t="shared" si="125"/>
        <v>6.3000000000004161E-5</v>
      </c>
      <c r="K782" s="160">
        <f t="shared" si="126"/>
        <v>-5.9999999999999604E-4</v>
      </c>
      <c r="L782" s="161">
        <f t="shared" si="127"/>
        <v>-1.0020040080160331E-2</v>
      </c>
      <c r="M782" s="155">
        <f t="shared" si="128"/>
        <v>-1.7241379310344862E-2</v>
      </c>
      <c r="N782" s="155">
        <f t="shared" si="129"/>
        <v>-1.3513513513513598E-2</v>
      </c>
      <c r="O782" s="155">
        <f t="shared" si="130"/>
        <v>1.5709156193897122E-3</v>
      </c>
      <c r="P782" s="162">
        <f t="shared" si="131"/>
        <v>-1.3921113689094988E-2</v>
      </c>
    </row>
    <row r="783" spans="1:16">
      <c r="A783" s="319">
        <v>45337</v>
      </c>
      <c r="B783" s="31">
        <v>4.93</v>
      </c>
      <c r="C783" s="30">
        <v>4.5599999999999996</v>
      </c>
      <c r="D783" s="30">
        <v>4.3600000000000003</v>
      </c>
      <c r="E783" s="30">
        <v>4.0659999999999998</v>
      </c>
      <c r="F783" s="30">
        <v>4.22</v>
      </c>
      <c r="G783" s="159">
        <f t="shared" si="122"/>
        <v>-1.0000000000000675E-4</v>
      </c>
      <c r="H783" s="154">
        <f t="shared" si="123"/>
        <v>0</v>
      </c>
      <c r="I783" s="154">
        <f t="shared" si="124"/>
        <v>-1.9999999999999573E-4</v>
      </c>
      <c r="J783" s="154">
        <f t="shared" si="125"/>
        <v>4.929999999999968E-4</v>
      </c>
      <c r="K783" s="160">
        <f t="shared" si="126"/>
        <v>-3.0000000000000247E-4</v>
      </c>
      <c r="L783" s="161">
        <f t="shared" si="127"/>
        <v>-2.0242914979758941E-3</v>
      </c>
      <c r="M783" s="155">
        <f t="shared" si="128"/>
        <v>0</v>
      </c>
      <c r="N783" s="155">
        <f t="shared" si="129"/>
        <v>-4.5662100456620447E-3</v>
      </c>
      <c r="O783" s="155">
        <f t="shared" si="130"/>
        <v>1.2273757064256596E-2</v>
      </c>
      <c r="P783" s="162">
        <f t="shared" si="131"/>
        <v>-7.058823529411784E-3</v>
      </c>
    </row>
    <row r="784" spans="1:16">
      <c r="A784" s="319">
        <v>45338</v>
      </c>
      <c r="B784" s="31">
        <v>4.9800000000000004</v>
      </c>
      <c r="C784" s="30">
        <v>4.6399999999999997</v>
      </c>
      <c r="D784" s="30">
        <v>4.43</v>
      </c>
      <c r="E784" s="30">
        <v>4.0928000000000004</v>
      </c>
      <c r="F784" s="30">
        <v>4.29</v>
      </c>
      <c r="G784" s="159">
        <f t="shared" si="122"/>
        <v>5.0000000000000706E-4</v>
      </c>
      <c r="H784" s="154">
        <f t="shared" si="123"/>
        <v>8.0000000000000069E-4</v>
      </c>
      <c r="I784" s="154">
        <f t="shared" si="124"/>
        <v>6.9999999999999392E-4</v>
      </c>
      <c r="J784" s="154">
        <f t="shared" si="125"/>
        <v>2.6800000000000603E-4</v>
      </c>
      <c r="K784" s="160">
        <f t="shared" si="126"/>
        <v>7.0000000000000281E-4</v>
      </c>
      <c r="L784" s="161">
        <f t="shared" si="127"/>
        <v>1.0141987829614729E-2</v>
      </c>
      <c r="M784" s="155">
        <f t="shared" si="128"/>
        <v>1.7543859649122862E-2</v>
      </c>
      <c r="N784" s="155">
        <f t="shared" si="129"/>
        <v>1.6055045871559592E-2</v>
      </c>
      <c r="O784" s="155">
        <f t="shared" si="130"/>
        <v>6.5912444663061009E-3</v>
      </c>
      <c r="P784" s="162">
        <f t="shared" si="131"/>
        <v>1.6587677725118599E-2</v>
      </c>
    </row>
    <row r="785" spans="1:16">
      <c r="A785" s="319">
        <v>45342</v>
      </c>
      <c r="B785" s="31">
        <v>4.97</v>
      </c>
      <c r="C785" s="30">
        <v>4.59</v>
      </c>
      <c r="D785" s="30">
        <v>4.38</v>
      </c>
      <c r="E785" s="30">
        <v>4.0918999999999999</v>
      </c>
      <c r="F785" s="30">
        <v>4.25</v>
      </c>
      <c r="G785" s="159">
        <f t="shared" si="122"/>
        <v>-1.0000000000000675E-4</v>
      </c>
      <c r="H785" s="154">
        <f t="shared" si="123"/>
        <v>-4.9999999999999828E-4</v>
      </c>
      <c r="I785" s="154">
        <f t="shared" si="124"/>
        <v>-4.9999999999999828E-4</v>
      </c>
      <c r="J785" s="154">
        <f t="shared" si="125"/>
        <v>-9.0000000000056703E-6</v>
      </c>
      <c r="K785" s="160">
        <f t="shared" si="126"/>
        <v>-4.0000000000000034E-4</v>
      </c>
      <c r="L785" s="161">
        <f t="shared" si="127"/>
        <v>-2.0080321285141922E-3</v>
      </c>
      <c r="M785" s="155">
        <f t="shared" si="128"/>
        <v>-1.0775862068965525E-2</v>
      </c>
      <c r="N785" s="155">
        <f t="shared" si="129"/>
        <v>-1.1286681715575564E-2</v>
      </c>
      <c r="O785" s="155">
        <f t="shared" si="130"/>
        <v>-2.1989835809244074E-4</v>
      </c>
      <c r="P785" s="162">
        <f t="shared" si="131"/>
        <v>-9.3240093240093413E-3</v>
      </c>
    </row>
    <row r="786" spans="1:16">
      <c r="A786" s="319">
        <v>45343</v>
      </c>
      <c r="B786" s="31">
        <v>4.9800000000000004</v>
      </c>
      <c r="C786" s="30">
        <v>4.6399999999999997</v>
      </c>
      <c r="D786" s="30">
        <v>4.43</v>
      </c>
      <c r="E786" s="30">
        <v>4.2317</v>
      </c>
      <c r="F786" s="30">
        <v>4.3</v>
      </c>
      <c r="G786" s="159">
        <f t="shared" si="122"/>
        <v>1.0000000000000675E-4</v>
      </c>
      <c r="H786" s="154">
        <f t="shared" si="123"/>
        <v>4.9999999999999828E-4</v>
      </c>
      <c r="I786" s="154">
        <f t="shared" si="124"/>
        <v>4.9999999999999828E-4</v>
      </c>
      <c r="J786" s="154">
        <f t="shared" si="125"/>
        <v>1.3980000000000015E-3</v>
      </c>
      <c r="K786" s="160">
        <f t="shared" si="126"/>
        <v>4.9999999999999828E-4</v>
      </c>
      <c r="L786" s="161">
        <f t="shared" si="127"/>
        <v>2.0120724346077701E-3</v>
      </c>
      <c r="M786" s="155">
        <f t="shared" si="128"/>
        <v>1.089324618736387E-2</v>
      </c>
      <c r="N786" s="155">
        <f t="shared" si="129"/>
        <v>1.1415525114155223E-2</v>
      </c>
      <c r="O786" s="155">
        <f t="shared" si="130"/>
        <v>3.416505779711132E-2</v>
      </c>
      <c r="P786" s="162">
        <f t="shared" si="131"/>
        <v>1.1764705882352899E-2</v>
      </c>
    </row>
    <row r="787" spans="1:16">
      <c r="A787" s="319">
        <v>45344</v>
      </c>
      <c r="B787" s="31">
        <v>5.0199999999999996</v>
      </c>
      <c r="C787" s="30">
        <v>4.6900000000000004</v>
      </c>
      <c r="D787" s="30">
        <v>4.49</v>
      </c>
      <c r="E787" s="30">
        <v>4.2172000000000001</v>
      </c>
      <c r="F787" s="30">
        <v>4.33</v>
      </c>
      <c r="G787" s="159">
        <f t="shared" si="122"/>
        <v>3.9999999999999145E-4</v>
      </c>
      <c r="H787" s="154">
        <f t="shared" si="123"/>
        <v>5.0000000000000706E-4</v>
      </c>
      <c r="I787" s="154">
        <f t="shared" si="124"/>
        <v>6.0000000000000493E-4</v>
      </c>
      <c r="J787" s="154">
        <f t="shared" si="125"/>
        <v>-1.4499999999999957E-4</v>
      </c>
      <c r="K787" s="160">
        <f t="shared" si="126"/>
        <v>3.0000000000000247E-4</v>
      </c>
      <c r="L787" s="161">
        <f t="shared" si="127"/>
        <v>8.0321285140561027E-3</v>
      </c>
      <c r="M787" s="155">
        <f t="shared" si="128"/>
        <v>1.0775862068965747E-2</v>
      </c>
      <c r="N787" s="155">
        <f t="shared" si="129"/>
        <v>1.3544018058690765E-2</v>
      </c>
      <c r="O787" s="155">
        <f t="shared" si="130"/>
        <v>-3.4265188931161816E-3</v>
      </c>
      <c r="P787" s="162">
        <f t="shared" si="131"/>
        <v>6.9767441860466572E-3</v>
      </c>
    </row>
    <row r="788" spans="1:16">
      <c r="A788" s="319">
        <v>45345</v>
      </c>
      <c r="B788" s="31">
        <v>5</v>
      </c>
      <c r="C788" s="30">
        <v>4.67</v>
      </c>
      <c r="D788" s="30">
        <v>4.45</v>
      </c>
      <c r="E788" s="30">
        <v>4.1961000000000004</v>
      </c>
      <c r="F788" s="30">
        <v>4.28</v>
      </c>
      <c r="G788" s="159">
        <f t="shared" si="122"/>
        <v>-1.9999999999999573E-4</v>
      </c>
      <c r="H788" s="154">
        <f t="shared" si="123"/>
        <v>-2.0000000000000462E-4</v>
      </c>
      <c r="I788" s="154">
        <f t="shared" si="124"/>
        <v>-4.0000000000000034E-4</v>
      </c>
      <c r="J788" s="154">
        <f t="shared" si="125"/>
        <v>-2.1099999999999675E-4</v>
      </c>
      <c r="K788" s="160">
        <f t="shared" si="126"/>
        <v>-4.9999999999999828E-4</v>
      </c>
      <c r="L788" s="161">
        <f t="shared" si="127"/>
        <v>-3.9840637450198058E-3</v>
      </c>
      <c r="M788" s="155">
        <f t="shared" si="128"/>
        <v>-4.2643923240939241E-3</v>
      </c>
      <c r="N788" s="155">
        <f t="shared" si="129"/>
        <v>-8.9086859688195519E-3</v>
      </c>
      <c r="O788" s="155">
        <f t="shared" si="130"/>
        <v>-5.0033197382148842E-3</v>
      </c>
      <c r="P788" s="162">
        <f t="shared" si="131"/>
        <v>-1.1547344110854452E-2</v>
      </c>
    </row>
    <row r="789" spans="1:16">
      <c r="A789" s="319">
        <v>45348</v>
      </c>
      <c r="B789" s="31">
        <v>5.03</v>
      </c>
      <c r="C789" s="30">
        <v>4.6900000000000004</v>
      </c>
      <c r="D789" s="30">
        <v>4.4800000000000004</v>
      </c>
      <c r="E789" s="30">
        <v>4.2466999999999997</v>
      </c>
      <c r="F789" s="30">
        <v>4.29</v>
      </c>
      <c r="G789" s="159">
        <f t="shared" si="122"/>
        <v>3.0000000000000247E-4</v>
      </c>
      <c r="H789" s="154">
        <f t="shared" si="123"/>
        <v>2.0000000000000462E-4</v>
      </c>
      <c r="I789" s="154">
        <f t="shared" si="124"/>
        <v>3.0000000000000247E-4</v>
      </c>
      <c r="J789" s="154">
        <f t="shared" si="125"/>
        <v>5.0599999999999311E-4</v>
      </c>
      <c r="K789" s="160">
        <f t="shared" si="126"/>
        <v>9.9999999999997863E-5</v>
      </c>
      <c r="L789" s="161">
        <f t="shared" si="127"/>
        <v>6.0000000000000053E-3</v>
      </c>
      <c r="M789" s="155">
        <f t="shared" si="128"/>
        <v>4.282655246252709E-3</v>
      </c>
      <c r="N789" s="155">
        <f t="shared" si="129"/>
        <v>6.741573033707926E-3</v>
      </c>
      <c r="O789" s="155">
        <f t="shared" si="130"/>
        <v>1.2058816520101878E-2</v>
      </c>
      <c r="P789" s="162">
        <f t="shared" si="131"/>
        <v>2.3364485981307581E-3</v>
      </c>
    </row>
    <row r="790" spans="1:16">
      <c r="A790" s="319">
        <v>45349</v>
      </c>
      <c r="B790" s="31">
        <v>5.03</v>
      </c>
      <c r="C790" s="30">
        <v>4.7</v>
      </c>
      <c r="D790" s="30">
        <v>4.5</v>
      </c>
      <c r="E790" s="30">
        <v>4.2291999999999996</v>
      </c>
      <c r="F790" s="30">
        <v>4.32</v>
      </c>
      <c r="G790" s="159">
        <f t="shared" si="122"/>
        <v>0</v>
      </c>
      <c r="H790" s="154">
        <f t="shared" si="123"/>
        <v>9.9999999999997863E-5</v>
      </c>
      <c r="I790" s="154">
        <f t="shared" si="124"/>
        <v>1.9999999999999573E-4</v>
      </c>
      <c r="J790" s="154">
        <f t="shared" si="125"/>
        <v>-1.750000000000007E-4</v>
      </c>
      <c r="K790" s="160">
        <f t="shared" si="126"/>
        <v>3.0000000000000247E-4</v>
      </c>
      <c r="L790" s="161">
        <f t="shared" si="127"/>
        <v>0</v>
      </c>
      <c r="M790" s="155">
        <f t="shared" si="128"/>
        <v>2.132196162046851E-3</v>
      </c>
      <c r="N790" s="155">
        <f t="shared" si="129"/>
        <v>4.4642857142855874E-3</v>
      </c>
      <c r="O790" s="155">
        <f t="shared" si="130"/>
        <v>-4.1208467751430167E-3</v>
      </c>
      <c r="P790" s="162">
        <f t="shared" si="131"/>
        <v>6.9930069930070893E-3</v>
      </c>
    </row>
    <row r="791" spans="1:16">
      <c r="A791" s="319">
        <v>45350</v>
      </c>
      <c r="B791" s="31">
        <v>5</v>
      </c>
      <c r="C791" s="30">
        <v>4.6399999999999997</v>
      </c>
      <c r="D791" s="30">
        <v>4.4400000000000004</v>
      </c>
      <c r="E791" s="30">
        <v>4.2602000000000002</v>
      </c>
      <c r="F791" s="30">
        <v>4.26</v>
      </c>
      <c r="G791" s="159">
        <f t="shared" si="122"/>
        <v>-3.0000000000000247E-4</v>
      </c>
      <c r="H791" s="154">
        <f t="shared" si="123"/>
        <v>-6.0000000000000493E-4</v>
      </c>
      <c r="I791" s="154">
        <f t="shared" si="124"/>
        <v>-5.9999999999999604E-4</v>
      </c>
      <c r="J791" s="154">
        <f t="shared" si="125"/>
        <v>3.100000000000058E-4</v>
      </c>
      <c r="K791" s="160">
        <f t="shared" si="126"/>
        <v>-6.0000000000000493E-4</v>
      </c>
      <c r="L791" s="161">
        <f t="shared" si="127"/>
        <v>-5.9642147117296984E-3</v>
      </c>
      <c r="M791" s="155">
        <f t="shared" si="128"/>
        <v>-1.276595744680864E-2</v>
      </c>
      <c r="N791" s="155">
        <f t="shared" si="129"/>
        <v>-1.3333333333333197E-2</v>
      </c>
      <c r="O791" s="155">
        <f t="shared" si="130"/>
        <v>7.3299914877520411E-3</v>
      </c>
      <c r="P791" s="162">
        <f t="shared" si="131"/>
        <v>-1.3888888888888951E-2</v>
      </c>
    </row>
    <row r="792" spans="1:16">
      <c r="A792" s="319">
        <v>45351</v>
      </c>
      <c r="B792" s="31">
        <v>5.01</v>
      </c>
      <c r="C792" s="30">
        <v>4.6399999999999997</v>
      </c>
      <c r="D792" s="30">
        <v>4.43</v>
      </c>
      <c r="E792" s="30">
        <v>4.2953000000000001</v>
      </c>
      <c r="F792" s="30">
        <v>4.26</v>
      </c>
      <c r="G792" s="159">
        <f t="shared" si="122"/>
        <v>9.9999999999997863E-5</v>
      </c>
      <c r="H792" s="154">
        <f t="shared" si="123"/>
        <v>0</v>
      </c>
      <c r="I792" s="154">
        <f t="shared" si="124"/>
        <v>-1.0000000000000675E-4</v>
      </c>
      <c r="J792" s="154">
        <f t="shared" si="125"/>
        <v>3.509999999999991E-4</v>
      </c>
      <c r="K792" s="160">
        <f t="shared" si="126"/>
        <v>0</v>
      </c>
      <c r="L792" s="161">
        <f t="shared" si="127"/>
        <v>2.0000000000000018E-3</v>
      </c>
      <c r="M792" s="155">
        <f t="shared" si="128"/>
        <v>0</v>
      </c>
      <c r="N792" s="155">
        <f t="shared" si="129"/>
        <v>-2.2522522522524513E-3</v>
      </c>
      <c r="O792" s="155">
        <f t="shared" si="130"/>
        <v>8.2390498098681153E-3</v>
      </c>
      <c r="P792" s="162">
        <f t="shared" si="131"/>
        <v>0</v>
      </c>
    </row>
    <row r="793" spans="1:16">
      <c r="A793" s="319">
        <v>45352</v>
      </c>
      <c r="B793" s="31">
        <v>4.9400000000000004</v>
      </c>
      <c r="C793" s="30">
        <v>4.54</v>
      </c>
      <c r="D793" s="30">
        <v>4.32</v>
      </c>
      <c r="E793" s="30">
        <v>4.2663000000000002</v>
      </c>
      <c r="F793" s="30">
        <v>4.17</v>
      </c>
      <c r="G793" s="159">
        <f t="shared" si="122"/>
        <v>-6.9999999999999392E-4</v>
      </c>
      <c r="H793" s="154">
        <f t="shared" si="123"/>
        <v>-9.9999999999999655E-4</v>
      </c>
      <c r="I793" s="154">
        <f t="shared" si="124"/>
        <v>-1.0999999999999942E-3</v>
      </c>
      <c r="J793" s="154">
        <f t="shared" si="125"/>
        <v>-2.8999999999999913E-4</v>
      </c>
      <c r="K793" s="160">
        <f t="shared" si="126"/>
        <v>-8.9999999999999857E-4</v>
      </c>
      <c r="L793" s="161">
        <f t="shared" si="127"/>
        <v>-1.3972055888223478E-2</v>
      </c>
      <c r="M793" s="155">
        <f t="shared" si="128"/>
        <v>-2.1551724137930939E-2</v>
      </c>
      <c r="N793" s="155">
        <f t="shared" si="129"/>
        <v>-2.4830699774266218E-2</v>
      </c>
      <c r="O793" s="155">
        <f t="shared" si="130"/>
        <v>-6.7515656647963995E-3</v>
      </c>
      <c r="P793" s="162">
        <f t="shared" si="131"/>
        <v>-2.1126760563380254E-2</v>
      </c>
    </row>
    <row r="794" spans="1:16">
      <c r="A794" s="319">
        <v>45355</v>
      </c>
      <c r="B794" s="31">
        <v>4.9800000000000004</v>
      </c>
      <c r="C794" s="30">
        <v>4.6100000000000003</v>
      </c>
      <c r="D794" s="30">
        <v>4.3899999999999997</v>
      </c>
      <c r="E794" s="30">
        <v>4.2847999999999997</v>
      </c>
      <c r="F794" s="30">
        <v>4.21</v>
      </c>
      <c r="G794" s="159">
        <f t="shared" si="122"/>
        <v>4.0000000000000034E-4</v>
      </c>
      <c r="H794" s="154">
        <f t="shared" si="123"/>
        <v>7.0000000000000281E-4</v>
      </c>
      <c r="I794" s="154">
        <f t="shared" si="124"/>
        <v>6.9999999999999392E-4</v>
      </c>
      <c r="J794" s="154">
        <f t="shared" si="125"/>
        <v>1.8499999999999517E-4</v>
      </c>
      <c r="K794" s="160">
        <f t="shared" si="126"/>
        <v>4.0000000000000034E-4</v>
      </c>
      <c r="L794" s="161">
        <f t="shared" si="127"/>
        <v>8.0971659919029104E-3</v>
      </c>
      <c r="M794" s="155">
        <f t="shared" si="128"/>
        <v>1.5418502202643181E-2</v>
      </c>
      <c r="N794" s="155">
        <f t="shared" si="129"/>
        <v>1.6203703703703498E-2</v>
      </c>
      <c r="O794" s="155">
        <f t="shared" si="130"/>
        <v>4.3363101516535885E-3</v>
      </c>
      <c r="P794" s="162">
        <f t="shared" si="131"/>
        <v>9.5923261390886694E-3</v>
      </c>
    </row>
    <row r="795" spans="1:16">
      <c r="A795" s="319">
        <v>45356</v>
      </c>
      <c r="B795" s="31">
        <v>4.9400000000000004</v>
      </c>
      <c r="C795" s="30">
        <v>4.54</v>
      </c>
      <c r="D795" s="30">
        <v>4.32</v>
      </c>
      <c r="E795" s="30">
        <v>4.3045999999999998</v>
      </c>
      <c r="F795" s="30">
        <v>4.13</v>
      </c>
      <c r="G795" s="159">
        <f t="shared" si="122"/>
        <v>-4.0000000000000034E-4</v>
      </c>
      <c r="H795" s="154">
        <f t="shared" si="123"/>
        <v>-7.0000000000000281E-4</v>
      </c>
      <c r="I795" s="154">
        <f t="shared" si="124"/>
        <v>-6.9999999999999392E-4</v>
      </c>
      <c r="J795" s="154">
        <f t="shared" si="125"/>
        <v>1.9800000000000039E-4</v>
      </c>
      <c r="K795" s="160">
        <f t="shared" si="126"/>
        <v>-8.0000000000000069E-4</v>
      </c>
      <c r="L795" s="161">
        <f t="shared" si="127"/>
        <v>-8.0321285140562138E-3</v>
      </c>
      <c r="M795" s="155">
        <f t="shared" si="128"/>
        <v>-1.5184381778741929E-2</v>
      </c>
      <c r="N795" s="155">
        <f t="shared" si="129"/>
        <v>-1.5945330296127436E-2</v>
      </c>
      <c r="O795" s="155">
        <f t="shared" si="130"/>
        <v>4.6209858103061219E-3</v>
      </c>
      <c r="P795" s="162">
        <f t="shared" si="131"/>
        <v>-1.9002375296912177E-2</v>
      </c>
    </row>
    <row r="796" spans="1:16">
      <c r="A796" s="319">
        <v>45357</v>
      </c>
      <c r="B796" s="31">
        <v>4.95</v>
      </c>
      <c r="C796" s="30">
        <v>4.55</v>
      </c>
      <c r="D796" s="30">
        <v>4.32</v>
      </c>
      <c r="E796" s="30">
        <v>4.2725999999999997</v>
      </c>
      <c r="F796" s="30">
        <v>4.12</v>
      </c>
      <c r="G796" s="159">
        <f t="shared" si="122"/>
        <v>9.9999999999997863E-5</v>
      </c>
      <c r="H796" s="154">
        <f t="shared" si="123"/>
        <v>9.9999999999997863E-5</v>
      </c>
      <c r="I796" s="154">
        <f t="shared" si="124"/>
        <v>0</v>
      </c>
      <c r="J796" s="154">
        <f t="shared" si="125"/>
        <v>-3.200000000000003E-4</v>
      </c>
      <c r="K796" s="160">
        <f t="shared" si="126"/>
        <v>-9.9999999999997863E-5</v>
      </c>
      <c r="L796" s="161">
        <f t="shared" si="127"/>
        <v>2.0242914979755611E-3</v>
      </c>
      <c r="M796" s="155">
        <f t="shared" si="128"/>
        <v>2.2026431718060735E-3</v>
      </c>
      <c r="N796" s="155">
        <f t="shared" si="129"/>
        <v>0</v>
      </c>
      <c r="O796" s="155">
        <f t="shared" si="130"/>
        <v>-7.433907912465787E-3</v>
      </c>
      <c r="P796" s="162">
        <f t="shared" si="131"/>
        <v>-2.421307506053183E-3</v>
      </c>
    </row>
    <row r="797" spans="1:16">
      <c r="A797" s="319">
        <v>45358</v>
      </c>
      <c r="B797" s="31">
        <v>4.93</v>
      </c>
      <c r="C797" s="30">
        <v>4.5</v>
      </c>
      <c r="D797" s="30">
        <v>4.28</v>
      </c>
      <c r="E797" s="30">
        <v>4.2576000000000001</v>
      </c>
      <c r="F797" s="30">
        <v>4.07</v>
      </c>
      <c r="G797" s="159">
        <f t="shared" si="122"/>
        <v>-2.0000000000000462E-4</v>
      </c>
      <c r="H797" s="154">
        <f t="shared" si="123"/>
        <v>-4.9999999999999828E-4</v>
      </c>
      <c r="I797" s="154">
        <f t="shared" si="124"/>
        <v>-4.0000000000000034E-4</v>
      </c>
      <c r="J797" s="154">
        <f t="shared" si="125"/>
        <v>-1.4999999999999682E-4</v>
      </c>
      <c r="K797" s="160">
        <f t="shared" si="126"/>
        <v>-4.9999999999999828E-4</v>
      </c>
      <c r="L797" s="161">
        <f t="shared" si="127"/>
        <v>-4.0404040404041774E-3</v>
      </c>
      <c r="M797" s="155">
        <f t="shared" si="128"/>
        <v>-1.098901098901095E-2</v>
      </c>
      <c r="N797" s="155">
        <f t="shared" si="129"/>
        <v>-9.2592592592593004E-3</v>
      </c>
      <c r="O797" s="155">
        <f t="shared" si="130"/>
        <v>-3.5107428731918633E-3</v>
      </c>
      <c r="P797" s="162">
        <f t="shared" si="131"/>
        <v>-1.2135922330097082E-2</v>
      </c>
    </row>
    <row r="798" spans="1:16">
      <c r="A798" s="319">
        <v>45359</v>
      </c>
      <c r="B798" s="31">
        <v>4.92</v>
      </c>
      <c r="C798" s="30">
        <v>4.4800000000000004</v>
      </c>
      <c r="D798" s="30">
        <v>4.25</v>
      </c>
      <c r="E798" s="30">
        <v>4.1826999999999996</v>
      </c>
      <c r="F798" s="30">
        <v>4.0599999999999996</v>
      </c>
      <c r="G798" s="159">
        <f t="shared" si="122"/>
        <v>-9.9999999999997863E-5</v>
      </c>
      <c r="H798" s="154">
        <f t="shared" si="123"/>
        <v>-1.9999999999999573E-4</v>
      </c>
      <c r="I798" s="154">
        <f t="shared" si="124"/>
        <v>-3.0000000000000247E-4</v>
      </c>
      <c r="J798" s="154">
        <f t="shared" si="125"/>
        <v>-7.4900000000000411E-4</v>
      </c>
      <c r="K798" s="160">
        <f t="shared" si="126"/>
        <v>-1.0000000000000675E-4</v>
      </c>
      <c r="L798" s="161">
        <f t="shared" si="127"/>
        <v>-2.0283975659228792E-3</v>
      </c>
      <c r="M798" s="155">
        <f t="shared" si="128"/>
        <v>-4.444444444444362E-3</v>
      </c>
      <c r="N798" s="155">
        <f t="shared" si="129"/>
        <v>-7.0093457943926074E-3</v>
      </c>
      <c r="O798" s="155">
        <f t="shared" si="130"/>
        <v>-1.7592070650131575E-2</v>
      </c>
      <c r="P798" s="162">
        <f t="shared" si="131"/>
        <v>-2.4570024570026439E-3</v>
      </c>
    </row>
    <row r="799" spans="1:16">
      <c r="A799" s="319">
        <v>45362</v>
      </c>
      <c r="B799" s="31">
        <v>4.95</v>
      </c>
      <c r="C799" s="30">
        <v>4.51</v>
      </c>
      <c r="D799" s="30">
        <v>4.26</v>
      </c>
      <c r="E799" s="30">
        <v>4.2081</v>
      </c>
      <c r="F799" s="30">
        <v>4.08</v>
      </c>
      <c r="G799" s="159">
        <f t="shared" si="122"/>
        <v>3.0000000000000247E-4</v>
      </c>
      <c r="H799" s="154">
        <f t="shared" si="123"/>
        <v>2.9999999999999363E-4</v>
      </c>
      <c r="I799" s="154">
        <f t="shared" si="124"/>
        <v>9.9999999999997863E-5</v>
      </c>
      <c r="J799" s="154">
        <f t="shared" si="125"/>
        <v>2.5400000000000314E-4</v>
      </c>
      <c r="K799" s="160">
        <f t="shared" si="126"/>
        <v>2.0000000000000462E-4</v>
      </c>
      <c r="L799" s="161">
        <f t="shared" si="127"/>
        <v>6.0975609756097615E-3</v>
      </c>
      <c r="M799" s="155">
        <f t="shared" si="128"/>
        <v>6.6964285714283811E-3</v>
      </c>
      <c r="N799" s="155">
        <f t="shared" si="129"/>
        <v>2.3529411764704466E-3</v>
      </c>
      <c r="O799" s="155">
        <f t="shared" si="130"/>
        <v>6.0726325101012613E-3</v>
      </c>
      <c r="P799" s="162">
        <f t="shared" si="131"/>
        <v>4.9261083743843415E-3</v>
      </c>
    </row>
    <row r="800" spans="1:16">
      <c r="A800" s="319">
        <v>45363</v>
      </c>
      <c r="B800" s="31">
        <v>5</v>
      </c>
      <c r="C800" s="30">
        <v>4.58</v>
      </c>
      <c r="D800" s="30">
        <v>4.33</v>
      </c>
      <c r="E800" s="30">
        <v>4.1520000000000001</v>
      </c>
      <c r="F800" s="30">
        <v>4.1500000000000004</v>
      </c>
      <c r="G800" s="159">
        <f t="shared" si="122"/>
        <v>4.9999999999999828E-4</v>
      </c>
      <c r="H800" s="154">
        <f t="shared" si="123"/>
        <v>7.0000000000000281E-4</v>
      </c>
      <c r="I800" s="154">
        <f t="shared" si="124"/>
        <v>7.0000000000000281E-4</v>
      </c>
      <c r="J800" s="154">
        <f t="shared" si="125"/>
        <v>-5.6099999999999813E-4</v>
      </c>
      <c r="K800" s="160">
        <f t="shared" si="126"/>
        <v>7.0000000000000281E-4</v>
      </c>
      <c r="L800" s="161">
        <f t="shared" si="127"/>
        <v>1.0101010101010166E-2</v>
      </c>
      <c r="M800" s="155">
        <f t="shared" si="128"/>
        <v>1.5521064301552201E-2</v>
      </c>
      <c r="N800" s="155">
        <f t="shared" si="129"/>
        <v>1.6431924882629234E-2</v>
      </c>
      <c r="O800" s="155">
        <f t="shared" si="130"/>
        <v>-1.3331432237826957E-2</v>
      </c>
      <c r="P800" s="162">
        <f t="shared" si="131"/>
        <v>1.71568627450982E-2</v>
      </c>
    </row>
    <row r="801" spans="1:16">
      <c r="A801" s="319">
        <v>45364</v>
      </c>
      <c r="B801" s="31">
        <v>5.01</v>
      </c>
      <c r="C801" s="30">
        <v>4.6100000000000003</v>
      </c>
      <c r="D801" s="30">
        <v>4.37</v>
      </c>
      <c r="E801" s="30">
        <v>4.1325000000000003</v>
      </c>
      <c r="F801" s="30">
        <v>4.1900000000000004</v>
      </c>
      <c r="G801" s="159">
        <f t="shared" si="122"/>
        <v>9.9999999999997863E-5</v>
      </c>
      <c r="H801" s="154">
        <f t="shared" si="123"/>
        <v>3.0000000000000247E-4</v>
      </c>
      <c r="I801" s="154">
        <f t="shared" si="124"/>
        <v>4.0000000000000034E-4</v>
      </c>
      <c r="J801" s="154">
        <f t="shared" si="125"/>
        <v>-1.9499999999999851E-4</v>
      </c>
      <c r="K801" s="160">
        <f t="shared" si="126"/>
        <v>4.0000000000000034E-4</v>
      </c>
      <c r="L801" s="161">
        <f t="shared" si="127"/>
        <v>2.0000000000000018E-3</v>
      </c>
      <c r="M801" s="155">
        <f t="shared" si="128"/>
        <v>6.5502183406114245E-3</v>
      </c>
      <c r="N801" s="155">
        <f t="shared" si="129"/>
        <v>9.2378752886836946E-3</v>
      </c>
      <c r="O801" s="155">
        <f t="shared" si="130"/>
        <v>-4.6965317919074323E-3</v>
      </c>
      <c r="P801" s="162">
        <f t="shared" si="131"/>
        <v>9.6385542168675453E-3</v>
      </c>
    </row>
    <row r="802" spans="1:16">
      <c r="A802" s="319">
        <v>45365</v>
      </c>
      <c r="B802" s="31">
        <v>5.04</v>
      </c>
      <c r="C802" s="30">
        <v>4.68</v>
      </c>
      <c r="D802" s="30">
        <v>4.46</v>
      </c>
      <c r="E802" s="30">
        <v>4.0983999999999998</v>
      </c>
      <c r="F802" s="30">
        <v>4.29</v>
      </c>
      <c r="G802" s="159">
        <f t="shared" si="122"/>
        <v>3.0000000000000247E-4</v>
      </c>
      <c r="H802" s="154">
        <f t="shared" si="123"/>
        <v>6.9999999999999392E-4</v>
      </c>
      <c r="I802" s="154">
        <f t="shared" si="124"/>
        <v>8.9999999999999857E-4</v>
      </c>
      <c r="J802" s="154">
        <f t="shared" si="125"/>
        <v>-3.4100000000000466E-4</v>
      </c>
      <c r="K802" s="160">
        <f t="shared" si="126"/>
        <v>9.9999999999999655E-4</v>
      </c>
      <c r="L802" s="161">
        <f t="shared" si="127"/>
        <v>5.9880239520959666E-3</v>
      </c>
      <c r="M802" s="155">
        <f t="shared" si="128"/>
        <v>1.5184381778741818E-2</v>
      </c>
      <c r="N802" s="155">
        <f t="shared" si="129"/>
        <v>2.0594965675057253E-2</v>
      </c>
      <c r="O802" s="155">
        <f t="shared" si="130"/>
        <v>-8.2516636418633604E-3</v>
      </c>
      <c r="P802" s="162">
        <f t="shared" si="131"/>
        <v>2.386634844868718E-2</v>
      </c>
    </row>
    <row r="803" spans="1:16">
      <c r="A803" s="319">
        <v>45366</v>
      </c>
      <c r="B803" s="31">
        <v>5.05</v>
      </c>
      <c r="C803" s="30">
        <v>4.72</v>
      </c>
      <c r="D803" s="30">
        <v>4.51</v>
      </c>
      <c r="E803" s="30">
        <v>4.0804</v>
      </c>
      <c r="F803" s="30">
        <v>4.33</v>
      </c>
      <c r="G803" s="159">
        <f t="shared" si="122"/>
        <v>9.9999999999997863E-5</v>
      </c>
      <c r="H803" s="154">
        <f t="shared" si="123"/>
        <v>4.0000000000000034E-4</v>
      </c>
      <c r="I803" s="154">
        <f t="shared" si="124"/>
        <v>4.9999999999999828E-4</v>
      </c>
      <c r="J803" s="154">
        <f t="shared" si="125"/>
        <v>-1.7999999999999795E-4</v>
      </c>
      <c r="K803" s="160">
        <f t="shared" si="126"/>
        <v>4.0000000000000034E-4</v>
      </c>
      <c r="L803" s="161">
        <f t="shared" si="127"/>
        <v>1.9841269841269771E-3</v>
      </c>
      <c r="M803" s="155">
        <f t="shared" si="128"/>
        <v>8.5470085470085166E-3</v>
      </c>
      <c r="N803" s="155">
        <f t="shared" si="129"/>
        <v>1.1210762331838486E-2</v>
      </c>
      <c r="O803" s="155">
        <f t="shared" si="130"/>
        <v>-4.3919578372046963E-3</v>
      </c>
      <c r="P803" s="162">
        <f t="shared" si="131"/>
        <v>9.3240093240092303E-3</v>
      </c>
    </row>
    <row r="804" spans="1:16">
      <c r="A804" s="319">
        <v>45369</v>
      </c>
      <c r="B804" s="31">
        <v>5.0599999999999996</v>
      </c>
      <c r="C804" s="30">
        <v>4.7300000000000004</v>
      </c>
      <c r="D804" s="30">
        <v>4.5199999999999996</v>
      </c>
      <c r="E804" s="30">
        <v>4.0936000000000003</v>
      </c>
      <c r="F804" s="30">
        <v>4.3600000000000003</v>
      </c>
      <c r="G804" s="159">
        <f t="shared" si="122"/>
        <v>9.9999999999997863E-5</v>
      </c>
      <c r="H804" s="154">
        <f t="shared" si="123"/>
        <v>1.0000000000000675E-4</v>
      </c>
      <c r="I804" s="154">
        <f t="shared" si="124"/>
        <v>9.9999999999997863E-5</v>
      </c>
      <c r="J804" s="154">
        <f t="shared" si="125"/>
        <v>1.3200000000000324E-4</v>
      </c>
      <c r="K804" s="160">
        <f t="shared" si="126"/>
        <v>3.0000000000000247E-4</v>
      </c>
      <c r="L804" s="161">
        <f t="shared" si="127"/>
        <v>1.980198019801982E-3</v>
      </c>
      <c r="M804" s="155">
        <f t="shared" si="128"/>
        <v>2.1186440677967155E-3</v>
      </c>
      <c r="N804" s="155">
        <f t="shared" si="129"/>
        <v>2.2172949002217113E-3</v>
      </c>
      <c r="O804" s="155">
        <f t="shared" si="130"/>
        <v>3.2349769630428682E-3</v>
      </c>
      <c r="P804" s="162">
        <f t="shared" si="131"/>
        <v>6.9284064665127154E-3</v>
      </c>
    </row>
    <row r="805" spans="1:16">
      <c r="A805" s="319">
        <v>45370</v>
      </c>
      <c r="B805" s="31">
        <v>5.0599999999999996</v>
      </c>
      <c r="C805" s="30">
        <v>4.68</v>
      </c>
      <c r="D805" s="30">
        <v>4.47</v>
      </c>
      <c r="E805" s="30">
        <v>4.1532</v>
      </c>
      <c r="F805" s="30">
        <v>4.3099999999999996</v>
      </c>
      <c r="G805" s="159">
        <f t="shared" si="122"/>
        <v>0</v>
      </c>
      <c r="H805" s="154">
        <f t="shared" si="123"/>
        <v>-5.0000000000000706E-4</v>
      </c>
      <c r="I805" s="154">
        <f t="shared" si="124"/>
        <v>-4.9999999999999828E-4</v>
      </c>
      <c r="J805" s="154">
        <f t="shared" si="125"/>
        <v>5.9599999999999649E-4</v>
      </c>
      <c r="K805" s="160">
        <f t="shared" si="126"/>
        <v>-5.0000000000000706E-4</v>
      </c>
      <c r="L805" s="161">
        <f t="shared" si="127"/>
        <v>0</v>
      </c>
      <c r="M805" s="155">
        <f t="shared" si="128"/>
        <v>-1.0570824524313016E-2</v>
      </c>
      <c r="N805" s="155">
        <f t="shared" si="129"/>
        <v>-1.1061946902654829E-2</v>
      </c>
      <c r="O805" s="155">
        <f t="shared" si="130"/>
        <v>1.455931209693162E-2</v>
      </c>
      <c r="P805" s="162">
        <f t="shared" si="131"/>
        <v>-1.146788990825709E-2</v>
      </c>
    </row>
    <row r="806" spans="1:16">
      <c r="A806" s="319">
        <v>45371</v>
      </c>
      <c r="B806" s="31">
        <v>5.01</v>
      </c>
      <c r="C806" s="30">
        <v>4.59</v>
      </c>
      <c r="D806" s="30">
        <v>4.41</v>
      </c>
      <c r="E806" s="30">
        <v>4.1890000000000001</v>
      </c>
      <c r="F806" s="30">
        <v>4.25</v>
      </c>
      <c r="G806" s="159">
        <f t="shared" si="122"/>
        <v>-4.9999999999999828E-4</v>
      </c>
      <c r="H806" s="154">
        <f t="shared" si="123"/>
        <v>-8.9999999999999857E-4</v>
      </c>
      <c r="I806" s="154">
        <f t="shared" si="124"/>
        <v>-5.9999999999999604E-4</v>
      </c>
      <c r="J806" s="154">
        <f t="shared" si="125"/>
        <v>3.5800000000000052E-4</v>
      </c>
      <c r="K806" s="160">
        <f t="shared" si="126"/>
        <v>-5.9999999999999604E-4</v>
      </c>
      <c r="L806" s="161">
        <f t="shared" si="127"/>
        <v>-9.8814229249011287E-3</v>
      </c>
      <c r="M806" s="155">
        <f t="shared" si="128"/>
        <v>-1.9230769230769162E-2</v>
      </c>
      <c r="N806" s="155">
        <f t="shared" si="129"/>
        <v>-1.3422818791946178E-2</v>
      </c>
      <c r="O806" s="155">
        <f t="shared" si="130"/>
        <v>8.6198593855340011E-3</v>
      </c>
      <c r="P806" s="162">
        <f t="shared" si="131"/>
        <v>-1.3921113689094988E-2</v>
      </c>
    </row>
    <row r="807" spans="1:16">
      <c r="A807" s="319">
        <v>45372</v>
      </c>
      <c r="B807" s="31">
        <v>5.01</v>
      </c>
      <c r="C807" s="30">
        <v>4.62</v>
      </c>
      <c r="D807" s="30">
        <v>4.42</v>
      </c>
      <c r="E807" s="30">
        <v>4.2717999999999998</v>
      </c>
      <c r="F807" s="30">
        <v>4.26</v>
      </c>
      <c r="G807" s="159">
        <f t="shared" si="122"/>
        <v>0</v>
      </c>
      <c r="H807" s="154">
        <f t="shared" si="123"/>
        <v>3.0000000000000247E-4</v>
      </c>
      <c r="I807" s="154">
        <f t="shared" si="124"/>
        <v>9.9999999999997863E-5</v>
      </c>
      <c r="J807" s="154">
        <f t="shared" si="125"/>
        <v>8.2799999999999757E-4</v>
      </c>
      <c r="K807" s="160">
        <f t="shared" si="126"/>
        <v>9.9999999999997863E-5</v>
      </c>
      <c r="L807" s="161">
        <f t="shared" si="127"/>
        <v>0</v>
      </c>
      <c r="M807" s="155">
        <f t="shared" si="128"/>
        <v>6.5359477124182774E-3</v>
      </c>
      <c r="N807" s="155">
        <f t="shared" si="129"/>
        <v>2.2675736961450532E-3</v>
      </c>
      <c r="O807" s="155">
        <f t="shared" si="130"/>
        <v>1.9766053950823537E-2</v>
      </c>
      <c r="P807" s="162">
        <f t="shared" si="131"/>
        <v>2.3529411764704466E-3</v>
      </c>
    </row>
    <row r="808" spans="1:16">
      <c r="A808" s="319">
        <v>45373</v>
      </c>
      <c r="B808" s="31">
        <v>4.9800000000000004</v>
      </c>
      <c r="C808" s="30">
        <v>4.59</v>
      </c>
      <c r="D808" s="30">
        <v>4.3600000000000003</v>
      </c>
      <c r="E808" s="30">
        <v>4.3110999999999997</v>
      </c>
      <c r="F808" s="30">
        <v>4.2</v>
      </c>
      <c r="G808" s="159">
        <f t="shared" si="122"/>
        <v>-2.9999999999999363E-4</v>
      </c>
      <c r="H808" s="154">
        <f t="shared" si="123"/>
        <v>-3.0000000000000247E-4</v>
      </c>
      <c r="I808" s="154">
        <f t="shared" si="124"/>
        <v>-5.9999999999999604E-4</v>
      </c>
      <c r="J808" s="154">
        <f t="shared" si="125"/>
        <v>3.9299999999999893E-4</v>
      </c>
      <c r="K808" s="160">
        <f t="shared" si="126"/>
        <v>-5.9999999999999604E-4</v>
      </c>
      <c r="L808" s="161">
        <f t="shared" si="127"/>
        <v>-5.9880239520956335E-3</v>
      </c>
      <c r="M808" s="155">
        <f t="shared" si="128"/>
        <v>-6.4935064935065512E-3</v>
      </c>
      <c r="N808" s="155">
        <f t="shared" si="129"/>
        <v>-1.3574660633484115E-2</v>
      </c>
      <c r="O808" s="155">
        <f t="shared" si="130"/>
        <v>9.1998689077203988E-3</v>
      </c>
      <c r="P808" s="162">
        <f t="shared" si="131"/>
        <v>-1.4084507042253391E-2</v>
      </c>
    </row>
    <row r="809" spans="1:16">
      <c r="A809" s="319">
        <v>45376</v>
      </c>
      <c r="B809" s="31">
        <v>5</v>
      </c>
      <c r="C809" s="30">
        <v>4.54</v>
      </c>
      <c r="D809" s="30">
        <v>4.3899999999999997</v>
      </c>
      <c r="E809" s="30">
        <v>4.3395999999999999</v>
      </c>
      <c r="F809" s="30">
        <v>4.2300000000000004</v>
      </c>
      <c r="G809" s="159">
        <f t="shared" si="122"/>
        <v>1.9999999999999573E-4</v>
      </c>
      <c r="H809" s="154">
        <f t="shared" si="123"/>
        <v>-4.9999999999999828E-4</v>
      </c>
      <c r="I809" s="154">
        <f t="shared" si="124"/>
        <v>2.9999999999999363E-4</v>
      </c>
      <c r="J809" s="154">
        <f t="shared" si="125"/>
        <v>2.8500000000000194E-4</v>
      </c>
      <c r="K809" s="160">
        <f t="shared" si="126"/>
        <v>3.0000000000000247E-4</v>
      </c>
      <c r="L809" s="161">
        <f t="shared" si="127"/>
        <v>4.0160642570279403E-3</v>
      </c>
      <c r="M809" s="155">
        <f t="shared" si="128"/>
        <v>-1.0893246187363759E-2</v>
      </c>
      <c r="N809" s="155">
        <f t="shared" si="129"/>
        <v>6.8807339449539207E-3</v>
      </c>
      <c r="O809" s="155">
        <f t="shared" si="130"/>
        <v>6.6108417805201825E-3</v>
      </c>
      <c r="P809" s="162">
        <f t="shared" si="131"/>
        <v>7.1428571428571175E-3</v>
      </c>
    </row>
    <row r="810" spans="1:16">
      <c r="A810" s="319">
        <v>45377</v>
      </c>
      <c r="B810" s="31">
        <v>5</v>
      </c>
      <c r="C810" s="30">
        <v>4.5599999999999996</v>
      </c>
      <c r="D810" s="30">
        <v>4.38</v>
      </c>
      <c r="E810" s="30">
        <v>4.3144999999999998</v>
      </c>
      <c r="F810" s="30">
        <v>4.22</v>
      </c>
      <c r="G810" s="159">
        <f t="shared" si="122"/>
        <v>0</v>
      </c>
      <c r="H810" s="154">
        <f t="shared" si="123"/>
        <v>1.9999999999999573E-4</v>
      </c>
      <c r="I810" s="154">
        <f t="shared" si="124"/>
        <v>-9.9999999999997863E-5</v>
      </c>
      <c r="J810" s="154">
        <f t="shared" si="125"/>
        <v>-2.5100000000000122E-4</v>
      </c>
      <c r="K810" s="160">
        <f t="shared" si="126"/>
        <v>-1.0000000000000675E-4</v>
      </c>
      <c r="L810" s="161">
        <f t="shared" si="127"/>
        <v>0</v>
      </c>
      <c r="M810" s="155">
        <f t="shared" si="128"/>
        <v>4.405286343612147E-3</v>
      </c>
      <c r="N810" s="155">
        <f t="shared" si="129"/>
        <v>-2.277904328018221E-3</v>
      </c>
      <c r="O810" s="155">
        <f t="shared" si="130"/>
        <v>-5.7839432205734065E-3</v>
      </c>
      <c r="P810" s="162">
        <f t="shared" si="131"/>
        <v>-2.3640661938535423E-3</v>
      </c>
    </row>
    <row r="811" spans="1:16">
      <c r="A811" s="319">
        <v>45378</v>
      </c>
      <c r="B811" s="31">
        <v>4.99</v>
      </c>
      <c r="C811" s="30">
        <v>4.54</v>
      </c>
      <c r="D811" s="30">
        <v>4.3600000000000003</v>
      </c>
      <c r="E811" s="30">
        <v>4.2610000000000001</v>
      </c>
      <c r="F811" s="30">
        <v>4.18</v>
      </c>
      <c r="G811" s="159">
        <f t="shared" si="122"/>
        <v>-9.9999999999997863E-5</v>
      </c>
      <c r="H811" s="154">
        <f t="shared" si="123"/>
        <v>-1.9999999999999573E-4</v>
      </c>
      <c r="I811" s="154">
        <f t="shared" si="124"/>
        <v>-1.9999999999999573E-4</v>
      </c>
      <c r="J811" s="154">
        <f t="shared" si="125"/>
        <v>-5.3499999999999663E-4</v>
      </c>
      <c r="K811" s="160">
        <f t="shared" si="126"/>
        <v>-4.0000000000000034E-4</v>
      </c>
      <c r="L811" s="161">
        <f t="shared" si="127"/>
        <v>-2.0000000000000018E-3</v>
      </c>
      <c r="M811" s="155">
        <f t="shared" si="128"/>
        <v>-4.3859649122806044E-3</v>
      </c>
      <c r="N811" s="155">
        <f t="shared" si="129"/>
        <v>-4.5662100456620447E-3</v>
      </c>
      <c r="O811" s="155">
        <f t="shared" si="130"/>
        <v>-1.2400046355313443E-2</v>
      </c>
      <c r="P811" s="162">
        <f t="shared" si="131"/>
        <v>-9.4786729857819774E-3</v>
      </c>
    </row>
    <row r="812" spans="1:16">
      <c r="A812" s="319">
        <v>45379</v>
      </c>
      <c r="B812" s="31">
        <v>5.03</v>
      </c>
      <c r="C812" s="30">
        <v>4.59</v>
      </c>
      <c r="D812" s="30">
        <v>4.4000000000000004</v>
      </c>
      <c r="E812" s="30">
        <v>4.26</v>
      </c>
      <c r="F812" s="30">
        <v>4.21</v>
      </c>
      <c r="G812" s="159">
        <f t="shared" si="122"/>
        <v>4.0000000000000034E-4</v>
      </c>
      <c r="H812" s="154">
        <f t="shared" si="123"/>
        <v>4.9999999999999828E-4</v>
      </c>
      <c r="I812" s="154">
        <f t="shared" si="124"/>
        <v>4.0000000000000034E-4</v>
      </c>
      <c r="J812" s="154">
        <f t="shared" si="125"/>
        <v>-1.000000000000334E-5</v>
      </c>
      <c r="K812" s="160">
        <f t="shared" si="126"/>
        <v>3.0000000000000247E-4</v>
      </c>
      <c r="L812" s="161">
        <f t="shared" si="127"/>
        <v>8.0160320641282645E-3</v>
      </c>
      <c r="M812" s="155">
        <f t="shared" si="128"/>
        <v>1.1013215859030812E-2</v>
      </c>
      <c r="N812" s="155">
        <f t="shared" si="129"/>
        <v>9.1743119266054496E-3</v>
      </c>
      <c r="O812" s="155">
        <f t="shared" si="130"/>
        <v>-2.3468669326454084E-4</v>
      </c>
      <c r="P812" s="162">
        <f t="shared" si="131"/>
        <v>7.1770334928229484E-3</v>
      </c>
    </row>
    <row r="813" spans="1:16">
      <c r="A813" s="319">
        <v>45383</v>
      </c>
      <c r="B813" s="31">
        <v>5.0599999999999996</v>
      </c>
      <c r="C813" s="30">
        <v>4.72</v>
      </c>
      <c r="D813" s="30">
        <v>4.51</v>
      </c>
      <c r="E813" s="30">
        <v>4.2141999999999999</v>
      </c>
      <c r="F813" s="30">
        <v>4.34</v>
      </c>
      <c r="G813" s="159">
        <f t="shared" si="122"/>
        <v>2.9999999999999363E-4</v>
      </c>
      <c r="H813" s="154">
        <f t="shared" si="123"/>
        <v>1.2999999999999989E-3</v>
      </c>
      <c r="I813" s="154">
        <f t="shared" si="124"/>
        <v>1.0999999999999942E-3</v>
      </c>
      <c r="J813" s="154">
        <f t="shared" si="125"/>
        <v>-4.5799999999999839E-4</v>
      </c>
      <c r="K813" s="160">
        <f t="shared" si="126"/>
        <v>1.2999999999999989E-3</v>
      </c>
      <c r="L813" s="161">
        <f t="shared" si="127"/>
        <v>5.9642147117295874E-3</v>
      </c>
      <c r="M813" s="155">
        <f t="shared" si="128"/>
        <v>2.8322440087146017E-2</v>
      </c>
      <c r="N813" s="155">
        <f t="shared" si="129"/>
        <v>2.4999999999999911E-2</v>
      </c>
      <c r="O813" s="155">
        <f t="shared" si="130"/>
        <v>-1.0751173708920203E-2</v>
      </c>
      <c r="P813" s="162">
        <f t="shared" si="131"/>
        <v>3.0878859857482066E-2</v>
      </c>
    </row>
    <row r="814" spans="1:16">
      <c r="A814" s="319">
        <v>45384</v>
      </c>
      <c r="B814" s="31">
        <v>5.05</v>
      </c>
      <c r="C814" s="30">
        <v>4.7</v>
      </c>
      <c r="D814" s="30">
        <v>4.51</v>
      </c>
      <c r="E814" s="30">
        <v>4.2282000000000002</v>
      </c>
      <c r="F814" s="30">
        <v>4.3499999999999996</v>
      </c>
      <c r="G814" s="159">
        <f t="shared" si="122"/>
        <v>-9.9999999999997863E-5</v>
      </c>
      <c r="H814" s="154">
        <f t="shared" si="123"/>
        <v>-1.9999999999999573E-4</v>
      </c>
      <c r="I814" s="154">
        <f t="shared" si="124"/>
        <v>0</v>
      </c>
      <c r="J814" s="154">
        <f t="shared" si="125"/>
        <v>1.4000000000000235E-4</v>
      </c>
      <c r="K814" s="160">
        <f t="shared" si="126"/>
        <v>9.9999999999997863E-5</v>
      </c>
      <c r="L814" s="161">
        <f t="shared" si="127"/>
        <v>-1.9762845849802257E-3</v>
      </c>
      <c r="M814" s="155">
        <f t="shared" si="128"/>
        <v>-4.237288135593098E-3</v>
      </c>
      <c r="N814" s="155">
        <f t="shared" si="129"/>
        <v>0</v>
      </c>
      <c r="O814" s="155">
        <f t="shared" si="130"/>
        <v>3.3221014664706061E-3</v>
      </c>
      <c r="P814" s="162">
        <f t="shared" si="131"/>
        <v>2.3041474654377225E-3</v>
      </c>
    </row>
    <row r="815" spans="1:16">
      <c r="A815" s="319">
        <v>45385</v>
      </c>
      <c r="B815" s="31">
        <v>5.03</v>
      </c>
      <c r="C815" s="30">
        <v>4.68</v>
      </c>
      <c r="D815" s="30">
        <v>4.4800000000000004</v>
      </c>
      <c r="E815" s="30">
        <v>4.2282000000000002</v>
      </c>
      <c r="F815" s="30">
        <v>4.34</v>
      </c>
      <c r="G815" s="159">
        <f t="shared" si="122"/>
        <v>-1.9999999999999573E-4</v>
      </c>
      <c r="H815" s="154">
        <f t="shared" si="123"/>
        <v>-2.0000000000000462E-4</v>
      </c>
      <c r="I815" s="154">
        <f t="shared" si="124"/>
        <v>-2.9999999999999363E-4</v>
      </c>
      <c r="J815" s="154">
        <f t="shared" si="125"/>
        <v>0</v>
      </c>
      <c r="K815" s="160">
        <f t="shared" si="126"/>
        <v>-9.9999999999997863E-5</v>
      </c>
      <c r="L815" s="161">
        <f t="shared" si="127"/>
        <v>-3.9603960396038529E-3</v>
      </c>
      <c r="M815" s="155">
        <f t="shared" si="128"/>
        <v>-4.2553191489362874E-3</v>
      </c>
      <c r="N815" s="155">
        <f t="shared" si="129"/>
        <v>-6.6518847006650228E-3</v>
      </c>
      <c r="O815" s="155">
        <f t="shared" si="130"/>
        <v>0</v>
      </c>
      <c r="P815" s="162">
        <f t="shared" si="131"/>
        <v>-2.2988505747125743E-3</v>
      </c>
    </row>
    <row r="816" spans="1:16">
      <c r="A816" s="319">
        <v>45386</v>
      </c>
      <c r="B816" s="31">
        <v>5</v>
      </c>
      <c r="C816" s="30">
        <v>4.6500000000000004</v>
      </c>
      <c r="D816" s="30">
        <v>4.46</v>
      </c>
      <c r="E816" s="30">
        <v>4.1993</v>
      </c>
      <c r="F816" s="30">
        <v>4.3</v>
      </c>
      <c r="G816" s="159">
        <f t="shared" si="122"/>
        <v>-3.0000000000000247E-4</v>
      </c>
      <c r="H816" s="154">
        <f t="shared" si="123"/>
        <v>-2.9999999999999363E-4</v>
      </c>
      <c r="I816" s="154">
        <f t="shared" si="124"/>
        <v>-2.0000000000000462E-4</v>
      </c>
      <c r="J816" s="154">
        <f t="shared" si="125"/>
        <v>-2.890000000000015E-4</v>
      </c>
      <c r="K816" s="160">
        <f t="shared" si="126"/>
        <v>-4.0000000000000034E-4</v>
      </c>
      <c r="L816" s="161">
        <f t="shared" si="127"/>
        <v>-5.9642147117296984E-3</v>
      </c>
      <c r="M816" s="155">
        <f t="shared" si="128"/>
        <v>-6.4102564102562765E-3</v>
      </c>
      <c r="N816" s="155">
        <f t="shared" si="129"/>
        <v>-4.4642857142858094E-3</v>
      </c>
      <c r="O816" s="155">
        <f t="shared" si="130"/>
        <v>-6.8350598363370318E-3</v>
      </c>
      <c r="P816" s="162">
        <f t="shared" si="131"/>
        <v>-9.2165898617511122E-3</v>
      </c>
    </row>
    <row r="817" spans="1:16">
      <c r="A817" s="319">
        <v>45387</v>
      </c>
      <c r="B817" s="31">
        <v>5.05</v>
      </c>
      <c r="C817" s="30">
        <v>4.7300000000000004</v>
      </c>
      <c r="D817" s="30">
        <v>4.54</v>
      </c>
      <c r="E817" s="30">
        <v>4.2164000000000001</v>
      </c>
      <c r="F817" s="30">
        <v>4.38</v>
      </c>
      <c r="G817" s="159">
        <f t="shared" si="122"/>
        <v>4.9999999999999828E-4</v>
      </c>
      <c r="H817" s="154">
        <f t="shared" si="123"/>
        <v>8.0000000000000069E-4</v>
      </c>
      <c r="I817" s="154">
        <f t="shared" si="124"/>
        <v>8.0000000000000069E-4</v>
      </c>
      <c r="J817" s="154">
        <f t="shared" si="125"/>
        <v>1.7100000000000115E-4</v>
      </c>
      <c r="K817" s="160">
        <f t="shared" si="126"/>
        <v>8.0000000000000069E-4</v>
      </c>
      <c r="L817" s="161">
        <f t="shared" si="127"/>
        <v>1.0000000000000009E-2</v>
      </c>
      <c r="M817" s="155">
        <f t="shared" si="128"/>
        <v>1.7204301075268935E-2</v>
      </c>
      <c r="N817" s="155">
        <f t="shared" si="129"/>
        <v>1.7937219730941756E-2</v>
      </c>
      <c r="O817" s="155">
        <f t="shared" si="130"/>
        <v>4.0721072559712912E-3</v>
      </c>
      <c r="P817" s="162">
        <f t="shared" si="131"/>
        <v>1.8604651162790642E-2</v>
      </c>
    </row>
    <row r="818" spans="1:16">
      <c r="A818" s="319">
        <v>45390</v>
      </c>
      <c r="B818" s="31">
        <v>5.07</v>
      </c>
      <c r="C818" s="30">
        <v>4.78</v>
      </c>
      <c r="D818" s="30">
        <v>4.5999999999999996</v>
      </c>
      <c r="E818" s="30">
        <v>4.3066000000000004</v>
      </c>
      <c r="F818" s="30">
        <v>4.43</v>
      </c>
      <c r="G818" s="159">
        <f t="shared" si="122"/>
        <v>2.0000000000000462E-4</v>
      </c>
      <c r="H818" s="154">
        <f t="shared" si="123"/>
        <v>4.9999999999999828E-4</v>
      </c>
      <c r="I818" s="154">
        <f t="shared" si="124"/>
        <v>5.9999999999999604E-4</v>
      </c>
      <c r="J818" s="154">
        <f t="shared" si="125"/>
        <v>9.0200000000000284E-4</v>
      </c>
      <c r="K818" s="160">
        <f t="shared" si="126"/>
        <v>4.9999999999999828E-4</v>
      </c>
      <c r="L818" s="161">
        <f t="shared" si="127"/>
        <v>3.9603960396039639E-3</v>
      </c>
      <c r="M818" s="155">
        <f t="shared" si="128"/>
        <v>1.0570824524312794E-2</v>
      </c>
      <c r="N818" s="155">
        <f t="shared" si="129"/>
        <v>1.3215859030836885E-2</v>
      </c>
      <c r="O818" s="155">
        <f t="shared" si="130"/>
        <v>2.1392657243145985E-2</v>
      </c>
      <c r="P818" s="162">
        <f t="shared" si="131"/>
        <v>1.1415525114155223E-2</v>
      </c>
    </row>
    <row r="819" spans="1:16">
      <c r="A819" s="319">
        <v>45391</v>
      </c>
      <c r="B819" s="31">
        <v>5.03</v>
      </c>
      <c r="C819" s="30">
        <v>4.74</v>
      </c>
      <c r="D819" s="30">
        <v>4.5199999999999996</v>
      </c>
      <c r="E819" s="30">
        <v>4.3339999999999996</v>
      </c>
      <c r="F819" s="30">
        <v>4.37</v>
      </c>
      <c r="G819" s="159">
        <f t="shared" si="122"/>
        <v>-4.0000000000000034E-4</v>
      </c>
      <c r="H819" s="154">
        <f t="shared" si="123"/>
        <v>-4.0000000000000034E-4</v>
      </c>
      <c r="I819" s="154">
        <f t="shared" si="124"/>
        <v>-8.0000000000000069E-4</v>
      </c>
      <c r="J819" s="154">
        <f t="shared" si="125"/>
        <v>2.7399999999999202E-4</v>
      </c>
      <c r="K819" s="160">
        <f t="shared" si="126"/>
        <v>-5.9999999999999604E-4</v>
      </c>
      <c r="L819" s="161">
        <f t="shared" si="127"/>
        <v>-7.8895463510848529E-3</v>
      </c>
      <c r="M819" s="155">
        <f t="shared" si="128"/>
        <v>-8.3682008368201055E-3</v>
      </c>
      <c r="N819" s="155">
        <f t="shared" si="129"/>
        <v>-1.7391304347826098E-2</v>
      </c>
      <c r="O819" s="155">
        <f t="shared" si="130"/>
        <v>6.3623275902102705E-3</v>
      </c>
      <c r="P819" s="162">
        <f t="shared" si="131"/>
        <v>-1.3544018058690654E-2</v>
      </c>
    </row>
    <row r="820" spans="1:16">
      <c r="A820" s="319">
        <v>45392</v>
      </c>
      <c r="B820" s="31">
        <v>5.19</v>
      </c>
      <c r="C820" s="30">
        <v>4.97</v>
      </c>
      <c r="D820" s="30">
        <v>4.7699999999999996</v>
      </c>
      <c r="E820" s="30">
        <v>4.3288000000000002</v>
      </c>
      <c r="F820" s="30">
        <v>4.6100000000000003</v>
      </c>
      <c r="G820" s="159">
        <f t="shared" si="122"/>
        <v>1.6000000000000014E-3</v>
      </c>
      <c r="H820" s="154">
        <f t="shared" si="123"/>
        <v>2.2999999999999952E-3</v>
      </c>
      <c r="I820" s="154">
        <f t="shared" si="124"/>
        <v>2.5000000000000001E-3</v>
      </c>
      <c r="J820" s="154">
        <f t="shared" si="125"/>
        <v>-5.1999999999994271E-5</v>
      </c>
      <c r="K820" s="160">
        <f t="shared" si="126"/>
        <v>2.400000000000002E-3</v>
      </c>
      <c r="L820" s="161">
        <f t="shared" si="127"/>
        <v>3.1809145129224614E-2</v>
      </c>
      <c r="M820" s="155">
        <f t="shared" si="128"/>
        <v>4.8523206751054815E-2</v>
      </c>
      <c r="N820" s="155">
        <f t="shared" si="129"/>
        <v>5.5309734513274256E-2</v>
      </c>
      <c r="O820" s="155">
        <f t="shared" si="130"/>
        <v>-1.1998154130132832E-3</v>
      </c>
      <c r="P820" s="162">
        <f t="shared" si="131"/>
        <v>5.4919908466819267E-2</v>
      </c>
    </row>
    <row r="821" spans="1:16">
      <c r="A821" s="319">
        <v>45393</v>
      </c>
      <c r="B821" s="31">
        <v>5.17</v>
      </c>
      <c r="C821" s="30">
        <v>4.93</v>
      </c>
      <c r="D821" s="30">
        <v>4.7699999999999996</v>
      </c>
      <c r="E821" s="30">
        <v>4.2980999999999998</v>
      </c>
      <c r="F821" s="30">
        <v>4.6100000000000003</v>
      </c>
      <c r="G821" s="159">
        <f t="shared" si="122"/>
        <v>-2.0000000000000462E-4</v>
      </c>
      <c r="H821" s="154">
        <f t="shared" si="123"/>
        <v>-4.0000000000000034E-4</v>
      </c>
      <c r="I821" s="154">
        <f t="shared" si="124"/>
        <v>0</v>
      </c>
      <c r="J821" s="154">
        <f t="shared" si="125"/>
        <v>-3.0700000000000394E-4</v>
      </c>
      <c r="K821" s="160">
        <f t="shared" si="126"/>
        <v>0</v>
      </c>
      <c r="L821" s="161">
        <f t="shared" si="127"/>
        <v>-3.8535645472062008E-3</v>
      </c>
      <c r="M821" s="155">
        <f t="shared" si="128"/>
        <v>-8.0482897384306362E-3</v>
      </c>
      <c r="N821" s="155">
        <f t="shared" si="129"/>
        <v>0</v>
      </c>
      <c r="O821" s="155">
        <f t="shared" si="130"/>
        <v>-7.0920347440399656E-3</v>
      </c>
      <c r="P821" s="162">
        <f t="shared" si="131"/>
        <v>0</v>
      </c>
    </row>
    <row r="822" spans="1:16">
      <c r="A822" s="319">
        <v>45394</v>
      </c>
      <c r="B822" s="31">
        <v>5.13</v>
      </c>
      <c r="C822" s="30">
        <v>4.88</v>
      </c>
      <c r="D822" s="30">
        <v>4.7</v>
      </c>
      <c r="E822" s="30">
        <v>4.3569000000000004</v>
      </c>
      <c r="F822" s="30">
        <v>4.54</v>
      </c>
      <c r="G822" s="159">
        <f t="shared" si="122"/>
        <v>-4.0000000000000034E-4</v>
      </c>
      <c r="H822" s="154">
        <f t="shared" si="123"/>
        <v>-4.9999999999999828E-4</v>
      </c>
      <c r="I822" s="154">
        <f t="shared" si="124"/>
        <v>-6.9999999999999392E-4</v>
      </c>
      <c r="J822" s="154">
        <f t="shared" si="125"/>
        <v>5.8800000000000627E-4</v>
      </c>
      <c r="K822" s="160">
        <f t="shared" si="126"/>
        <v>-7.0000000000000281E-4</v>
      </c>
      <c r="L822" s="161">
        <f t="shared" si="127"/>
        <v>-7.7369439071567347E-3</v>
      </c>
      <c r="M822" s="155">
        <f t="shared" si="128"/>
        <v>-1.0141987829614618E-2</v>
      </c>
      <c r="N822" s="155">
        <f t="shared" si="129"/>
        <v>-1.467505241090139E-2</v>
      </c>
      <c r="O822" s="155">
        <f t="shared" si="130"/>
        <v>1.3680463460598924E-2</v>
      </c>
      <c r="P822" s="162">
        <f t="shared" si="131"/>
        <v>-1.5184381778741929E-2</v>
      </c>
    </row>
    <row r="823" spans="1:16">
      <c r="A823" s="319">
        <v>45397</v>
      </c>
      <c r="B823" s="31">
        <v>5.16</v>
      </c>
      <c r="C823" s="30">
        <v>4.93</v>
      </c>
      <c r="D823" s="30">
        <v>4.78</v>
      </c>
      <c r="E823" s="30">
        <v>4.4019000000000004</v>
      </c>
      <c r="F823" s="30">
        <v>4.6500000000000004</v>
      </c>
      <c r="G823" s="159">
        <f t="shared" si="122"/>
        <v>3.0000000000000247E-4</v>
      </c>
      <c r="H823" s="154">
        <f t="shared" si="123"/>
        <v>4.9999999999999828E-4</v>
      </c>
      <c r="I823" s="154">
        <f t="shared" si="124"/>
        <v>8.0000000000000069E-4</v>
      </c>
      <c r="J823" s="154">
        <f t="shared" si="125"/>
        <v>4.4999999999999928E-4</v>
      </c>
      <c r="K823" s="160">
        <f t="shared" si="126"/>
        <v>1.1000000000000031E-3</v>
      </c>
      <c r="L823" s="161">
        <f t="shared" si="127"/>
        <v>5.8479532163742132E-3</v>
      </c>
      <c r="M823" s="155">
        <f t="shared" si="128"/>
        <v>1.0245901639344135E-2</v>
      </c>
      <c r="N823" s="155">
        <f t="shared" si="129"/>
        <v>1.7021276595744705E-2</v>
      </c>
      <c r="O823" s="155">
        <f t="shared" si="130"/>
        <v>1.0328444536252812E-2</v>
      </c>
      <c r="P823" s="162">
        <f t="shared" si="131"/>
        <v>2.4229074889867919E-2</v>
      </c>
    </row>
    <row r="824" spans="1:16">
      <c r="A824" s="319">
        <v>45398</v>
      </c>
      <c r="B824" s="31">
        <v>5.18</v>
      </c>
      <c r="C824" s="30">
        <v>4.97</v>
      </c>
      <c r="D824" s="30">
        <v>4.83</v>
      </c>
      <c r="E824" s="30">
        <v>4.3712999999999997</v>
      </c>
      <c r="F824" s="30">
        <v>4.6900000000000004</v>
      </c>
      <c r="G824" s="159">
        <f t="shared" si="122"/>
        <v>1.9999999999999573E-4</v>
      </c>
      <c r="H824" s="154">
        <f t="shared" si="123"/>
        <v>4.0000000000000034E-4</v>
      </c>
      <c r="I824" s="154">
        <f t="shared" si="124"/>
        <v>4.9999999999999828E-4</v>
      </c>
      <c r="J824" s="154">
        <f t="shared" si="125"/>
        <v>-3.0600000000000625E-4</v>
      </c>
      <c r="K824" s="160">
        <f t="shared" si="126"/>
        <v>4.0000000000000034E-4</v>
      </c>
      <c r="L824" s="161">
        <f t="shared" si="127"/>
        <v>3.8759689922480689E-3</v>
      </c>
      <c r="M824" s="155">
        <f t="shared" si="128"/>
        <v>8.113590263691739E-3</v>
      </c>
      <c r="N824" s="155">
        <f t="shared" si="129"/>
        <v>1.0460251046024993E-2</v>
      </c>
      <c r="O824" s="155">
        <f t="shared" si="130"/>
        <v>-6.9515436516051077E-3</v>
      </c>
      <c r="P824" s="162">
        <f t="shared" si="131"/>
        <v>8.6021505376343566E-3</v>
      </c>
    </row>
    <row r="825" spans="1:16">
      <c r="A825" s="319">
        <v>45399</v>
      </c>
      <c r="B825" s="31">
        <v>5.16</v>
      </c>
      <c r="C825" s="30">
        <v>4.93</v>
      </c>
      <c r="D825" s="30">
        <v>4.7699999999999996</v>
      </c>
      <c r="E825" s="30">
        <v>4.5437000000000003</v>
      </c>
      <c r="F825" s="30">
        <v>4.62</v>
      </c>
      <c r="G825" s="159">
        <f t="shared" si="122"/>
        <v>-1.9999999999999573E-4</v>
      </c>
      <c r="H825" s="154">
        <f t="shared" si="123"/>
        <v>-4.0000000000000034E-4</v>
      </c>
      <c r="I825" s="154">
        <f t="shared" si="124"/>
        <v>-6.0000000000000493E-4</v>
      </c>
      <c r="J825" s="154">
        <f t="shared" si="125"/>
        <v>1.7240000000000055E-3</v>
      </c>
      <c r="K825" s="160">
        <f t="shared" si="126"/>
        <v>-7.0000000000000281E-4</v>
      </c>
      <c r="L825" s="161">
        <f t="shared" si="127"/>
        <v>-3.8610038610037423E-3</v>
      </c>
      <c r="M825" s="155">
        <f t="shared" si="128"/>
        <v>-8.0482897384306362E-3</v>
      </c>
      <c r="N825" s="155">
        <f t="shared" si="129"/>
        <v>-1.2422360248447339E-2</v>
      </c>
      <c r="O825" s="155">
        <f t="shared" si="130"/>
        <v>3.9439068469334204E-2</v>
      </c>
      <c r="P825" s="162">
        <f t="shared" si="131"/>
        <v>-1.4925373134328401E-2</v>
      </c>
    </row>
    <row r="826" spans="1:16">
      <c r="A826" s="319">
        <v>45400</v>
      </c>
      <c r="B826" s="31">
        <v>5.18</v>
      </c>
      <c r="C826" s="30">
        <v>4.9800000000000004</v>
      </c>
      <c r="D826" s="30">
        <v>4.83</v>
      </c>
      <c r="E826" s="30">
        <v>4.5749000000000004</v>
      </c>
      <c r="F826" s="30">
        <v>4.68</v>
      </c>
      <c r="G826" s="159">
        <f t="shared" si="122"/>
        <v>1.9999999999999573E-4</v>
      </c>
      <c r="H826" s="154">
        <f t="shared" si="123"/>
        <v>5.0000000000000706E-4</v>
      </c>
      <c r="I826" s="154">
        <f t="shared" si="124"/>
        <v>6.0000000000000493E-4</v>
      </c>
      <c r="J826" s="154">
        <f t="shared" si="125"/>
        <v>3.1200000000000119E-4</v>
      </c>
      <c r="K826" s="160">
        <f t="shared" si="126"/>
        <v>5.9999999999999604E-4</v>
      </c>
      <c r="L826" s="161">
        <f t="shared" si="127"/>
        <v>3.8759689922480689E-3</v>
      </c>
      <c r="M826" s="155">
        <f t="shared" si="128"/>
        <v>1.0141987829614729E-2</v>
      </c>
      <c r="N826" s="155">
        <f t="shared" si="129"/>
        <v>1.2578616352201255E-2</v>
      </c>
      <c r="O826" s="155">
        <f t="shared" si="130"/>
        <v>6.8666505271035572E-3</v>
      </c>
      <c r="P826" s="162">
        <f t="shared" si="131"/>
        <v>1.298701298701288E-2</v>
      </c>
    </row>
    <row r="827" spans="1:16">
      <c r="A827" s="319">
        <v>45401</v>
      </c>
      <c r="B827" s="31">
        <v>5.17</v>
      </c>
      <c r="C827" s="30">
        <v>4.97</v>
      </c>
      <c r="D827" s="30">
        <v>4.8099999999999996</v>
      </c>
      <c r="E827" s="30">
        <v>4.5345000000000004</v>
      </c>
      <c r="F827" s="30">
        <v>4.66</v>
      </c>
      <c r="G827" s="159">
        <f t="shared" si="122"/>
        <v>-9.9999999999997863E-5</v>
      </c>
      <c r="H827" s="154">
        <f t="shared" si="123"/>
        <v>-1.0000000000000675E-4</v>
      </c>
      <c r="I827" s="154">
        <f t="shared" si="124"/>
        <v>-2.0000000000000462E-4</v>
      </c>
      <c r="J827" s="154">
        <f t="shared" si="125"/>
        <v>-4.039999999999999E-4</v>
      </c>
      <c r="K827" s="160">
        <f t="shared" si="126"/>
        <v>-1.9999999999999573E-4</v>
      </c>
      <c r="L827" s="161">
        <f t="shared" si="127"/>
        <v>-1.9305019305019266E-3</v>
      </c>
      <c r="M827" s="155">
        <f t="shared" si="128"/>
        <v>-2.0080321285141922E-3</v>
      </c>
      <c r="N827" s="155">
        <f t="shared" si="129"/>
        <v>-4.1407867494824835E-3</v>
      </c>
      <c r="O827" s="155">
        <f t="shared" si="130"/>
        <v>-8.83079411571841E-3</v>
      </c>
      <c r="P827" s="162">
        <f t="shared" si="131"/>
        <v>-4.2735042735041473E-3</v>
      </c>
    </row>
    <row r="828" spans="1:16">
      <c r="A828" s="319">
        <v>45404</v>
      </c>
      <c r="B828" s="31">
        <v>5.16</v>
      </c>
      <c r="C828" s="30">
        <v>4.97</v>
      </c>
      <c r="D828" s="30">
        <v>4.8099999999999996</v>
      </c>
      <c r="E828" s="30">
        <v>4.5993000000000004</v>
      </c>
      <c r="F828" s="30">
        <v>4.66</v>
      </c>
      <c r="G828" s="159">
        <f t="shared" si="122"/>
        <v>-9.9999999999997863E-5</v>
      </c>
      <c r="H828" s="154">
        <f t="shared" si="123"/>
        <v>0</v>
      </c>
      <c r="I828" s="154">
        <f t="shared" si="124"/>
        <v>0</v>
      </c>
      <c r="J828" s="154">
        <f t="shared" si="125"/>
        <v>6.479999999999997E-4</v>
      </c>
      <c r="K828" s="160">
        <f t="shared" si="126"/>
        <v>0</v>
      </c>
      <c r="L828" s="161">
        <f t="shared" si="127"/>
        <v>-1.9342359767891004E-3</v>
      </c>
      <c r="M828" s="155">
        <f t="shared" si="128"/>
        <v>0</v>
      </c>
      <c r="N828" s="155">
        <f t="shared" si="129"/>
        <v>0</v>
      </c>
      <c r="O828" s="155">
        <f t="shared" si="130"/>
        <v>1.4290439960304324E-2</v>
      </c>
      <c r="P828" s="162">
        <f t="shared" si="131"/>
        <v>0</v>
      </c>
    </row>
    <row r="829" spans="1:16">
      <c r="A829" s="319">
        <v>45405</v>
      </c>
      <c r="B829" s="31">
        <v>5.14</v>
      </c>
      <c r="C829" s="30">
        <v>4.8600000000000003</v>
      </c>
      <c r="D829" s="30">
        <v>4.76</v>
      </c>
      <c r="E829" s="30">
        <v>4.6462000000000003</v>
      </c>
      <c r="F829" s="30">
        <v>4.63</v>
      </c>
      <c r="G829" s="159">
        <f t="shared" si="122"/>
        <v>-2.0000000000000462E-4</v>
      </c>
      <c r="H829" s="154">
        <f t="shared" si="123"/>
        <v>-1.0999999999999942E-3</v>
      </c>
      <c r="I829" s="154">
        <f t="shared" si="124"/>
        <v>-4.9999999999999828E-4</v>
      </c>
      <c r="J829" s="154">
        <f t="shared" si="125"/>
        <v>4.6899999999999942E-4</v>
      </c>
      <c r="K829" s="160">
        <f t="shared" si="126"/>
        <v>-3.0000000000000247E-4</v>
      </c>
      <c r="L829" s="161">
        <f t="shared" si="127"/>
        <v>-3.8759689922481799E-3</v>
      </c>
      <c r="M829" s="155">
        <f t="shared" si="128"/>
        <v>-2.2132796780684028E-2</v>
      </c>
      <c r="N829" s="155">
        <f t="shared" si="129"/>
        <v>-1.039501039501034E-2</v>
      </c>
      <c r="O829" s="155">
        <f t="shared" si="130"/>
        <v>1.0197203922335918E-2</v>
      </c>
      <c r="P829" s="162">
        <f t="shared" si="131"/>
        <v>-6.4377682403433667E-3</v>
      </c>
    </row>
    <row r="830" spans="1:16">
      <c r="A830" s="319">
        <v>45406</v>
      </c>
      <c r="B830" s="31">
        <v>5.17</v>
      </c>
      <c r="C830" s="30">
        <v>4.8899999999999997</v>
      </c>
      <c r="D830" s="30">
        <v>4.78</v>
      </c>
      <c r="E830" s="30">
        <v>4.6241000000000003</v>
      </c>
      <c r="F830" s="29">
        <v>4.6399999999999997</v>
      </c>
      <c r="G830" s="159">
        <f t="shared" si="122"/>
        <v>3.0000000000000247E-4</v>
      </c>
      <c r="H830" s="154">
        <f t="shared" si="123"/>
        <v>2.9999999999999363E-4</v>
      </c>
      <c r="I830" s="154">
        <f t="shared" si="124"/>
        <v>2.0000000000000462E-4</v>
      </c>
      <c r="J830" s="154">
        <f t="shared" si="125"/>
        <v>-2.2100000000000009E-4</v>
      </c>
      <c r="K830" s="160">
        <f t="shared" si="126"/>
        <v>9.9999999999997863E-5</v>
      </c>
      <c r="L830" s="161">
        <f t="shared" si="127"/>
        <v>5.8365758754863606E-3</v>
      </c>
      <c r="M830" s="155">
        <f t="shared" si="128"/>
        <v>6.1728395061726449E-3</v>
      </c>
      <c r="N830" s="155">
        <f t="shared" si="129"/>
        <v>4.2016806722691147E-3</v>
      </c>
      <c r="O830" s="155">
        <f t="shared" si="130"/>
        <v>-4.756575265808638E-3</v>
      </c>
      <c r="P830" s="162">
        <f t="shared" si="131"/>
        <v>2.1598272138227959E-3</v>
      </c>
    </row>
    <row r="831" spans="1:16">
      <c r="A831" s="319">
        <v>45407</v>
      </c>
      <c r="B831" s="31">
        <v>5.21</v>
      </c>
      <c r="C831" s="30">
        <v>4.96</v>
      </c>
      <c r="D831" s="30">
        <v>4.8499999999999996</v>
      </c>
      <c r="E831" s="30">
        <v>4.6772999999999998</v>
      </c>
      <c r="F831" s="29">
        <v>4.7</v>
      </c>
      <c r="G831" s="159">
        <f t="shared" si="122"/>
        <v>4.0000000000000034E-4</v>
      </c>
      <c r="H831" s="154">
        <f t="shared" si="123"/>
        <v>7.0000000000000281E-4</v>
      </c>
      <c r="I831" s="154">
        <f t="shared" si="124"/>
        <v>6.9999999999999392E-4</v>
      </c>
      <c r="J831" s="154">
        <f t="shared" si="125"/>
        <v>5.3199999999999472E-4</v>
      </c>
      <c r="K831" s="160">
        <f t="shared" si="126"/>
        <v>6.0000000000000493E-4</v>
      </c>
      <c r="L831" s="161">
        <f t="shared" si="127"/>
        <v>7.7369439071566237E-3</v>
      </c>
      <c r="M831" s="155">
        <f t="shared" si="128"/>
        <v>1.4314928425357865E-2</v>
      </c>
      <c r="N831" s="155">
        <f t="shared" si="129"/>
        <v>1.464435146443499E-2</v>
      </c>
      <c r="O831" s="155">
        <f t="shared" si="130"/>
        <v>1.1504941502129995E-2</v>
      </c>
      <c r="P831" s="162">
        <f t="shared" si="131"/>
        <v>1.2931034482758674E-2</v>
      </c>
    </row>
    <row r="832" spans="1:16">
      <c r="A832" s="319">
        <v>45408</v>
      </c>
      <c r="B832" s="31">
        <v>5.21</v>
      </c>
      <c r="C832" s="30">
        <v>4.96</v>
      </c>
      <c r="D832" s="30">
        <v>4.84</v>
      </c>
      <c r="E832" s="30">
        <v>4.6741000000000001</v>
      </c>
      <c r="F832" s="29">
        <v>4.68</v>
      </c>
      <c r="G832" s="159">
        <f t="shared" si="122"/>
        <v>0</v>
      </c>
      <c r="H832" s="154">
        <f t="shared" si="123"/>
        <v>0</v>
      </c>
      <c r="I832" s="154">
        <f t="shared" si="124"/>
        <v>-9.9999999999997863E-5</v>
      </c>
      <c r="J832" s="154">
        <f t="shared" si="125"/>
        <v>-3.1999999999996475E-5</v>
      </c>
      <c r="K832" s="160">
        <f t="shared" si="126"/>
        <v>-2.0000000000000462E-4</v>
      </c>
      <c r="L832" s="161">
        <f t="shared" si="127"/>
        <v>0</v>
      </c>
      <c r="M832" s="155">
        <f t="shared" si="128"/>
        <v>0</v>
      </c>
      <c r="N832" s="155">
        <f t="shared" si="129"/>
        <v>-2.0618556701030855E-3</v>
      </c>
      <c r="O832" s="155">
        <f t="shared" si="130"/>
        <v>-6.8415538879262883E-4</v>
      </c>
      <c r="P832" s="162">
        <f t="shared" si="131"/>
        <v>-4.2553191489362874E-3</v>
      </c>
    </row>
    <row r="833" spans="1:16">
      <c r="A833" s="319">
        <v>45411</v>
      </c>
      <c r="B833" s="31">
        <v>5.2</v>
      </c>
      <c r="C833" s="30">
        <v>4.97</v>
      </c>
      <c r="D833" s="30">
        <v>4.8</v>
      </c>
      <c r="E833" s="30">
        <v>4.6448999999999998</v>
      </c>
      <c r="F833" s="29">
        <v>4.6500000000000004</v>
      </c>
      <c r="G833" s="159">
        <f t="shared" si="122"/>
        <v>-9.9999999999997863E-5</v>
      </c>
      <c r="H833" s="154">
        <f t="shared" si="123"/>
        <v>9.9999999999997863E-5</v>
      </c>
      <c r="I833" s="154">
        <f t="shared" si="124"/>
        <v>-4.0000000000000034E-4</v>
      </c>
      <c r="J833" s="154">
        <f t="shared" si="125"/>
        <v>-2.9200000000000336E-4</v>
      </c>
      <c r="K833" s="160">
        <f t="shared" si="126"/>
        <v>-2.9999999999999363E-4</v>
      </c>
      <c r="L833" s="161">
        <f t="shared" si="127"/>
        <v>-1.9193857965450478E-3</v>
      </c>
      <c r="M833" s="155">
        <f t="shared" si="128"/>
        <v>2.0161290322580072E-3</v>
      </c>
      <c r="N833" s="155">
        <f t="shared" si="129"/>
        <v>-8.2644628099173278E-3</v>
      </c>
      <c r="O833" s="155">
        <f t="shared" si="130"/>
        <v>-6.2471919727862257E-3</v>
      </c>
      <c r="P833" s="162">
        <f t="shared" si="131"/>
        <v>-6.4102564102562765E-3</v>
      </c>
    </row>
    <row r="834" spans="1:16">
      <c r="A834" s="319">
        <v>45412</v>
      </c>
      <c r="B834" s="31">
        <v>5.25</v>
      </c>
      <c r="C834" s="30">
        <v>5.04</v>
      </c>
      <c r="D834" s="30">
        <v>4.87</v>
      </c>
      <c r="E834" s="30">
        <v>4.6913</v>
      </c>
      <c r="F834" s="29">
        <v>4.72</v>
      </c>
      <c r="G834" s="159">
        <f t="shared" si="122"/>
        <v>4.9999999999999828E-4</v>
      </c>
      <c r="H834" s="154">
        <f t="shared" si="123"/>
        <v>7.0000000000000281E-4</v>
      </c>
      <c r="I834" s="154">
        <f t="shared" si="124"/>
        <v>7.0000000000000281E-4</v>
      </c>
      <c r="J834" s="154">
        <f t="shared" si="125"/>
        <v>4.6400000000000217E-4</v>
      </c>
      <c r="K834" s="160">
        <f t="shared" si="126"/>
        <v>6.9999999999999392E-4</v>
      </c>
      <c r="L834" s="161">
        <f t="shared" si="127"/>
        <v>9.6153846153845812E-3</v>
      </c>
      <c r="M834" s="155">
        <f t="shared" si="128"/>
        <v>1.4084507042253502E-2</v>
      </c>
      <c r="N834" s="155">
        <f t="shared" si="129"/>
        <v>1.4583333333333393E-2</v>
      </c>
      <c r="O834" s="155">
        <f t="shared" si="130"/>
        <v>9.9894507954962908E-3</v>
      </c>
      <c r="P834" s="162">
        <f t="shared" si="131"/>
        <v>1.5053763440860068E-2</v>
      </c>
    </row>
    <row r="835" spans="1:16">
      <c r="A835" s="319">
        <v>45413</v>
      </c>
      <c r="B835" s="31">
        <v>5.21</v>
      </c>
      <c r="C835" s="30">
        <v>4.96</v>
      </c>
      <c r="D835" s="30">
        <v>4.79</v>
      </c>
      <c r="E835" s="30">
        <v>4.6430999999999996</v>
      </c>
      <c r="F835" s="29">
        <v>4.6399999999999997</v>
      </c>
      <c r="G835" s="159">
        <f t="shared" si="122"/>
        <v>-4.0000000000000034E-4</v>
      </c>
      <c r="H835" s="154">
        <f t="shared" si="123"/>
        <v>-8.0000000000000069E-4</v>
      </c>
      <c r="I835" s="154">
        <f t="shared" si="124"/>
        <v>-8.0000000000000069E-4</v>
      </c>
      <c r="J835" s="154">
        <f t="shared" si="125"/>
        <v>-4.8200000000000467E-4</v>
      </c>
      <c r="K835" s="160">
        <f t="shared" si="126"/>
        <v>-8.0000000000000069E-4</v>
      </c>
      <c r="L835" s="161">
        <f t="shared" si="127"/>
        <v>-7.6190476190476364E-3</v>
      </c>
      <c r="M835" s="155">
        <f t="shared" si="128"/>
        <v>-1.5873015873015928E-2</v>
      </c>
      <c r="N835" s="155">
        <f t="shared" si="129"/>
        <v>-1.6427104722792629E-2</v>
      </c>
      <c r="O835" s="155">
        <f t="shared" si="130"/>
        <v>-1.0274337603649375E-2</v>
      </c>
      <c r="P835" s="162">
        <f t="shared" si="131"/>
        <v>-1.6949152542372947E-2</v>
      </c>
    </row>
    <row r="836" spans="1:16">
      <c r="A836" s="319">
        <v>45414</v>
      </c>
      <c r="B836" s="31">
        <v>5.16</v>
      </c>
      <c r="C836" s="30">
        <v>4.87</v>
      </c>
      <c r="D836" s="30">
        <v>4.71</v>
      </c>
      <c r="E836" s="30">
        <v>4.5838000000000001</v>
      </c>
      <c r="F836" s="29">
        <v>4.57</v>
      </c>
      <c r="G836" s="159">
        <f t="shared" ref="G836:G899" si="132">(B836-B835)/100</f>
        <v>-4.9999999999999828E-4</v>
      </c>
      <c r="H836" s="154">
        <f t="shared" ref="H836:H899" si="133">(C836-C835)/100</f>
        <v>-8.9999999999999857E-4</v>
      </c>
      <c r="I836" s="154">
        <f t="shared" ref="I836:I899" si="134">(D836-D835)/100</f>
        <v>-8.0000000000000069E-4</v>
      </c>
      <c r="J836" s="154">
        <f t="shared" ref="J836:J899" si="135">(E836-E835)/100</f>
        <v>-5.9299999999999468E-4</v>
      </c>
      <c r="K836" s="160">
        <f t="shared" ref="K836:K899" si="136">(F836-F835)/100</f>
        <v>-6.9999999999999392E-4</v>
      </c>
      <c r="L836" s="161">
        <f t="shared" ref="L836:L899" si="137">(B836/B835)-1</f>
        <v>-9.5969289827254611E-3</v>
      </c>
      <c r="M836" s="155">
        <f t="shared" ref="M836:M899" si="138">(C836/C835)-1</f>
        <v>-1.8145161290322509E-2</v>
      </c>
      <c r="N836" s="155">
        <f t="shared" ref="N836:N899" si="139">(D836/D835)-1</f>
        <v>-1.6701461377870541E-2</v>
      </c>
      <c r="O836" s="155">
        <f t="shared" ref="O836:O899" si="140">(E836/E835)-1</f>
        <v>-1.2771639637311205E-2</v>
      </c>
      <c r="P836" s="162">
        <f t="shared" ref="P836:P899" si="141">(F836/F835)-1</f>
        <v>-1.5086206896551602E-2</v>
      </c>
    </row>
    <row r="837" spans="1:16">
      <c r="A837" s="319">
        <v>45415</v>
      </c>
      <c r="B837" s="31">
        <v>5.12</v>
      </c>
      <c r="C837" s="30">
        <v>4.8099999999999996</v>
      </c>
      <c r="D837" s="30">
        <v>4.63</v>
      </c>
      <c r="E837" s="30">
        <v>4.5035999999999996</v>
      </c>
      <c r="F837" s="29">
        <v>4.4800000000000004</v>
      </c>
      <c r="G837" s="159">
        <f t="shared" si="132"/>
        <v>-4.0000000000000034E-4</v>
      </c>
      <c r="H837" s="154">
        <f t="shared" si="133"/>
        <v>-6.0000000000000493E-4</v>
      </c>
      <c r="I837" s="154">
        <f t="shared" si="134"/>
        <v>-8.0000000000000069E-4</v>
      </c>
      <c r="J837" s="154">
        <f t="shared" si="135"/>
        <v>-8.0200000000000497E-4</v>
      </c>
      <c r="K837" s="160">
        <f t="shared" si="136"/>
        <v>-8.9999999999999857E-4</v>
      </c>
      <c r="L837" s="161">
        <f t="shared" si="137"/>
        <v>-7.7519379844961378E-3</v>
      </c>
      <c r="M837" s="155">
        <f t="shared" si="138"/>
        <v>-1.2320328542094527E-2</v>
      </c>
      <c r="N837" s="155">
        <f t="shared" si="139"/>
        <v>-1.6985138004246281E-2</v>
      </c>
      <c r="O837" s="155">
        <f t="shared" si="140"/>
        <v>-1.7496400366508236E-2</v>
      </c>
      <c r="P837" s="162">
        <f t="shared" si="141"/>
        <v>-1.9693654266958349E-2</v>
      </c>
    </row>
    <row r="838" spans="1:16">
      <c r="A838" s="319">
        <v>45418</v>
      </c>
      <c r="B838" s="31">
        <v>5.12</v>
      </c>
      <c r="C838" s="30">
        <v>4.82</v>
      </c>
      <c r="D838" s="30">
        <v>4.6399999999999997</v>
      </c>
      <c r="E838" s="30">
        <v>4.4850000000000003</v>
      </c>
      <c r="F838" s="29">
        <v>4.4800000000000004</v>
      </c>
      <c r="G838" s="159">
        <f t="shared" si="132"/>
        <v>0</v>
      </c>
      <c r="H838" s="154">
        <f t="shared" si="133"/>
        <v>1.0000000000000675E-4</v>
      </c>
      <c r="I838" s="154">
        <f t="shared" si="134"/>
        <v>9.9999999999997863E-5</v>
      </c>
      <c r="J838" s="154">
        <f t="shared" si="135"/>
        <v>-1.8599999999999284E-4</v>
      </c>
      <c r="K838" s="160">
        <f t="shared" si="136"/>
        <v>0</v>
      </c>
      <c r="L838" s="161">
        <f t="shared" si="137"/>
        <v>0</v>
      </c>
      <c r="M838" s="155">
        <f t="shared" si="138"/>
        <v>2.0790020790022457E-3</v>
      </c>
      <c r="N838" s="155">
        <f t="shared" si="139"/>
        <v>2.1598272138227959E-3</v>
      </c>
      <c r="O838" s="155">
        <f t="shared" si="140"/>
        <v>-4.1300293098852636E-3</v>
      </c>
      <c r="P838" s="162">
        <f t="shared" si="141"/>
        <v>0</v>
      </c>
    </row>
    <row r="839" spans="1:16">
      <c r="A839" s="319">
        <v>45419</v>
      </c>
      <c r="B839" s="31">
        <v>5.13</v>
      </c>
      <c r="C839" s="30">
        <v>4.82</v>
      </c>
      <c r="D839" s="30">
        <v>4.5999999999999996</v>
      </c>
      <c r="E839" s="30">
        <v>4.4702999999999999</v>
      </c>
      <c r="F839" s="29">
        <v>4.4800000000000004</v>
      </c>
      <c r="G839" s="159">
        <f t="shared" si="132"/>
        <v>9.9999999999997863E-5</v>
      </c>
      <c r="H839" s="154">
        <f t="shared" si="133"/>
        <v>0</v>
      </c>
      <c r="I839" s="154">
        <f t="shared" si="134"/>
        <v>-4.0000000000000034E-4</v>
      </c>
      <c r="J839" s="154">
        <f t="shared" si="135"/>
        <v>-1.4700000000000379E-4</v>
      </c>
      <c r="K839" s="160">
        <f t="shared" si="136"/>
        <v>0</v>
      </c>
      <c r="L839" s="161">
        <f t="shared" si="137"/>
        <v>1.953125E-3</v>
      </c>
      <c r="M839" s="155">
        <f t="shared" si="138"/>
        <v>0</v>
      </c>
      <c r="N839" s="155">
        <f t="shared" si="139"/>
        <v>-8.6206896551723755E-3</v>
      </c>
      <c r="O839" s="155">
        <f t="shared" si="140"/>
        <v>-3.2775919732441761E-3</v>
      </c>
      <c r="P839" s="162">
        <f t="shared" si="141"/>
        <v>0</v>
      </c>
    </row>
    <row r="840" spans="1:16">
      <c r="A840" s="319">
        <v>45420</v>
      </c>
      <c r="B840" s="31">
        <v>5.13</v>
      </c>
      <c r="C840" s="30">
        <v>4.84</v>
      </c>
      <c r="D840" s="30">
        <v>4.63</v>
      </c>
      <c r="E840" s="30">
        <v>4.4848999999999997</v>
      </c>
      <c r="F840" s="29">
        <v>4.5</v>
      </c>
      <c r="G840" s="159">
        <f t="shared" si="132"/>
        <v>0</v>
      </c>
      <c r="H840" s="154">
        <f t="shared" si="133"/>
        <v>1.9999999999999573E-4</v>
      </c>
      <c r="I840" s="154">
        <f t="shared" si="134"/>
        <v>3.0000000000000247E-4</v>
      </c>
      <c r="J840" s="154">
        <f t="shared" si="135"/>
        <v>1.4599999999999723E-4</v>
      </c>
      <c r="K840" s="160">
        <f t="shared" si="136"/>
        <v>1.9999999999999573E-4</v>
      </c>
      <c r="L840" s="161">
        <f t="shared" si="137"/>
        <v>0</v>
      </c>
      <c r="M840" s="155">
        <f t="shared" si="138"/>
        <v>4.1493775933609811E-3</v>
      </c>
      <c r="N840" s="155">
        <f t="shared" si="139"/>
        <v>6.521739130434856E-3</v>
      </c>
      <c r="O840" s="155">
        <f t="shared" si="140"/>
        <v>3.2660000447397586E-3</v>
      </c>
      <c r="P840" s="162">
        <f t="shared" si="141"/>
        <v>4.4642857142855874E-3</v>
      </c>
    </row>
    <row r="841" spans="1:16">
      <c r="A841" s="319">
        <v>45421</v>
      </c>
      <c r="B841" s="31">
        <v>5.12</v>
      </c>
      <c r="C841" s="30">
        <v>4.8</v>
      </c>
      <c r="D841" s="30">
        <v>4.5999999999999996</v>
      </c>
      <c r="E841" s="30">
        <v>4.4626000000000001</v>
      </c>
      <c r="F841" s="29">
        <v>4.47</v>
      </c>
      <c r="G841" s="159">
        <f t="shared" si="132"/>
        <v>-9.9999999999997863E-5</v>
      </c>
      <c r="H841" s="154">
        <f t="shared" si="133"/>
        <v>-4.0000000000000034E-4</v>
      </c>
      <c r="I841" s="154">
        <f t="shared" si="134"/>
        <v>-3.0000000000000247E-4</v>
      </c>
      <c r="J841" s="154">
        <f t="shared" si="135"/>
        <v>-2.2299999999999542E-4</v>
      </c>
      <c r="K841" s="160">
        <f t="shared" si="136"/>
        <v>-3.0000000000000247E-4</v>
      </c>
      <c r="L841" s="161">
        <f t="shared" si="137"/>
        <v>-1.9493177387913674E-3</v>
      </c>
      <c r="M841" s="155">
        <f t="shared" si="138"/>
        <v>-8.2644628099173278E-3</v>
      </c>
      <c r="N841" s="155">
        <f t="shared" si="139"/>
        <v>-6.4794816414687206E-3</v>
      </c>
      <c r="O841" s="155">
        <f t="shared" si="140"/>
        <v>-4.9722401837275498E-3</v>
      </c>
      <c r="P841" s="162">
        <f t="shared" si="141"/>
        <v>-6.6666666666667096E-3</v>
      </c>
    </row>
    <row r="842" spans="1:16">
      <c r="A842" s="319">
        <v>45422</v>
      </c>
      <c r="B842" s="31">
        <v>5.17</v>
      </c>
      <c r="C842" s="30">
        <v>4.87</v>
      </c>
      <c r="D842" s="30">
        <v>4.6500000000000004</v>
      </c>
      <c r="E842" s="30">
        <v>4.4947999999999997</v>
      </c>
      <c r="F842" s="29">
        <v>4.5199999999999996</v>
      </c>
      <c r="G842" s="159">
        <f t="shared" si="132"/>
        <v>4.9999999999999828E-4</v>
      </c>
      <c r="H842" s="154">
        <f t="shared" si="133"/>
        <v>7.0000000000000281E-4</v>
      </c>
      <c r="I842" s="154">
        <f t="shared" si="134"/>
        <v>5.0000000000000706E-4</v>
      </c>
      <c r="J842" s="154">
        <f t="shared" si="135"/>
        <v>3.2199999999999563E-4</v>
      </c>
      <c r="K842" s="160">
        <f t="shared" si="136"/>
        <v>4.9999999999999828E-4</v>
      </c>
      <c r="L842" s="161">
        <f t="shared" si="137"/>
        <v>9.765625E-3</v>
      </c>
      <c r="M842" s="155">
        <f t="shared" si="138"/>
        <v>1.4583333333333393E-2</v>
      </c>
      <c r="N842" s="155">
        <f t="shared" si="139"/>
        <v>1.0869565217391353E-2</v>
      </c>
      <c r="O842" s="155">
        <f t="shared" si="140"/>
        <v>7.2155245820821889E-3</v>
      </c>
      <c r="P842" s="162">
        <f t="shared" si="141"/>
        <v>1.1185682326621871E-2</v>
      </c>
    </row>
    <row r="843" spans="1:16">
      <c r="A843" s="319">
        <v>45425</v>
      </c>
      <c r="B843" s="31">
        <v>5.16</v>
      </c>
      <c r="C843" s="30">
        <v>4.8499999999999996</v>
      </c>
      <c r="D843" s="30">
        <v>4.66</v>
      </c>
      <c r="E843" s="30">
        <v>4.4916999999999998</v>
      </c>
      <c r="F843" s="29">
        <v>4.5</v>
      </c>
      <c r="G843" s="159">
        <f t="shared" si="132"/>
        <v>-9.9999999999997863E-5</v>
      </c>
      <c r="H843" s="154">
        <f t="shared" si="133"/>
        <v>-2.0000000000000462E-4</v>
      </c>
      <c r="I843" s="154">
        <f t="shared" si="134"/>
        <v>9.9999999999997863E-5</v>
      </c>
      <c r="J843" s="154">
        <f t="shared" si="135"/>
        <v>-3.0999999999998809E-5</v>
      </c>
      <c r="K843" s="160">
        <f t="shared" si="136"/>
        <v>-1.9999999999999573E-4</v>
      </c>
      <c r="L843" s="161">
        <f t="shared" si="137"/>
        <v>-1.9342359767891004E-3</v>
      </c>
      <c r="M843" s="155">
        <f t="shared" si="138"/>
        <v>-4.1067761806982128E-3</v>
      </c>
      <c r="N843" s="155">
        <f t="shared" si="139"/>
        <v>2.1505376344086446E-3</v>
      </c>
      <c r="O843" s="155">
        <f t="shared" si="140"/>
        <v>-6.896858592150279E-4</v>
      </c>
      <c r="P843" s="162">
        <f t="shared" si="141"/>
        <v>-4.4247787610618428E-3</v>
      </c>
    </row>
    <row r="844" spans="1:16">
      <c r="A844" s="319">
        <v>45426</v>
      </c>
      <c r="B844" s="31">
        <v>5.16</v>
      </c>
      <c r="C844" s="30">
        <v>4.8099999999999996</v>
      </c>
      <c r="D844" s="30">
        <v>4.62</v>
      </c>
      <c r="E844" s="30">
        <v>4.4617000000000004</v>
      </c>
      <c r="F844" s="29">
        <v>4.46</v>
      </c>
      <c r="G844" s="159">
        <f t="shared" si="132"/>
        <v>0</v>
      </c>
      <c r="H844" s="154">
        <f t="shared" si="133"/>
        <v>-4.0000000000000034E-4</v>
      </c>
      <c r="I844" s="154">
        <f t="shared" si="134"/>
        <v>-4.0000000000000034E-4</v>
      </c>
      <c r="J844" s="154">
        <f t="shared" si="135"/>
        <v>-2.9999999999999363E-4</v>
      </c>
      <c r="K844" s="160">
        <f t="shared" si="136"/>
        <v>-4.0000000000000034E-4</v>
      </c>
      <c r="L844" s="161">
        <f t="shared" si="137"/>
        <v>0</v>
      </c>
      <c r="M844" s="155">
        <f t="shared" si="138"/>
        <v>-8.2474226804123418E-3</v>
      </c>
      <c r="N844" s="155">
        <f t="shared" si="139"/>
        <v>-8.5836909871245259E-3</v>
      </c>
      <c r="O844" s="155">
        <f t="shared" si="140"/>
        <v>-6.6789856847072615E-3</v>
      </c>
      <c r="P844" s="162">
        <f t="shared" si="141"/>
        <v>-8.8888888888889461E-3</v>
      </c>
    </row>
    <row r="845" spans="1:16">
      <c r="A845" s="319">
        <v>45427</v>
      </c>
      <c r="B845" s="31">
        <v>5.0999999999999996</v>
      </c>
      <c r="C845" s="30">
        <v>4.7300000000000004</v>
      </c>
      <c r="D845" s="30">
        <v>4.51</v>
      </c>
      <c r="E845" s="30">
        <v>4.3773</v>
      </c>
      <c r="F845" s="29">
        <v>4.3499999999999996</v>
      </c>
      <c r="G845" s="159">
        <f t="shared" si="132"/>
        <v>-6.0000000000000493E-4</v>
      </c>
      <c r="H845" s="154">
        <f t="shared" si="133"/>
        <v>-7.999999999999918E-4</v>
      </c>
      <c r="I845" s="154">
        <f t="shared" si="134"/>
        <v>-1.1000000000000031E-3</v>
      </c>
      <c r="J845" s="154">
        <f t="shared" si="135"/>
        <v>-8.4400000000000479E-4</v>
      </c>
      <c r="K845" s="160">
        <f t="shared" si="136"/>
        <v>-1.1000000000000031E-3</v>
      </c>
      <c r="L845" s="161">
        <f t="shared" si="137"/>
        <v>-1.1627906976744318E-2</v>
      </c>
      <c r="M845" s="155">
        <f t="shared" si="138"/>
        <v>-1.6632016632016411E-2</v>
      </c>
      <c r="N845" s="155">
        <f t="shared" si="139"/>
        <v>-2.3809523809523836E-2</v>
      </c>
      <c r="O845" s="155">
        <f t="shared" si="140"/>
        <v>-1.8916556469507295E-2</v>
      </c>
      <c r="P845" s="162">
        <f t="shared" si="141"/>
        <v>-2.4663677130044914E-2</v>
      </c>
    </row>
    <row r="846" spans="1:16">
      <c r="A846" s="319">
        <v>45428</v>
      </c>
      <c r="B846" s="31">
        <v>5.13</v>
      </c>
      <c r="C846" s="30">
        <v>4.78</v>
      </c>
      <c r="D846" s="30">
        <v>4.58</v>
      </c>
      <c r="E846" s="30">
        <v>4.3948</v>
      </c>
      <c r="F846" s="29">
        <v>4.4000000000000004</v>
      </c>
      <c r="G846" s="159">
        <f t="shared" si="132"/>
        <v>3.0000000000000247E-4</v>
      </c>
      <c r="H846" s="154">
        <f t="shared" si="133"/>
        <v>4.9999999999999828E-4</v>
      </c>
      <c r="I846" s="154">
        <f t="shared" si="134"/>
        <v>7.0000000000000281E-4</v>
      </c>
      <c r="J846" s="154">
        <f t="shared" si="135"/>
        <v>1.750000000000007E-4</v>
      </c>
      <c r="K846" s="160">
        <f t="shared" si="136"/>
        <v>5.0000000000000706E-4</v>
      </c>
      <c r="L846" s="161">
        <f t="shared" si="137"/>
        <v>5.8823529411764497E-3</v>
      </c>
      <c r="M846" s="155">
        <f t="shared" si="138"/>
        <v>1.0570824524312794E-2</v>
      </c>
      <c r="N846" s="155">
        <f t="shared" si="139"/>
        <v>1.5521064301552201E-2</v>
      </c>
      <c r="O846" s="155">
        <f t="shared" si="140"/>
        <v>3.9978982477784086E-3</v>
      </c>
      <c r="P846" s="162">
        <f t="shared" si="141"/>
        <v>1.1494252873563315E-2</v>
      </c>
    </row>
    <row r="847" spans="1:16">
      <c r="A847" s="319">
        <v>45429</v>
      </c>
      <c r="B847" s="31">
        <v>5.14</v>
      </c>
      <c r="C847" s="30">
        <v>4.83</v>
      </c>
      <c r="D847" s="30">
        <v>4.5999999999999996</v>
      </c>
      <c r="E847" s="30">
        <v>4.4207999999999998</v>
      </c>
      <c r="F847" s="29">
        <v>4.4400000000000004</v>
      </c>
      <c r="G847" s="159">
        <f t="shared" si="132"/>
        <v>9.9999999999997863E-5</v>
      </c>
      <c r="H847" s="154">
        <f t="shared" si="133"/>
        <v>4.9999999999999828E-4</v>
      </c>
      <c r="I847" s="154">
        <f t="shared" si="134"/>
        <v>1.9999999999999573E-4</v>
      </c>
      <c r="J847" s="154">
        <f t="shared" si="135"/>
        <v>2.5999999999999803E-4</v>
      </c>
      <c r="K847" s="160">
        <f t="shared" si="136"/>
        <v>4.0000000000000034E-4</v>
      </c>
      <c r="L847" s="161">
        <f t="shared" si="137"/>
        <v>1.9493177387914784E-3</v>
      </c>
      <c r="M847" s="155">
        <f t="shared" si="138"/>
        <v>1.0460251046024993E-2</v>
      </c>
      <c r="N847" s="155">
        <f t="shared" si="139"/>
        <v>4.366812227074135E-3</v>
      </c>
      <c r="O847" s="155">
        <f t="shared" si="140"/>
        <v>5.9160826431237101E-3</v>
      </c>
      <c r="P847" s="162">
        <f t="shared" si="141"/>
        <v>9.0909090909090384E-3</v>
      </c>
    </row>
    <row r="848" spans="1:16">
      <c r="A848" s="319">
        <v>45432</v>
      </c>
      <c r="B848" s="31">
        <v>5.15</v>
      </c>
      <c r="C848" s="30">
        <v>4.82</v>
      </c>
      <c r="D848" s="30">
        <v>4.62</v>
      </c>
      <c r="E848" s="30">
        <v>4.4412000000000003</v>
      </c>
      <c r="F848" s="29">
        <v>4.46</v>
      </c>
      <c r="G848" s="159">
        <f t="shared" si="132"/>
        <v>1.0000000000000675E-4</v>
      </c>
      <c r="H848" s="154">
        <f t="shared" si="133"/>
        <v>-9.9999999999997863E-5</v>
      </c>
      <c r="I848" s="154">
        <f t="shared" si="134"/>
        <v>2.0000000000000462E-4</v>
      </c>
      <c r="J848" s="154">
        <f t="shared" si="135"/>
        <v>2.0400000000000417E-4</v>
      </c>
      <c r="K848" s="160">
        <f t="shared" si="136"/>
        <v>1.9999999999999573E-4</v>
      </c>
      <c r="L848" s="161">
        <f t="shared" si="137"/>
        <v>1.9455252918290089E-3</v>
      </c>
      <c r="M848" s="155">
        <f t="shared" si="138"/>
        <v>-2.0703933747411307E-3</v>
      </c>
      <c r="N848" s="155">
        <f t="shared" si="139"/>
        <v>4.3478260869567187E-3</v>
      </c>
      <c r="O848" s="155">
        <f t="shared" si="140"/>
        <v>4.6145494028231315E-3</v>
      </c>
      <c r="P848" s="162">
        <f t="shared" si="141"/>
        <v>4.5045045045044585E-3</v>
      </c>
    </row>
    <row r="849" spans="1:16">
      <c r="A849" s="319">
        <v>45433</v>
      </c>
      <c r="B849" s="31">
        <v>5.14</v>
      </c>
      <c r="C849" s="30">
        <v>4.82</v>
      </c>
      <c r="D849" s="30">
        <v>4.6100000000000003</v>
      </c>
      <c r="E849" s="30">
        <v>4.4287999999999998</v>
      </c>
      <c r="F849" s="29">
        <v>4.43</v>
      </c>
      <c r="G849" s="159">
        <f t="shared" si="132"/>
        <v>-1.0000000000000675E-4</v>
      </c>
      <c r="H849" s="154">
        <f t="shared" si="133"/>
        <v>0</v>
      </c>
      <c r="I849" s="154">
        <f t="shared" si="134"/>
        <v>-9.9999999999997863E-5</v>
      </c>
      <c r="J849" s="154">
        <f t="shared" si="135"/>
        <v>-1.240000000000041E-4</v>
      </c>
      <c r="K849" s="160">
        <f t="shared" si="136"/>
        <v>-3.0000000000000247E-4</v>
      </c>
      <c r="L849" s="161">
        <f t="shared" si="137"/>
        <v>-1.9417475728156219E-3</v>
      </c>
      <c r="M849" s="155">
        <f t="shared" si="138"/>
        <v>0</v>
      </c>
      <c r="N849" s="155">
        <f t="shared" si="139"/>
        <v>-2.1645021645021467E-3</v>
      </c>
      <c r="O849" s="155">
        <f t="shared" si="140"/>
        <v>-2.7920381878772105E-3</v>
      </c>
      <c r="P849" s="162">
        <f t="shared" si="141"/>
        <v>-6.7264573991031584E-3</v>
      </c>
    </row>
    <row r="850" spans="1:16">
      <c r="A850" s="319">
        <v>45434</v>
      </c>
      <c r="B850" s="31">
        <v>5.16</v>
      </c>
      <c r="C850" s="30">
        <v>4.8600000000000003</v>
      </c>
      <c r="D850" s="30">
        <v>4.6399999999999997</v>
      </c>
      <c r="E850" s="30">
        <v>4.4469000000000003</v>
      </c>
      <c r="F850" s="29">
        <v>4.47</v>
      </c>
      <c r="G850" s="159">
        <f t="shared" si="132"/>
        <v>2.0000000000000462E-4</v>
      </c>
      <c r="H850" s="154">
        <f t="shared" si="133"/>
        <v>4.0000000000000034E-4</v>
      </c>
      <c r="I850" s="154">
        <f t="shared" si="134"/>
        <v>2.9999999999999363E-4</v>
      </c>
      <c r="J850" s="154">
        <f t="shared" si="135"/>
        <v>1.8100000000000448E-4</v>
      </c>
      <c r="K850" s="160">
        <f t="shared" si="136"/>
        <v>4.0000000000000034E-4</v>
      </c>
      <c r="L850" s="161">
        <f t="shared" si="137"/>
        <v>3.8910505836575737E-3</v>
      </c>
      <c r="M850" s="155">
        <f t="shared" si="138"/>
        <v>8.2987551867219622E-3</v>
      </c>
      <c r="N850" s="155">
        <f t="shared" si="139"/>
        <v>6.5075921908892553E-3</v>
      </c>
      <c r="O850" s="155">
        <f t="shared" si="140"/>
        <v>4.0868858381504225E-3</v>
      </c>
      <c r="P850" s="162">
        <f t="shared" si="141"/>
        <v>9.0293453724605843E-3</v>
      </c>
    </row>
    <row r="851" spans="1:16">
      <c r="A851" s="319">
        <v>45435</v>
      </c>
      <c r="B851" s="31">
        <v>5.2</v>
      </c>
      <c r="C851" s="30">
        <v>4.91</v>
      </c>
      <c r="D851" s="30">
        <v>4.71</v>
      </c>
      <c r="E851" s="30">
        <v>4.5065</v>
      </c>
      <c r="F851" s="29">
        <v>4.5199999999999996</v>
      </c>
      <c r="G851" s="159">
        <f t="shared" si="132"/>
        <v>4.0000000000000034E-4</v>
      </c>
      <c r="H851" s="154">
        <f t="shared" si="133"/>
        <v>4.9999999999999828E-4</v>
      </c>
      <c r="I851" s="154">
        <f t="shared" si="134"/>
        <v>7.0000000000000281E-4</v>
      </c>
      <c r="J851" s="154">
        <f t="shared" si="135"/>
        <v>5.9599999999999649E-4</v>
      </c>
      <c r="K851" s="160">
        <f t="shared" si="136"/>
        <v>4.9999999999999828E-4</v>
      </c>
      <c r="L851" s="161">
        <f t="shared" si="137"/>
        <v>7.7519379844961378E-3</v>
      </c>
      <c r="M851" s="155">
        <f t="shared" si="138"/>
        <v>1.0288065843621297E-2</v>
      </c>
      <c r="N851" s="155">
        <f t="shared" si="139"/>
        <v>1.5086206896551824E-2</v>
      </c>
      <c r="O851" s="155">
        <f t="shared" si="140"/>
        <v>1.3402595066225764E-2</v>
      </c>
      <c r="P851" s="162">
        <f t="shared" si="141"/>
        <v>1.1185682326621871E-2</v>
      </c>
    </row>
    <row r="852" spans="1:16">
      <c r="A852" s="319">
        <v>45436</v>
      </c>
      <c r="B852" s="31">
        <v>5.21</v>
      </c>
      <c r="C852" s="30">
        <v>4.93</v>
      </c>
      <c r="D852" s="30">
        <v>4.71</v>
      </c>
      <c r="E852" s="30">
        <v>4.5251999999999999</v>
      </c>
      <c r="F852" s="29">
        <v>4.53</v>
      </c>
      <c r="G852" s="159">
        <f t="shared" si="132"/>
        <v>9.9999999999997863E-5</v>
      </c>
      <c r="H852" s="154">
        <f t="shared" si="133"/>
        <v>1.9999999999999573E-4</v>
      </c>
      <c r="I852" s="154">
        <f t="shared" si="134"/>
        <v>0</v>
      </c>
      <c r="J852" s="154">
        <f t="shared" si="135"/>
        <v>1.869999999999994E-4</v>
      </c>
      <c r="K852" s="160">
        <f t="shared" si="136"/>
        <v>1.0000000000000675E-4</v>
      </c>
      <c r="L852" s="161">
        <f t="shared" si="137"/>
        <v>1.9230769230769162E-3</v>
      </c>
      <c r="M852" s="155">
        <f t="shared" si="138"/>
        <v>4.0733197556006573E-3</v>
      </c>
      <c r="N852" s="155">
        <f t="shared" si="139"/>
        <v>0</v>
      </c>
      <c r="O852" s="155">
        <f t="shared" si="140"/>
        <v>4.1495617441473787E-3</v>
      </c>
      <c r="P852" s="162">
        <f t="shared" si="141"/>
        <v>2.2123893805310324E-3</v>
      </c>
    </row>
    <row r="853" spans="1:16">
      <c r="A853" s="319">
        <v>45440</v>
      </c>
      <c r="B853" s="31">
        <v>5.21</v>
      </c>
      <c r="C853" s="30">
        <v>4.9400000000000004</v>
      </c>
      <c r="D853" s="30">
        <v>4.75</v>
      </c>
      <c r="E853" s="30">
        <v>4.5583</v>
      </c>
      <c r="F853" s="29">
        <v>4.5599999999999996</v>
      </c>
      <c r="G853" s="159">
        <f t="shared" si="132"/>
        <v>0</v>
      </c>
      <c r="H853" s="154">
        <f t="shared" si="133"/>
        <v>1.0000000000000675E-4</v>
      </c>
      <c r="I853" s="154">
        <f t="shared" si="134"/>
        <v>4.0000000000000034E-4</v>
      </c>
      <c r="J853" s="154">
        <f t="shared" si="135"/>
        <v>3.3100000000000127E-4</v>
      </c>
      <c r="K853" s="160">
        <f t="shared" si="136"/>
        <v>2.9999999999999363E-4</v>
      </c>
      <c r="L853" s="161">
        <f t="shared" si="137"/>
        <v>0</v>
      </c>
      <c r="M853" s="155">
        <f t="shared" si="138"/>
        <v>2.0283975659229903E-3</v>
      </c>
      <c r="N853" s="155">
        <f t="shared" si="139"/>
        <v>8.4925690021231404E-3</v>
      </c>
      <c r="O853" s="155">
        <f t="shared" si="140"/>
        <v>7.314593830106908E-3</v>
      </c>
      <c r="P853" s="162">
        <f t="shared" si="141"/>
        <v>6.6225165562912025E-3</v>
      </c>
    </row>
    <row r="854" spans="1:16">
      <c r="A854" s="319">
        <v>45441</v>
      </c>
      <c r="B854" s="31">
        <v>5.22</v>
      </c>
      <c r="C854" s="30">
        <v>4.96</v>
      </c>
      <c r="D854" s="30">
        <v>4.79</v>
      </c>
      <c r="E854" s="30">
        <v>4.6203000000000003</v>
      </c>
      <c r="F854" s="29">
        <v>4.63</v>
      </c>
      <c r="G854" s="159">
        <f t="shared" si="132"/>
        <v>9.9999999999997863E-5</v>
      </c>
      <c r="H854" s="154">
        <f t="shared" si="133"/>
        <v>1.9999999999999573E-4</v>
      </c>
      <c r="I854" s="154">
        <f t="shared" si="134"/>
        <v>4.0000000000000034E-4</v>
      </c>
      <c r="J854" s="154">
        <f t="shared" si="135"/>
        <v>6.2000000000000282E-4</v>
      </c>
      <c r="K854" s="160">
        <f t="shared" si="136"/>
        <v>7.0000000000000281E-4</v>
      </c>
      <c r="L854" s="161">
        <f t="shared" si="137"/>
        <v>1.9193857965451588E-3</v>
      </c>
      <c r="M854" s="155">
        <f t="shared" si="138"/>
        <v>4.0485829959513442E-3</v>
      </c>
      <c r="N854" s="155">
        <f t="shared" si="139"/>
        <v>8.4210526315788847E-3</v>
      </c>
      <c r="O854" s="155">
        <f t="shared" si="140"/>
        <v>1.360156198582807E-2</v>
      </c>
      <c r="P854" s="162">
        <f t="shared" si="141"/>
        <v>1.5350877192982448E-2</v>
      </c>
    </row>
    <row r="855" spans="1:16">
      <c r="A855" s="319">
        <v>45442</v>
      </c>
      <c r="B855" s="31">
        <v>5.19</v>
      </c>
      <c r="C855" s="30">
        <v>4.92</v>
      </c>
      <c r="D855" s="30">
        <v>4.74</v>
      </c>
      <c r="E855" s="30">
        <v>4.5880000000000001</v>
      </c>
      <c r="F855" s="29">
        <v>4.57</v>
      </c>
      <c r="G855" s="159">
        <f t="shared" si="132"/>
        <v>-2.9999999999999363E-4</v>
      </c>
      <c r="H855" s="154">
        <f t="shared" si="133"/>
        <v>-4.0000000000000034E-4</v>
      </c>
      <c r="I855" s="154">
        <f t="shared" si="134"/>
        <v>-4.9999999999999828E-4</v>
      </c>
      <c r="J855" s="154">
        <f t="shared" si="135"/>
        <v>-3.2300000000000216E-4</v>
      </c>
      <c r="K855" s="160">
        <f t="shared" si="136"/>
        <v>-5.9999999999999604E-4</v>
      </c>
      <c r="L855" s="161">
        <f t="shared" si="137"/>
        <v>-5.7471264367814356E-3</v>
      </c>
      <c r="M855" s="155">
        <f t="shared" si="138"/>
        <v>-8.0645161290322509E-3</v>
      </c>
      <c r="N855" s="155">
        <f t="shared" si="139"/>
        <v>-1.0438413361169019E-2</v>
      </c>
      <c r="O855" s="155">
        <f t="shared" si="140"/>
        <v>-6.9908880375734173E-3</v>
      </c>
      <c r="P855" s="162">
        <f t="shared" si="141"/>
        <v>-1.295896328293733E-2</v>
      </c>
    </row>
    <row r="856" spans="1:16">
      <c r="A856" s="319">
        <v>45443</v>
      </c>
      <c r="B856" s="31">
        <v>5.18</v>
      </c>
      <c r="C856" s="30">
        <v>4.8899999999999997</v>
      </c>
      <c r="D856" s="30">
        <v>4.6900000000000004</v>
      </c>
      <c r="E856" s="30">
        <v>4.5444000000000004</v>
      </c>
      <c r="F856" s="29">
        <v>4.5199999999999996</v>
      </c>
      <c r="G856" s="159">
        <f t="shared" si="132"/>
        <v>-1.0000000000000675E-4</v>
      </c>
      <c r="H856" s="154">
        <f t="shared" si="133"/>
        <v>-3.0000000000000247E-4</v>
      </c>
      <c r="I856" s="154">
        <f t="shared" si="134"/>
        <v>-4.9999999999999828E-4</v>
      </c>
      <c r="J856" s="154">
        <f t="shared" si="135"/>
        <v>-4.3599999999999639E-4</v>
      </c>
      <c r="K856" s="160">
        <f t="shared" si="136"/>
        <v>-5.0000000000000706E-4</v>
      </c>
      <c r="L856" s="161">
        <f t="shared" si="137"/>
        <v>-1.9267822736032114E-3</v>
      </c>
      <c r="M856" s="155">
        <f t="shared" si="138"/>
        <v>-6.0975609756097615E-3</v>
      </c>
      <c r="N856" s="155">
        <f t="shared" si="139"/>
        <v>-1.0548523206751037E-2</v>
      </c>
      <c r="O856" s="155">
        <f t="shared" si="140"/>
        <v>-9.5030514385352483E-3</v>
      </c>
      <c r="P856" s="162">
        <f t="shared" si="141"/>
        <v>-1.0940919037199293E-2</v>
      </c>
    </row>
    <row r="857" spans="1:16">
      <c r="A857" s="319">
        <v>45446</v>
      </c>
      <c r="B857" s="31">
        <v>5.14</v>
      </c>
      <c r="C857" s="30">
        <v>4.82</v>
      </c>
      <c r="D857" s="30">
        <v>4.62</v>
      </c>
      <c r="E857" s="30">
        <v>4.4554999999999998</v>
      </c>
      <c r="F857" s="29">
        <v>4.42</v>
      </c>
      <c r="G857" s="159">
        <f t="shared" si="132"/>
        <v>-4.0000000000000034E-4</v>
      </c>
      <c r="H857" s="154">
        <f t="shared" si="133"/>
        <v>-6.9999999999999392E-4</v>
      </c>
      <c r="I857" s="154">
        <f t="shared" si="134"/>
        <v>-7.0000000000000281E-4</v>
      </c>
      <c r="J857" s="154">
        <f t="shared" si="135"/>
        <v>-8.8900000000000643E-4</v>
      </c>
      <c r="K857" s="160">
        <f t="shared" si="136"/>
        <v>-9.9999999999999655E-4</v>
      </c>
      <c r="L857" s="161">
        <f t="shared" si="137"/>
        <v>-7.7220077220077066E-3</v>
      </c>
      <c r="M857" s="155">
        <f t="shared" si="138"/>
        <v>-1.4314928425357754E-2</v>
      </c>
      <c r="N857" s="155">
        <f t="shared" si="139"/>
        <v>-1.4925373134328401E-2</v>
      </c>
      <c r="O857" s="155">
        <f t="shared" si="140"/>
        <v>-1.9562538508934191E-2</v>
      </c>
      <c r="P857" s="162">
        <f t="shared" si="141"/>
        <v>-2.2123893805309658E-2</v>
      </c>
    </row>
    <row r="858" spans="1:16">
      <c r="A858" s="319">
        <v>45447</v>
      </c>
      <c r="B858" s="31">
        <v>5.1100000000000003</v>
      </c>
      <c r="C858" s="30">
        <v>4.7699999999999996</v>
      </c>
      <c r="D858" s="30">
        <v>4.55</v>
      </c>
      <c r="E858" s="30">
        <v>4.3827999999999996</v>
      </c>
      <c r="F858" s="29">
        <v>4.3499999999999996</v>
      </c>
      <c r="G858" s="159">
        <f t="shared" si="132"/>
        <v>-2.9999999999999363E-4</v>
      </c>
      <c r="H858" s="154">
        <f t="shared" si="133"/>
        <v>-5.0000000000000706E-4</v>
      </c>
      <c r="I858" s="154">
        <f t="shared" si="134"/>
        <v>-7.0000000000000281E-4</v>
      </c>
      <c r="J858" s="154">
        <f t="shared" si="135"/>
        <v>-7.2700000000000206E-4</v>
      </c>
      <c r="K858" s="160">
        <f t="shared" si="136"/>
        <v>-7.0000000000000281E-4</v>
      </c>
      <c r="L858" s="161">
        <f t="shared" si="137"/>
        <v>-5.8365758754862496E-3</v>
      </c>
      <c r="M858" s="155">
        <f t="shared" si="138"/>
        <v>-1.0373443983402675E-2</v>
      </c>
      <c r="N858" s="155">
        <f t="shared" si="139"/>
        <v>-1.5151515151515249E-2</v>
      </c>
      <c r="O858" s="155">
        <f t="shared" si="140"/>
        <v>-1.6316911682190627E-2</v>
      </c>
      <c r="P858" s="162">
        <f t="shared" si="141"/>
        <v>-1.5837104072398245E-2</v>
      </c>
    </row>
    <row r="859" spans="1:16">
      <c r="A859" s="319">
        <v>45448</v>
      </c>
      <c r="B859" s="31">
        <v>5.08</v>
      </c>
      <c r="C859" s="30">
        <v>4.72</v>
      </c>
      <c r="D859" s="30">
        <v>4.5</v>
      </c>
      <c r="E859" s="30">
        <v>4.3358999999999996</v>
      </c>
      <c r="F859" s="29">
        <v>4.3099999999999996</v>
      </c>
      <c r="G859" s="159">
        <f t="shared" si="132"/>
        <v>-3.0000000000000247E-4</v>
      </c>
      <c r="H859" s="154">
        <f t="shared" si="133"/>
        <v>-4.9999999999999828E-4</v>
      </c>
      <c r="I859" s="154">
        <f t="shared" si="134"/>
        <v>-4.9999999999999828E-4</v>
      </c>
      <c r="J859" s="154">
        <f t="shared" si="135"/>
        <v>-4.6899999999999942E-4</v>
      </c>
      <c r="K859" s="160">
        <f t="shared" si="136"/>
        <v>-4.0000000000000034E-4</v>
      </c>
      <c r="L859" s="161">
        <f t="shared" si="137"/>
        <v>-5.8708414872798986E-3</v>
      </c>
      <c r="M859" s="155">
        <f t="shared" si="138"/>
        <v>-1.0482180293501009E-2</v>
      </c>
      <c r="N859" s="155">
        <f t="shared" si="139"/>
        <v>-1.098901098901095E-2</v>
      </c>
      <c r="O859" s="155">
        <f t="shared" si="140"/>
        <v>-1.0700921785160133E-2</v>
      </c>
      <c r="P859" s="162">
        <f t="shared" si="141"/>
        <v>-9.1954022988506301E-3</v>
      </c>
    </row>
    <row r="860" spans="1:16">
      <c r="A860" s="319">
        <v>45449</v>
      </c>
      <c r="B860" s="31">
        <v>5.08</v>
      </c>
      <c r="C860" s="30">
        <v>4.72</v>
      </c>
      <c r="D860" s="30">
        <v>4.49</v>
      </c>
      <c r="E860" s="30">
        <v>4.3120000000000003</v>
      </c>
      <c r="F860" s="29">
        <v>4.29</v>
      </c>
      <c r="G860" s="159">
        <f t="shared" si="132"/>
        <v>0</v>
      </c>
      <c r="H860" s="154">
        <f t="shared" si="133"/>
        <v>0</v>
      </c>
      <c r="I860" s="154">
        <f t="shared" si="134"/>
        <v>-9.9999999999997863E-5</v>
      </c>
      <c r="J860" s="154">
        <f t="shared" si="135"/>
        <v>-2.3899999999999367E-4</v>
      </c>
      <c r="K860" s="160">
        <f t="shared" si="136"/>
        <v>-1.9999999999999573E-4</v>
      </c>
      <c r="L860" s="161">
        <f t="shared" si="137"/>
        <v>0</v>
      </c>
      <c r="M860" s="155">
        <f t="shared" si="138"/>
        <v>0</v>
      </c>
      <c r="N860" s="155">
        <f t="shared" si="139"/>
        <v>-2.2222222222221255E-3</v>
      </c>
      <c r="O860" s="155">
        <f t="shared" si="140"/>
        <v>-5.5121197444588654E-3</v>
      </c>
      <c r="P860" s="162">
        <f t="shared" si="141"/>
        <v>-4.6403712296982924E-3</v>
      </c>
    </row>
    <row r="861" spans="1:16">
      <c r="A861" s="319">
        <v>45450</v>
      </c>
      <c r="B861" s="31">
        <v>5.17</v>
      </c>
      <c r="C861" s="30">
        <v>4.87</v>
      </c>
      <c r="D861" s="30">
        <v>4.6500000000000004</v>
      </c>
      <c r="E861" s="30">
        <v>4.4283000000000001</v>
      </c>
      <c r="F861" s="29">
        <v>4.46</v>
      </c>
      <c r="G861" s="159">
        <f t="shared" si="132"/>
        <v>8.9999999999999857E-4</v>
      </c>
      <c r="H861" s="154">
        <f t="shared" si="133"/>
        <v>1.5000000000000035E-3</v>
      </c>
      <c r="I861" s="154">
        <f t="shared" si="134"/>
        <v>1.6000000000000014E-3</v>
      </c>
      <c r="J861" s="154">
        <f t="shared" si="135"/>
        <v>1.1629999999999985E-3</v>
      </c>
      <c r="K861" s="160">
        <f t="shared" si="136"/>
        <v>1.6999999999999993E-3</v>
      </c>
      <c r="L861" s="161">
        <f t="shared" si="137"/>
        <v>1.7716535433070835E-2</v>
      </c>
      <c r="M861" s="155">
        <f t="shared" si="138"/>
        <v>3.1779661016949179E-2</v>
      </c>
      <c r="N861" s="155">
        <f t="shared" si="139"/>
        <v>3.563474387527843E-2</v>
      </c>
      <c r="O861" s="155">
        <f t="shared" si="140"/>
        <v>2.6971243042671622E-2</v>
      </c>
      <c r="P861" s="162">
        <f t="shared" si="141"/>
        <v>3.9627039627039506E-2</v>
      </c>
    </row>
    <row r="862" spans="1:16">
      <c r="A862" s="319">
        <v>45453</v>
      </c>
      <c r="B862" s="31">
        <v>5.16</v>
      </c>
      <c r="C862" s="30">
        <v>4.87</v>
      </c>
      <c r="D862" s="30">
        <v>4.62</v>
      </c>
      <c r="E862" s="30">
        <v>4.4790000000000001</v>
      </c>
      <c r="F862" s="29">
        <v>4.4800000000000004</v>
      </c>
      <c r="G862" s="159">
        <f t="shared" si="132"/>
        <v>-9.9999999999997863E-5</v>
      </c>
      <c r="H862" s="154">
        <f t="shared" si="133"/>
        <v>0</v>
      </c>
      <c r="I862" s="154">
        <f t="shared" si="134"/>
        <v>-3.0000000000000247E-4</v>
      </c>
      <c r="J862" s="154">
        <f t="shared" si="135"/>
        <v>5.0699999999999964E-4</v>
      </c>
      <c r="K862" s="160">
        <f t="shared" si="136"/>
        <v>2.0000000000000462E-4</v>
      </c>
      <c r="L862" s="161">
        <f t="shared" si="137"/>
        <v>-1.9342359767891004E-3</v>
      </c>
      <c r="M862" s="155">
        <f t="shared" si="138"/>
        <v>0</v>
      </c>
      <c r="N862" s="155">
        <f t="shared" si="139"/>
        <v>-6.4516129032258229E-3</v>
      </c>
      <c r="O862" s="155">
        <f t="shared" si="140"/>
        <v>1.1449088815120856E-2</v>
      </c>
      <c r="P862" s="162">
        <f t="shared" si="141"/>
        <v>4.484304932735439E-3</v>
      </c>
    </row>
    <row r="863" spans="1:16">
      <c r="A863" s="319">
        <v>45454</v>
      </c>
      <c r="B863" s="31">
        <v>5.17</v>
      </c>
      <c r="C863" s="30">
        <v>4.8099999999999996</v>
      </c>
      <c r="D863" s="30">
        <v>4.57</v>
      </c>
      <c r="E863" s="30">
        <v>4.4313000000000002</v>
      </c>
      <c r="F863" s="29">
        <v>4.41</v>
      </c>
      <c r="G863" s="159">
        <f t="shared" si="132"/>
        <v>9.9999999999997863E-5</v>
      </c>
      <c r="H863" s="154">
        <f t="shared" si="133"/>
        <v>-6.0000000000000493E-4</v>
      </c>
      <c r="I863" s="154">
        <f t="shared" si="134"/>
        <v>-4.9999999999999828E-4</v>
      </c>
      <c r="J863" s="154">
        <f t="shared" si="135"/>
        <v>-4.7699999999999853E-4</v>
      </c>
      <c r="K863" s="160">
        <f t="shared" si="136"/>
        <v>-7.0000000000000281E-4</v>
      </c>
      <c r="L863" s="161">
        <f t="shared" si="137"/>
        <v>1.9379844961240345E-3</v>
      </c>
      <c r="M863" s="155">
        <f t="shared" si="138"/>
        <v>-1.2320328542094527E-2</v>
      </c>
      <c r="N863" s="155">
        <f t="shared" si="139"/>
        <v>-1.0822510822510734E-2</v>
      </c>
      <c r="O863" s="155">
        <f t="shared" si="140"/>
        <v>-1.0649698593436008E-2</v>
      </c>
      <c r="P863" s="162">
        <f t="shared" si="141"/>
        <v>-1.5625000000000111E-2</v>
      </c>
    </row>
    <row r="864" spans="1:16">
      <c r="A864" s="319">
        <v>45455</v>
      </c>
      <c r="B864" s="31">
        <v>5.13</v>
      </c>
      <c r="C864" s="30">
        <v>4.75</v>
      </c>
      <c r="D864" s="30">
        <v>4.4800000000000004</v>
      </c>
      <c r="E864" s="30">
        <v>4.3590999999999998</v>
      </c>
      <c r="F864" s="29">
        <v>4.32</v>
      </c>
      <c r="G864" s="159">
        <f t="shared" si="132"/>
        <v>-4.0000000000000034E-4</v>
      </c>
      <c r="H864" s="154">
        <f t="shared" si="133"/>
        <v>-5.9999999999999604E-4</v>
      </c>
      <c r="I864" s="154">
        <f t="shared" si="134"/>
        <v>-8.9999999999999857E-4</v>
      </c>
      <c r="J864" s="154">
        <f t="shared" si="135"/>
        <v>-7.2200000000000486E-4</v>
      </c>
      <c r="K864" s="160">
        <f t="shared" si="136"/>
        <v>-8.9999999999999857E-4</v>
      </c>
      <c r="L864" s="161">
        <f t="shared" si="137"/>
        <v>-7.7369439071567347E-3</v>
      </c>
      <c r="M864" s="155">
        <f t="shared" si="138"/>
        <v>-1.2474012474012364E-2</v>
      </c>
      <c r="N864" s="155">
        <f t="shared" si="139"/>
        <v>-1.9693654266958349E-2</v>
      </c>
      <c r="O864" s="155">
        <f t="shared" si="140"/>
        <v>-1.6293187100850925E-2</v>
      </c>
      <c r="P864" s="162">
        <f t="shared" si="141"/>
        <v>-2.0408163265306034E-2</v>
      </c>
    </row>
    <row r="865" spans="1:16">
      <c r="A865" s="319">
        <v>45456</v>
      </c>
      <c r="B865" s="31">
        <v>5.07</v>
      </c>
      <c r="C865" s="30">
        <v>4.68</v>
      </c>
      <c r="D865" s="30">
        <v>4.42</v>
      </c>
      <c r="E865" s="30">
        <v>4.2834000000000003</v>
      </c>
      <c r="F865" s="29">
        <v>4.24</v>
      </c>
      <c r="G865" s="159">
        <f t="shared" si="132"/>
        <v>-5.9999999999999604E-4</v>
      </c>
      <c r="H865" s="154">
        <f t="shared" si="133"/>
        <v>-7.0000000000000281E-4</v>
      </c>
      <c r="I865" s="154">
        <f t="shared" si="134"/>
        <v>-6.0000000000000493E-4</v>
      </c>
      <c r="J865" s="154">
        <f t="shared" si="135"/>
        <v>-7.5699999999999433E-4</v>
      </c>
      <c r="K865" s="160">
        <f t="shared" si="136"/>
        <v>-8.0000000000000069E-4</v>
      </c>
      <c r="L865" s="161">
        <f t="shared" si="137"/>
        <v>-1.1695906432748426E-2</v>
      </c>
      <c r="M865" s="155">
        <f t="shared" si="138"/>
        <v>-1.473684210526327E-2</v>
      </c>
      <c r="N865" s="155">
        <f t="shared" si="139"/>
        <v>-1.3392857142857206E-2</v>
      </c>
      <c r="O865" s="155">
        <f t="shared" si="140"/>
        <v>-1.7365970039686984E-2</v>
      </c>
      <c r="P865" s="162">
        <f t="shared" si="141"/>
        <v>-1.851851851851849E-2</v>
      </c>
    </row>
    <row r="866" spans="1:16">
      <c r="A866" s="319">
        <v>45457</v>
      </c>
      <c r="B866" s="31">
        <v>5.07</v>
      </c>
      <c r="C866" s="30">
        <v>4.67</v>
      </c>
      <c r="D866" s="30">
        <v>4.41</v>
      </c>
      <c r="E866" s="30">
        <v>4.2571000000000003</v>
      </c>
      <c r="F866" s="29">
        <v>4.22</v>
      </c>
      <c r="G866" s="159">
        <f t="shared" si="132"/>
        <v>0</v>
      </c>
      <c r="H866" s="154">
        <f t="shared" si="133"/>
        <v>-9.9999999999997863E-5</v>
      </c>
      <c r="I866" s="154">
        <f t="shared" si="134"/>
        <v>-9.9999999999997863E-5</v>
      </c>
      <c r="J866" s="154">
        <f t="shared" si="135"/>
        <v>-2.6299999999999989E-4</v>
      </c>
      <c r="K866" s="160">
        <f t="shared" si="136"/>
        <v>-2.0000000000000462E-4</v>
      </c>
      <c r="L866" s="161">
        <f t="shared" si="137"/>
        <v>0</v>
      </c>
      <c r="M866" s="155">
        <f t="shared" si="138"/>
        <v>-2.1367521367521292E-3</v>
      </c>
      <c r="N866" s="155">
        <f t="shared" si="139"/>
        <v>-2.2624434389140191E-3</v>
      </c>
      <c r="O866" s="155">
        <f t="shared" si="140"/>
        <v>-6.1399822570854523E-3</v>
      </c>
      <c r="P866" s="162">
        <f t="shared" si="141"/>
        <v>-4.7169811320755262E-3</v>
      </c>
    </row>
    <row r="867" spans="1:16">
      <c r="A867" s="319">
        <v>45460</v>
      </c>
      <c r="B867" s="31">
        <v>5.1100000000000003</v>
      </c>
      <c r="C867" s="30">
        <v>4.75</v>
      </c>
      <c r="D867" s="30">
        <v>4.5</v>
      </c>
      <c r="E867" s="30">
        <v>4.3028000000000004</v>
      </c>
      <c r="F867" s="29">
        <v>4.3</v>
      </c>
      <c r="G867" s="159">
        <f t="shared" si="132"/>
        <v>4.0000000000000034E-4</v>
      </c>
      <c r="H867" s="154">
        <f t="shared" si="133"/>
        <v>8.0000000000000069E-4</v>
      </c>
      <c r="I867" s="154">
        <f t="shared" si="134"/>
        <v>8.9999999999999857E-4</v>
      </c>
      <c r="J867" s="154">
        <f t="shared" si="135"/>
        <v>4.5700000000000075E-4</v>
      </c>
      <c r="K867" s="160">
        <f t="shared" si="136"/>
        <v>8.0000000000000069E-4</v>
      </c>
      <c r="L867" s="161">
        <f t="shared" si="137"/>
        <v>7.8895463510848529E-3</v>
      </c>
      <c r="M867" s="155">
        <f t="shared" si="138"/>
        <v>1.7130620985010614E-2</v>
      </c>
      <c r="N867" s="155">
        <f t="shared" si="139"/>
        <v>2.0408163265306145E-2</v>
      </c>
      <c r="O867" s="155">
        <f t="shared" si="140"/>
        <v>1.0735007399403473E-2</v>
      </c>
      <c r="P867" s="162">
        <f t="shared" si="141"/>
        <v>1.8957345971563955E-2</v>
      </c>
    </row>
    <row r="868" spans="1:16">
      <c r="A868" s="319">
        <v>45461</v>
      </c>
      <c r="B868" s="31">
        <v>5.09</v>
      </c>
      <c r="C868" s="30">
        <v>4.6900000000000004</v>
      </c>
      <c r="D868" s="30">
        <v>4.43</v>
      </c>
      <c r="E868" s="30">
        <v>4.2682000000000002</v>
      </c>
      <c r="F868" s="29">
        <v>4.24</v>
      </c>
      <c r="G868" s="159">
        <f t="shared" si="132"/>
        <v>-2.0000000000000462E-4</v>
      </c>
      <c r="H868" s="154">
        <f t="shared" si="133"/>
        <v>-5.9999999999999604E-4</v>
      </c>
      <c r="I868" s="154">
        <f t="shared" si="134"/>
        <v>-7.0000000000000281E-4</v>
      </c>
      <c r="J868" s="154">
        <f t="shared" si="135"/>
        <v>-3.4600000000000185E-4</v>
      </c>
      <c r="K868" s="160">
        <f t="shared" si="136"/>
        <v>-5.9999999999999604E-4</v>
      </c>
      <c r="L868" s="161">
        <f t="shared" si="137"/>
        <v>-3.9138943248533398E-3</v>
      </c>
      <c r="M868" s="155">
        <f t="shared" si="138"/>
        <v>-1.2631578947368327E-2</v>
      </c>
      <c r="N868" s="155">
        <f t="shared" si="139"/>
        <v>-1.5555555555555656E-2</v>
      </c>
      <c r="O868" s="155">
        <f t="shared" si="140"/>
        <v>-8.0412754485451599E-3</v>
      </c>
      <c r="P868" s="162">
        <f t="shared" si="141"/>
        <v>-1.3953488372092981E-2</v>
      </c>
    </row>
    <row r="869" spans="1:16">
      <c r="A869" s="319">
        <v>45463</v>
      </c>
      <c r="B869" s="31">
        <v>5.0999999999999996</v>
      </c>
      <c r="C869" s="30">
        <v>4.7</v>
      </c>
      <c r="D869" s="30">
        <v>4.45</v>
      </c>
      <c r="E869" s="30">
        <v>4.2805</v>
      </c>
      <c r="F869" s="29">
        <v>4.26</v>
      </c>
      <c r="G869" s="159">
        <f t="shared" si="132"/>
        <v>9.9999999999997863E-5</v>
      </c>
      <c r="H869" s="154">
        <f t="shared" si="133"/>
        <v>9.9999999999997863E-5</v>
      </c>
      <c r="I869" s="154">
        <f t="shared" si="134"/>
        <v>2.0000000000000462E-4</v>
      </c>
      <c r="J869" s="154">
        <f t="shared" si="135"/>
        <v>1.2299999999999757E-4</v>
      </c>
      <c r="K869" s="160">
        <f t="shared" si="136"/>
        <v>1.9999999999999573E-4</v>
      </c>
      <c r="L869" s="161">
        <f t="shared" si="137"/>
        <v>1.9646365422396617E-3</v>
      </c>
      <c r="M869" s="155">
        <f t="shared" si="138"/>
        <v>2.132196162046851E-3</v>
      </c>
      <c r="N869" s="155">
        <f t="shared" si="139"/>
        <v>4.5146726862304032E-3</v>
      </c>
      <c r="O869" s="155">
        <f t="shared" si="140"/>
        <v>2.8817768614404216E-3</v>
      </c>
      <c r="P869" s="162">
        <f t="shared" si="141"/>
        <v>4.7169811320753041E-3</v>
      </c>
    </row>
    <row r="870" spans="1:16">
      <c r="A870" s="319">
        <v>45464</v>
      </c>
      <c r="B870" s="31">
        <v>5.0999999999999996</v>
      </c>
      <c r="C870" s="30">
        <v>4.7</v>
      </c>
      <c r="D870" s="30">
        <v>4.45</v>
      </c>
      <c r="E870" s="30">
        <v>4.2831999999999999</v>
      </c>
      <c r="F870" s="29">
        <v>4.26</v>
      </c>
      <c r="G870" s="159">
        <f t="shared" si="132"/>
        <v>0</v>
      </c>
      <c r="H870" s="154">
        <f t="shared" si="133"/>
        <v>0</v>
      </c>
      <c r="I870" s="154">
        <f t="shared" si="134"/>
        <v>0</v>
      </c>
      <c r="J870" s="154">
        <f t="shared" si="135"/>
        <v>2.6999999999999247E-5</v>
      </c>
      <c r="K870" s="160">
        <f t="shared" si="136"/>
        <v>0</v>
      </c>
      <c r="L870" s="161">
        <f t="shared" si="137"/>
        <v>0</v>
      </c>
      <c r="M870" s="155">
        <f t="shared" si="138"/>
        <v>0</v>
      </c>
      <c r="N870" s="155">
        <f t="shared" si="139"/>
        <v>0</v>
      </c>
      <c r="O870" s="155">
        <f t="shared" si="140"/>
        <v>6.3076743371093258E-4</v>
      </c>
      <c r="P870" s="162">
        <f t="shared" si="141"/>
        <v>0</v>
      </c>
    </row>
    <row r="871" spans="1:16">
      <c r="A871" s="319">
        <v>45467</v>
      </c>
      <c r="B871" s="31">
        <v>5.0999999999999996</v>
      </c>
      <c r="C871" s="30">
        <v>4.71</v>
      </c>
      <c r="D871" s="30">
        <v>4.46</v>
      </c>
      <c r="E871" s="30">
        <v>4.2851999999999997</v>
      </c>
      <c r="F871" s="29">
        <v>4.2699999999999996</v>
      </c>
      <c r="G871" s="159">
        <f t="shared" si="132"/>
        <v>0</v>
      </c>
      <c r="H871" s="154">
        <f t="shared" si="133"/>
        <v>9.9999999999997863E-5</v>
      </c>
      <c r="I871" s="154">
        <f t="shared" si="134"/>
        <v>9.9999999999997863E-5</v>
      </c>
      <c r="J871" s="154">
        <f t="shared" si="135"/>
        <v>1.9999999999997796E-5</v>
      </c>
      <c r="K871" s="160">
        <f t="shared" si="136"/>
        <v>9.9999999999997863E-5</v>
      </c>
      <c r="L871" s="161">
        <f t="shared" si="137"/>
        <v>0</v>
      </c>
      <c r="M871" s="155">
        <f t="shared" si="138"/>
        <v>2.1276595744681437E-3</v>
      </c>
      <c r="N871" s="155">
        <f t="shared" si="139"/>
        <v>2.2471910112358273E-3</v>
      </c>
      <c r="O871" s="155">
        <f t="shared" si="140"/>
        <v>4.6694060515495295E-4</v>
      </c>
      <c r="P871" s="162">
        <f t="shared" si="141"/>
        <v>2.3474178403755097E-3</v>
      </c>
    </row>
    <row r="872" spans="1:16">
      <c r="A872" s="319">
        <v>45468</v>
      </c>
      <c r="B872" s="31">
        <v>5.0999999999999996</v>
      </c>
      <c r="C872" s="30">
        <v>4.6500000000000004</v>
      </c>
      <c r="D872" s="30">
        <v>4.45</v>
      </c>
      <c r="E872" s="30">
        <v>4.2770999999999999</v>
      </c>
      <c r="F872" s="29">
        <v>4.25</v>
      </c>
      <c r="G872" s="159">
        <f t="shared" si="132"/>
        <v>0</v>
      </c>
      <c r="H872" s="154">
        <f t="shared" si="133"/>
        <v>-5.9999999999999604E-4</v>
      </c>
      <c r="I872" s="154">
        <f t="shared" si="134"/>
        <v>-9.9999999999997863E-5</v>
      </c>
      <c r="J872" s="154">
        <f t="shared" si="135"/>
        <v>-8.099999999999774E-5</v>
      </c>
      <c r="K872" s="160">
        <f t="shared" si="136"/>
        <v>-1.9999999999999573E-4</v>
      </c>
      <c r="L872" s="161">
        <f t="shared" si="137"/>
        <v>0</v>
      </c>
      <c r="M872" s="155">
        <f t="shared" si="138"/>
        <v>-1.27388535031846E-2</v>
      </c>
      <c r="N872" s="155">
        <f t="shared" si="139"/>
        <v>-2.2421524663677195E-3</v>
      </c>
      <c r="O872" s="155">
        <f t="shared" si="140"/>
        <v>-1.8902268272191769E-3</v>
      </c>
      <c r="P872" s="162">
        <f t="shared" si="141"/>
        <v>-4.6838407494144141E-3</v>
      </c>
    </row>
    <row r="873" spans="1:16">
      <c r="A873" s="319">
        <v>45469</v>
      </c>
      <c r="B873" s="31">
        <v>5.13</v>
      </c>
      <c r="C873" s="30">
        <v>4.71</v>
      </c>
      <c r="D873" s="30">
        <v>4.53</v>
      </c>
      <c r="E873" s="30">
        <v>4.3364000000000003</v>
      </c>
      <c r="F873" s="29">
        <v>4.32</v>
      </c>
      <c r="G873" s="159">
        <f t="shared" si="132"/>
        <v>3.0000000000000247E-4</v>
      </c>
      <c r="H873" s="154">
        <f t="shared" si="133"/>
        <v>5.9999999999999604E-4</v>
      </c>
      <c r="I873" s="154">
        <f t="shared" si="134"/>
        <v>8.0000000000000069E-4</v>
      </c>
      <c r="J873" s="154">
        <f t="shared" si="135"/>
        <v>5.9300000000000357E-4</v>
      </c>
      <c r="K873" s="160">
        <f t="shared" si="136"/>
        <v>7.0000000000000281E-4</v>
      </c>
      <c r="L873" s="161">
        <f t="shared" si="137"/>
        <v>5.8823529411764497E-3</v>
      </c>
      <c r="M873" s="155">
        <f t="shared" si="138"/>
        <v>1.2903225806451424E-2</v>
      </c>
      <c r="N873" s="155">
        <f t="shared" si="139"/>
        <v>1.7977528089887729E-2</v>
      </c>
      <c r="O873" s="155">
        <f t="shared" si="140"/>
        <v>1.3864534380772175E-2</v>
      </c>
      <c r="P873" s="162">
        <f t="shared" si="141"/>
        <v>1.6470588235294237E-2</v>
      </c>
    </row>
    <row r="874" spans="1:16">
      <c r="A874" s="319">
        <v>45470</v>
      </c>
      <c r="B874" s="31">
        <v>5.0999999999999996</v>
      </c>
      <c r="C874" s="30">
        <v>4.7</v>
      </c>
      <c r="D874" s="30">
        <v>4.49</v>
      </c>
      <c r="E874" s="30">
        <v>4.3232999999999997</v>
      </c>
      <c r="F874" s="29">
        <v>4.29</v>
      </c>
      <c r="G874" s="159">
        <f t="shared" si="132"/>
        <v>-3.0000000000000247E-4</v>
      </c>
      <c r="H874" s="154">
        <f t="shared" si="133"/>
        <v>-9.9999999999997863E-5</v>
      </c>
      <c r="I874" s="154">
        <f t="shared" si="134"/>
        <v>-4.0000000000000034E-4</v>
      </c>
      <c r="J874" s="154">
        <f t="shared" si="135"/>
        <v>-1.3100000000000557E-4</v>
      </c>
      <c r="K874" s="160">
        <f t="shared" si="136"/>
        <v>-3.0000000000000247E-4</v>
      </c>
      <c r="L874" s="161">
        <f t="shared" si="137"/>
        <v>-5.8479532163743242E-3</v>
      </c>
      <c r="M874" s="155">
        <f t="shared" si="138"/>
        <v>-2.1231422505307851E-3</v>
      </c>
      <c r="N874" s="155">
        <f t="shared" si="139"/>
        <v>-8.8300220750552327E-3</v>
      </c>
      <c r="O874" s="155">
        <f t="shared" si="140"/>
        <v>-3.0209390277651238E-3</v>
      </c>
      <c r="P874" s="162">
        <f t="shared" si="141"/>
        <v>-6.9444444444445308E-3</v>
      </c>
    </row>
    <row r="875" spans="1:16">
      <c r="A875" s="319">
        <v>45471</v>
      </c>
      <c r="B875" s="31">
        <v>5.09</v>
      </c>
      <c r="C875" s="30">
        <v>4.71</v>
      </c>
      <c r="D875" s="30">
        <v>4.5199999999999996</v>
      </c>
      <c r="E875" s="30">
        <v>4.3502000000000001</v>
      </c>
      <c r="F875" s="29">
        <v>4.33</v>
      </c>
      <c r="G875" s="159">
        <f t="shared" si="132"/>
        <v>-9.9999999999997863E-5</v>
      </c>
      <c r="H875" s="154">
        <f t="shared" si="133"/>
        <v>9.9999999999997863E-5</v>
      </c>
      <c r="I875" s="154">
        <f t="shared" si="134"/>
        <v>2.9999999999999363E-4</v>
      </c>
      <c r="J875" s="154">
        <f t="shared" si="135"/>
        <v>2.6900000000000367E-4</v>
      </c>
      <c r="K875" s="160">
        <f t="shared" si="136"/>
        <v>4.0000000000000034E-4</v>
      </c>
      <c r="L875" s="161">
        <f t="shared" si="137"/>
        <v>-1.9607843137254832E-3</v>
      </c>
      <c r="M875" s="155">
        <f t="shared" si="138"/>
        <v>2.1276595744681437E-3</v>
      </c>
      <c r="N875" s="155">
        <f t="shared" si="139"/>
        <v>6.6815144766145806E-3</v>
      </c>
      <c r="O875" s="155">
        <f t="shared" si="140"/>
        <v>6.2220988596675131E-3</v>
      </c>
      <c r="P875" s="162">
        <f t="shared" si="141"/>
        <v>9.3240093240092303E-3</v>
      </c>
    </row>
    <row r="876" spans="1:16">
      <c r="A876" s="319">
        <v>45474</v>
      </c>
      <c r="B876" s="31">
        <v>5.0999999999999996</v>
      </c>
      <c r="C876" s="30">
        <v>4.7699999999999996</v>
      </c>
      <c r="D876" s="30">
        <v>4.58</v>
      </c>
      <c r="E876" s="30">
        <v>4.4292999999999996</v>
      </c>
      <c r="F876" s="29">
        <v>4.4400000000000004</v>
      </c>
      <c r="G876" s="159">
        <f t="shared" si="132"/>
        <v>9.9999999999997863E-5</v>
      </c>
      <c r="H876" s="154">
        <f t="shared" si="133"/>
        <v>5.9999999999999604E-4</v>
      </c>
      <c r="I876" s="154">
        <f t="shared" si="134"/>
        <v>6.0000000000000493E-4</v>
      </c>
      <c r="J876" s="154">
        <f t="shared" si="135"/>
        <v>7.9099999999999505E-4</v>
      </c>
      <c r="K876" s="160">
        <f t="shared" si="136"/>
        <v>1.1000000000000031E-3</v>
      </c>
      <c r="L876" s="161">
        <f t="shared" si="137"/>
        <v>1.9646365422396617E-3</v>
      </c>
      <c r="M876" s="155">
        <f t="shared" si="138"/>
        <v>1.2738853503184711E-2</v>
      </c>
      <c r="N876" s="155">
        <f t="shared" si="139"/>
        <v>1.3274336283185972E-2</v>
      </c>
      <c r="O876" s="155">
        <f t="shared" si="140"/>
        <v>1.8183072042664561E-2</v>
      </c>
      <c r="P876" s="162">
        <f t="shared" si="141"/>
        <v>2.5404157043879882E-2</v>
      </c>
    </row>
    <row r="877" spans="1:16">
      <c r="A877" s="319">
        <v>45475</v>
      </c>
      <c r="B877" s="31">
        <v>5.07</v>
      </c>
      <c r="C877" s="30">
        <v>4.74</v>
      </c>
      <c r="D877" s="30">
        <v>4.54</v>
      </c>
      <c r="E877" s="30">
        <v>4.4062999999999999</v>
      </c>
      <c r="F877" s="29">
        <v>4.3899999999999997</v>
      </c>
      <c r="G877" s="159">
        <f t="shared" si="132"/>
        <v>-2.9999999999999363E-4</v>
      </c>
      <c r="H877" s="154">
        <f t="shared" si="133"/>
        <v>-2.9999999999999363E-4</v>
      </c>
      <c r="I877" s="154">
        <f t="shared" si="134"/>
        <v>-4.0000000000000034E-4</v>
      </c>
      <c r="J877" s="154">
        <f t="shared" si="135"/>
        <v>-2.2999999999999686E-4</v>
      </c>
      <c r="K877" s="160">
        <f t="shared" si="136"/>
        <v>-5.0000000000000706E-4</v>
      </c>
      <c r="L877" s="161">
        <f t="shared" si="137"/>
        <v>-5.8823529411763387E-3</v>
      </c>
      <c r="M877" s="155">
        <f t="shared" si="138"/>
        <v>-6.2893081761005165E-3</v>
      </c>
      <c r="N877" s="155">
        <f t="shared" si="139"/>
        <v>-8.733624454148492E-3</v>
      </c>
      <c r="O877" s="155">
        <f t="shared" si="140"/>
        <v>-5.1926941051633202E-3</v>
      </c>
      <c r="P877" s="162">
        <f t="shared" si="141"/>
        <v>-1.1261261261261368E-2</v>
      </c>
    </row>
    <row r="878" spans="1:16">
      <c r="A878" s="319">
        <v>45476</v>
      </c>
      <c r="B878" s="31">
        <v>5.04</v>
      </c>
      <c r="C878" s="30">
        <v>4.71</v>
      </c>
      <c r="D878" s="30">
        <v>4.4800000000000004</v>
      </c>
      <c r="E878" s="30">
        <v>4.3558000000000003</v>
      </c>
      <c r="F878" s="29">
        <v>4.33</v>
      </c>
      <c r="G878" s="159">
        <f t="shared" si="132"/>
        <v>-3.0000000000000247E-4</v>
      </c>
      <c r="H878" s="154">
        <f t="shared" si="133"/>
        <v>-3.0000000000000247E-4</v>
      </c>
      <c r="I878" s="154">
        <f t="shared" si="134"/>
        <v>-5.9999999999999604E-4</v>
      </c>
      <c r="J878" s="154">
        <f t="shared" si="135"/>
        <v>-5.0499999999999547E-4</v>
      </c>
      <c r="K878" s="160">
        <f t="shared" si="136"/>
        <v>-5.9999999999999604E-4</v>
      </c>
      <c r="L878" s="161">
        <f t="shared" si="137"/>
        <v>-5.9171597633136397E-3</v>
      </c>
      <c r="M878" s="155">
        <f t="shared" si="138"/>
        <v>-6.3291139240506666E-3</v>
      </c>
      <c r="N878" s="155">
        <f t="shared" si="139"/>
        <v>-1.3215859030836885E-2</v>
      </c>
      <c r="O878" s="155">
        <f t="shared" si="140"/>
        <v>-1.1460862855456888E-2</v>
      </c>
      <c r="P878" s="162">
        <f t="shared" si="141"/>
        <v>-1.3667425968109215E-2</v>
      </c>
    </row>
    <row r="879" spans="1:16">
      <c r="A879" s="319">
        <v>45478</v>
      </c>
      <c r="B879" s="31">
        <v>4.9800000000000004</v>
      </c>
      <c r="C879" s="30">
        <v>4.5999999999999996</v>
      </c>
      <c r="D879" s="30">
        <v>4.3899999999999997</v>
      </c>
      <c r="E879" s="30">
        <v>4.2633000000000001</v>
      </c>
      <c r="F879" s="29">
        <v>4.22</v>
      </c>
      <c r="G879" s="159">
        <f t="shared" si="132"/>
        <v>-5.9999999999999604E-4</v>
      </c>
      <c r="H879" s="154">
        <f t="shared" si="133"/>
        <v>-1.1000000000000031E-3</v>
      </c>
      <c r="I879" s="154">
        <f t="shared" si="134"/>
        <v>-9.0000000000000746E-4</v>
      </c>
      <c r="J879" s="154">
        <f t="shared" si="135"/>
        <v>-9.2500000000000253E-4</v>
      </c>
      <c r="K879" s="160">
        <f t="shared" si="136"/>
        <v>-1.1000000000000031E-3</v>
      </c>
      <c r="L879" s="161">
        <f t="shared" si="137"/>
        <v>-1.1904761904761862E-2</v>
      </c>
      <c r="M879" s="155">
        <f t="shared" si="138"/>
        <v>-2.3354564755838747E-2</v>
      </c>
      <c r="N879" s="155">
        <f t="shared" si="139"/>
        <v>-2.008928571428592E-2</v>
      </c>
      <c r="O879" s="155">
        <f t="shared" si="140"/>
        <v>-2.1236053078653838E-2</v>
      </c>
      <c r="P879" s="162">
        <f t="shared" si="141"/>
        <v>-2.5404157043879994E-2</v>
      </c>
    </row>
    <row r="880" spans="1:16">
      <c r="A880" s="319">
        <v>45481</v>
      </c>
      <c r="B880" s="31">
        <v>4.99</v>
      </c>
      <c r="C880" s="30">
        <v>4.62</v>
      </c>
      <c r="D880" s="30">
        <v>4.4000000000000004</v>
      </c>
      <c r="E880" s="30">
        <v>4.2450999999999999</v>
      </c>
      <c r="F880" s="29">
        <v>4.2300000000000004</v>
      </c>
      <c r="G880" s="159">
        <f t="shared" si="132"/>
        <v>9.9999999999997863E-5</v>
      </c>
      <c r="H880" s="154">
        <f t="shared" si="133"/>
        <v>2.0000000000000462E-4</v>
      </c>
      <c r="I880" s="154">
        <f t="shared" si="134"/>
        <v>1.0000000000000675E-4</v>
      </c>
      <c r="J880" s="154">
        <f t="shared" si="135"/>
        <v>-1.8200000000000215E-4</v>
      </c>
      <c r="K880" s="160">
        <f t="shared" si="136"/>
        <v>1.0000000000000675E-4</v>
      </c>
      <c r="L880" s="161">
        <f t="shared" si="137"/>
        <v>2.0080321285140812E-3</v>
      </c>
      <c r="M880" s="155">
        <f t="shared" si="138"/>
        <v>4.3478260869567187E-3</v>
      </c>
      <c r="N880" s="155">
        <f t="shared" si="139"/>
        <v>2.277904328018332E-3</v>
      </c>
      <c r="O880" s="155">
        <f t="shared" si="140"/>
        <v>-4.2689935026857251E-3</v>
      </c>
      <c r="P880" s="162">
        <f t="shared" si="141"/>
        <v>2.3696682464455776E-3</v>
      </c>
    </row>
    <row r="881" spans="1:16">
      <c r="A881" s="319">
        <v>45482</v>
      </c>
      <c r="B881" s="31">
        <v>5.0199999999999996</v>
      </c>
      <c r="C881" s="30">
        <v>4.62</v>
      </c>
      <c r="D881" s="30">
        <v>4.37</v>
      </c>
      <c r="E881" s="30">
        <v>4.2534000000000001</v>
      </c>
      <c r="F881" s="29">
        <v>4.24</v>
      </c>
      <c r="G881" s="159">
        <f t="shared" si="132"/>
        <v>2.9999999999999363E-4</v>
      </c>
      <c r="H881" s="154">
        <f t="shared" si="133"/>
        <v>0</v>
      </c>
      <c r="I881" s="154">
        <f t="shared" si="134"/>
        <v>-3.0000000000000247E-4</v>
      </c>
      <c r="J881" s="154">
        <f t="shared" si="135"/>
        <v>8.3000000000001963E-5</v>
      </c>
      <c r="K881" s="160">
        <f t="shared" si="136"/>
        <v>9.9999999999997863E-5</v>
      </c>
      <c r="L881" s="161">
        <f t="shared" si="137"/>
        <v>6.0120240480960874E-3</v>
      </c>
      <c r="M881" s="155">
        <f t="shared" si="138"/>
        <v>0</v>
      </c>
      <c r="N881" s="155">
        <f t="shared" si="139"/>
        <v>-6.8181818181818343E-3</v>
      </c>
      <c r="O881" s="155">
        <f t="shared" si="140"/>
        <v>1.9551954017573703E-3</v>
      </c>
      <c r="P881" s="162">
        <f t="shared" si="141"/>
        <v>2.3640661938533203E-3</v>
      </c>
    </row>
    <row r="882" spans="1:16">
      <c r="A882" s="319">
        <v>45483</v>
      </c>
      <c r="B882" s="31">
        <v>5.01</v>
      </c>
      <c r="C882" s="30">
        <v>4.62</v>
      </c>
      <c r="D882" s="30">
        <v>4.38</v>
      </c>
      <c r="E882" s="30">
        <v>4.2469999999999999</v>
      </c>
      <c r="F882" s="29">
        <v>4.24</v>
      </c>
      <c r="G882" s="159">
        <f t="shared" si="132"/>
        <v>-9.9999999999997863E-5</v>
      </c>
      <c r="H882" s="154">
        <f t="shared" si="133"/>
        <v>0</v>
      </c>
      <c r="I882" s="154">
        <f t="shared" si="134"/>
        <v>9.9999999999997863E-5</v>
      </c>
      <c r="J882" s="154">
        <f t="shared" si="135"/>
        <v>-6.4000000000001827E-5</v>
      </c>
      <c r="K882" s="160">
        <f t="shared" si="136"/>
        <v>0</v>
      </c>
      <c r="L882" s="161">
        <f t="shared" si="137"/>
        <v>-1.9920318725099584E-3</v>
      </c>
      <c r="M882" s="155">
        <f t="shared" si="138"/>
        <v>0</v>
      </c>
      <c r="N882" s="155">
        <f t="shared" si="139"/>
        <v>2.2883295194506825E-3</v>
      </c>
      <c r="O882" s="155">
        <f t="shared" si="140"/>
        <v>-1.5046786100532117E-3</v>
      </c>
      <c r="P882" s="162">
        <f t="shared" si="141"/>
        <v>0</v>
      </c>
    </row>
    <row r="883" spans="1:16">
      <c r="A883" s="319">
        <v>45484</v>
      </c>
      <c r="B883" s="31">
        <v>4.91</v>
      </c>
      <c r="C883" s="30">
        <v>4.5</v>
      </c>
      <c r="D883" s="30">
        <v>4.26</v>
      </c>
      <c r="E883" s="30">
        <v>4.1528999999999998</v>
      </c>
      <c r="F883" s="29">
        <v>4.13</v>
      </c>
      <c r="G883" s="159">
        <f t="shared" si="132"/>
        <v>-9.9999999999999655E-4</v>
      </c>
      <c r="H883" s="154">
        <f t="shared" si="133"/>
        <v>-1.200000000000001E-3</v>
      </c>
      <c r="I883" s="154">
        <f t="shared" si="134"/>
        <v>-1.200000000000001E-3</v>
      </c>
      <c r="J883" s="154">
        <f t="shared" si="135"/>
        <v>-9.4100000000000076E-4</v>
      </c>
      <c r="K883" s="160">
        <f t="shared" si="136"/>
        <v>-1.1000000000000031E-3</v>
      </c>
      <c r="L883" s="161">
        <f t="shared" si="137"/>
        <v>-1.9960079840319334E-2</v>
      </c>
      <c r="M883" s="155">
        <f t="shared" si="138"/>
        <v>-2.5974025974025983E-2</v>
      </c>
      <c r="N883" s="155">
        <f t="shared" si="139"/>
        <v>-2.7397260273972601E-2</v>
      </c>
      <c r="O883" s="155">
        <f t="shared" si="140"/>
        <v>-2.215681657640689E-2</v>
      </c>
      <c r="P883" s="162">
        <f t="shared" si="141"/>
        <v>-2.5943396226415172E-2</v>
      </c>
    </row>
    <row r="884" spans="1:16">
      <c r="A884" s="319">
        <v>45485</v>
      </c>
      <c r="B884" s="31">
        <v>4.87</v>
      </c>
      <c r="C884" s="30">
        <v>4.45</v>
      </c>
      <c r="D884" s="30">
        <v>4.22</v>
      </c>
      <c r="E884" s="30">
        <v>4.1069000000000004</v>
      </c>
      <c r="F884" s="29">
        <v>4.0999999999999996</v>
      </c>
      <c r="G884" s="159">
        <f t="shared" si="132"/>
        <v>-4.0000000000000034E-4</v>
      </c>
      <c r="H884" s="154">
        <f t="shared" si="133"/>
        <v>-4.9999999999999828E-4</v>
      </c>
      <c r="I884" s="154">
        <f t="shared" si="134"/>
        <v>-4.0000000000000034E-4</v>
      </c>
      <c r="J884" s="154">
        <f t="shared" si="135"/>
        <v>-4.5999999999999373E-4</v>
      </c>
      <c r="K884" s="160">
        <f t="shared" si="136"/>
        <v>-3.0000000000000247E-4</v>
      </c>
      <c r="L884" s="161">
        <f t="shared" si="137"/>
        <v>-8.1466395112016476E-3</v>
      </c>
      <c r="M884" s="155">
        <f t="shared" si="138"/>
        <v>-1.1111111111111072E-2</v>
      </c>
      <c r="N884" s="155">
        <f t="shared" si="139"/>
        <v>-9.3896713615023719E-3</v>
      </c>
      <c r="O884" s="155">
        <f t="shared" si="140"/>
        <v>-1.1076597076741357E-2</v>
      </c>
      <c r="P884" s="162">
        <f t="shared" si="141"/>
        <v>-7.2639225181598821E-3</v>
      </c>
    </row>
    <row r="885" spans="1:16">
      <c r="A885" s="319">
        <v>45488</v>
      </c>
      <c r="B885" s="31">
        <v>4.8499999999999996</v>
      </c>
      <c r="C885" s="30">
        <v>4.4400000000000004</v>
      </c>
      <c r="D885" s="30">
        <v>4.2300000000000004</v>
      </c>
      <c r="E885" s="30">
        <v>4.1113999999999997</v>
      </c>
      <c r="F885" s="29">
        <v>4.13</v>
      </c>
      <c r="G885" s="159">
        <f t="shared" si="132"/>
        <v>-2.0000000000000462E-4</v>
      </c>
      <c r="H885" s="154">
        <f t="shared" si="133"/>
        <v>-9.9999999999997863E-5</v>
      </c>
      <c r="I885" s="154">
        <f t="shared" si="134"/>
        <v>1.0000000000000675E-4</v>
      </c>
      <c r="J885" s="154">
        <f t="shared" si="135"/>
        <v>4.4999999999992827E-5</v>
      </c>
      <c r="K885" s="160">
        <f t="shared" si="136"/>
        <v>3.0000000000000247E-4</v>
      </c>
      <c r="L885" s="161">
        <f t="shared" si="137"/>
        <v>-4.1067761806982128E-3</v>
      </c>
      <c r="M885" s="155">
        <f t="shared" si="138"/>
        <v>-2.2471910112359383E-3</v>
      </c>
      <c r="N885" s="155">
        <f t="shared" si="139"/>
        <v>2.3696682464455776E-3</v>
      </c>
      <c r="O885" s="155">
        <f t="shared" si="140"/>
        <v>1.0957169641334641E-3</v>
      </c>
      <c r="P885" s="162">
        <f t="shared" si="141"/>
        <v>7.3170731707317138E-3</v>
      </c>
    </row>
    <row r="886" spans="1:16">
      <c r="A886" s="319">
        <v>45489</v>
      </c>
      <c r="B886" s="31">
        <v>4.8499999999999996</v>
      </c>
      <c r="C886" s="30">
        <v>4.43</v>
      </c>
      <c r="D886" s="30">
        <v>4.21</v>
      </c>
      <c r="E886" s="30">
        <v>4.0754000000000001</v>
      </c>
      <c r="F886" s="29">
        <v>4.09</v>
      </c>
      <c r="G886" s="159">
        <f t="shared" si="132"/>
        <v>0</v>
      </c>
      <c r="H886" s="154">
        <f t="shared" si="133"/>
        <v>-1.0000000000000675E-4</v>
      </c>
      <c r="I886" s="154">
        <f t="shared" si="134"/>
        <v>-2.0000000000000462E-4</v>
      </c>
      <c r="J886" s="154">
        <f t="shared" si="135"/>
        <v>-3.599999999999959E-4</v>
      </c>
      <c r="K886" s="160">
        <f t="shared" si="136"/>
        <v>-4.0000000000000034E-4</v>
      </c>
      <c r="L886" s="161">
        <f t="shared" si="137"/>
        <v>0</v>
      </c>
      <c r="M886" s="155">
        <f t="shared" si="138"/>
        <v>-2.2522522522524513E-3</v>
      </c>
      <c r="N886" s="155">
        <f t="shared" si="139"/>
        <v>-4.7281323877069736E-3</v>
      </c>
      <c r="O886" s="155">
        <f t="shared" si="140"/>
        <v>-8.7561414603297694E-3</v>
      </c>
      <c r="P886" s="162">
        <f t="shared" si="141"/>
        <v>-9.6852300242130651E-3</v>
      </c>
    </row>
    <row r="887" spans="1:16">
      <c r="A887" s="319">
        <v>45490</v>
      </c>
      <c r="B887" s="31">
        <v>4.8499999999999996</v>
      </c>
      <c r="C887" s="30">
        <v>4.42</v>
      </c>
      <c r="D887" s="30">
        <v>4.1900000000000004</v>
      </c>
      <c r="E887" s="30">
        <v>4.0576999999999996</v>
      </c>
      <c r="F887" s="29">
        <v>4.07</v>
      </c>
      <c r="G887" s="159">
        <f t="shared" si="132"/>
        <v>0</v>
      </c>
      <c r="H887" s="154">
        <f t="shared" si="133"/>
        <v>-9.9999999999997863E-5</v>
      </c>
      <c r="I887" s="154">
        <f t="shared" si="134"/>
        <v>-1.9999999999999573E-4</v>
      </c>
      <c r="J887" s="154">
        <f t="shared" si="135"/>
        <v>-1.7700000000000493E-4</v>
      </c>
      <c r="K887" s="160">
        <f t="shared" si="136"/>
        <v>-1.9999999999999573E-4</v>
      </c>
      <c r="L887" s="161">
        <f t="shared" si="137"/>
        <v>0</v>
      </c>
      <c r="M887" s="155">
        <f t="shared" si="138"/>
        <v>-2.2573363431150906E-3</v>
      </c>
      <c r="N887" s="155">
        <f t="shared" si="139"/>
        <v>-4.7505938242279333E-3</v>
      </c>
      <c r="O887" s="155">
        <f t="shared" si="140"/>
        <v>-4.3431319625069076E-3</v>
      </c>
      <c r="P887" s="162">
        <f t="shared" si="141"/>
        <v>-4.8899755501221609E-3</v>
      </c>
    </row>
    <row r="888" spans="1:16">
      <c r="A888" s="319">
        <v>45491</v>
      </c>
      <c r="B888" s="31">
        <v>4.8600000000000003</v>
      </c>
      <c r="C888" s="30">
        <v>4.46</v>
      </c>
      <c r="D888" s="30">
        <v>4.24</v>
      </c>
      <c r="E888" s="30">
        <v>4.0864000000000003</v>
      </c>
      <c r="F888" s="29">
        <v>4.1100000000000003</v>
      </c>
      <c r="G888" s="159">
        <f t="shared" si="132"/>
        <v>1.0000000000000675E-4</v>
      </c>
      <c r="H888" s="154">
        <f t="shared" si="133"/>
        <v>4.0000000000000034E-4</v>
      </c>
      <c r="I888" s="154">
        <f t="shared" si="134"/>
        <v>4.9999999999999828E-4</v>
      </c>
      <c r="J888" s="154">
        <f t="shared" si="135"/>
        <v>2.8700000000000616E-4</v>
      </c>
      <c r="K888" s="160">
        <f t="shared" si="136"/>
        <v>4.0000000000000034E-4</v>
      </c>
      <c r="L888" s="161">
        <f t="shared" si="137"/>
        <v>2.0618556701033075E-3</v>
      </c>
      <c r="M888" s="155">
        <f t="shared" si="138"/>
        <v>9.0497737556560764E-3</v>
      </c>
      <c r="N888" s="155">
        <f t="shared" si="139"/>
        <v>1.193317422434359E-2</v>
      </c>
      <c r="O888" s="155">
        <f t="shared" si="140"/>
        <v>7.0729723735123429E-3</v>
      </c>
      <c r="P888" s="162">
        <f t="shared" si="141"/>
        <v>9.8280098280099093E-3</v>
      </c>
    </row>
    <row r="889" spans="1:16">
      <c r="A889" s="319">
        <v>45492</v>
      </c>
      <c r="B889" s="31">
        <v>4.87</v>
      </c>
      <c r="C889" s="30">
        <v>4.49</v>
      </c>
      <c r="D889" s="30">
        <v>4.28</v>
      </c>
      <c r="E889" s="30">
        <v>4.1223000000000001</v>
      </c>
      <c r="F889" s="29">
        <v>4.16</v>
      </c>
      <c r="G889" s="159">
        <f t="shared" si="132"/>
        <v>9.9999999999997863E-5</v>
      </c>
      <c r="H889" s="154">
        <f t="shared" si="133"/>
        <v>3.0000000000000247E-4</v>
      </c>
      <c r="I889" s="154">
        <f t="shared" si="134"/>
        <v>4.0000000000000034E-4</v>
      </c>
      <c r="J889" s="154">
        <f t="shared" si="135"/>
        <v>3.5899999999999821E-4</v>
      </c>
      <c r="K889" s="160">
        <f t="shared" si="136"/>
        <v>4.9999999999999828E-4</v>
      </c>
      <c r="L889" s="161">
        <f t="shared" si="137"/>
        <v>2.057613168724215E-3</v>
      </c>
      <c r="M889" s="155">
        <f t="shared" si="138"/>
        <v>6.7264573991032695E-3</v>
      </c>
      <c r="N889" s="155">
        <f t="shared" si="139"/>
        <v>9.4339622641510523E-3</v>
      </c>
      <c r="O889" s="155">
        <f t="shared" si="140"/>
        <v>8.7852388410336602E-3</v>
      </c>
      <c r="P889" s="162">
        <f t="shared" si="141"/>
        <v>1.2165450121654375E-2</v>
      </c>
    </row>
    <row r="890" spans="1:16">
      <c r="A890" s="319">
        <v>45495</v>
      </c>
      <c r="B890" s="31">
        <v>4.88</v>
      </c>
      <c r="C890" s="30">
        <v>4.5</v>
      </c>
      <c r="D890" s="30">
        <v>4.29</v>
      </c>
      <c r="E890" s="30">
        <v>4.1402999999999999</v>
      </c>
      <c r="F890" s="29">
        <v>4.17</v>
      </c>
      <c r="G890" s="159">
        <f t="shared" si="132"/>
        <v>9.9999999999997863E-5</v>
      </c>
      <c r="H890" s="154">
        <f t="shared" si="133"/>
        <v>9.9999999999997863E-5</v>
      </c>
      <c r="I890" s="154">
        <f t="shared" si="134"/>
        <v>9.9999999999997863E-5</v>
      </c>
      <c r="J890" s="154">
        <f t="shared" si="135"/>
        <v>1.7999999999999795E-4</v>
      </c>
      <c r="K890" s="160">
        <f t="shared" si="136"/>
        <v>9.9999999999997863E-5</v>
      </c>
      <c r="L890" s="161">
        <f t="shared" si="137"/>
        <v>2.0533880903490509E-3</v>
      </c>
      <c r="M890" s="155">
        <f t="shared" si="138"/>
        <v>2.2271714922048602E-3</v>
      </c>
      <c r="N890" s="155">
        <f t="shared" si="139"/>
        <v>2.3364485981307581E-3</v>
      </c>
      <c r="O890" s="155">
        <f t="shared" si="140"/>
        <v>4.3664944327195254E-3</v>
      </c>
      <c r="P890" s="162">
        <f t="shared" si="141"/>
        <v>2.4038461538460343E-3</v>
      </c>
    </row>
    <row r="891" spans="1:16">
      <c r="A891" s="319">
        <v>45496</v>
      </c>
      <c r="B891" s="31">
        <v>4.8499999999999996</v>
      </c>
      <c r="C891" s="30">
        <v>4.4000000000000004</v>
      </c>
      <c r="D891" s="30">
        <v>4.26</v>
      </c>
      <c r="E891" s="30">
        <v>4.1231999999999998</v>
      </c>
      <c r="F891" s="29">
        <v>4.1500000000000004</v>
      </c>
      <c r="G891" s="159">
        <f t="shared" si="132"/>
        <v>-3.0000000000000247E-4</v>
      </c>
      <c r="H891" s="154">
        <f t="shared" si="133"/>
        <v>-9.9999999999999655E-4</v>
      </c>
      <c r="I891" s="154">
        <f t="shared" si="134"/>
        <v>-3.0000000000000247E-4</v>
      </c>
      <c r="J891" s="154">
        <f t="shared" si="135"/>
        <v>-1.7100000000000115E-4</v>
      </c>
      <c r="K891" s="160">
        <f t="shared" si="136"/>
        <v>-1.9999999999999573E-4</v>
      </c>
      <c r="L891" s="161">
        <f t="shared" si="137"/>
        <v>-6.147540983606592E-3</v>
      </c>
      <c r="M891" s="155">
        <f t="shared" si="138"/>
        <v>-2.2222222222222143E-2</v>
      </c>
      <c r="N891" s="155">
        <f t="shared" si="139"/>
        <v>-6.9930069930070893E-3</v>
      </c>
      <c r="O891" s="155">
        <f t="shared" si="140"/>
        <v>-4.1301354974278004E-3</v>
      </c>
      <c r="P891" s="162">
        <f t="shared" si="141"/>
        <v>-4.7961630695442237E-3</v>
      </c>
    </row>
    <row r="892" spans="1:16">
      <c r="A892" s="319">
        <v>45497</v>
      </c>
      <c r="B892" s="31">
        <v>4.82</v>
      </c>
      <c r="C892" s="30">
        <v>4.37</v>
      </c>
      <c r="D892" s="30">
        <v>4.24</v>
      </c>
      <c r="E892" s="30">
        <v>4.1169000000000002</v>
      </c>
      <c r="F892" s="29">
        <v>4.12</v>
      </c>
      <c r="G892" s="159">
        <f t="shared" si="132"/>
        <v>-2.9999999999999363E-4</v>
      </c>
      <c r="H892" s="154">
        <f t="shared" si="133"/>
        <v>-3.0000000000000247E-4</v>
      </c>
      <c r="I892" s="154">
        <f t="shared" si="134"/>
        <v>-1.9999999999999573E-4</v>
      </c>
      <c r="J892" s="154">
        <f t="shared" si="135"/>
        <v>-6.2999999999995284E-5</v>
      </c>
      <c r="K892" s="160">
        <f t="shared" si="136"/>
        <v>-3.0000000000000247E-4</v>
      </c>
      <c r="L892" s="161">
        <f t="shared" si="137"/>
        <v>-6.1855670103091454E-3</v>
      </c>
      <c r="M892" s="155">
        <f t="shared" si="138"/>
        <v>-6.8181818181818343E-3</v>
      </c>
      <c r="N892" s="155">
        <f t="shared" si="139"/>
        <v>-4.6948356807510194E-3</v>
      </c>
      <c r="O892" s="155">
        <f t="shared" si="140"/>
        <v>-1.5279394644934774E-3</v>
      </c>
      <c r="P892" s="162">
        <f t="shared" si="141"/>
        <v>-7.2289156626507145E-3</v>
      </c>
    </row>
    <row r="893" spans="1:16">
      <c r="A893" s="319">
        <v>45498</v>
      </c>
      <c r="B893" s="31">
        <v>4.83</v>
      </c>
      <c r="C893" s="30">
        <v>4.41</v>
      </c>
      <c r="D893" s="30">
        <v>4.26</v>
      </c>
      <c r="E893" s="30">
        <v>4.1200999999999999</v>
      </c>
      <c r="F893" s="29">
        <v>4.13</v>
      </c>
      <c r="G893" s="159">
        <f t="shared" si="132"/>
        <v>9.9999999999997863E-5</v>
      </c>
      <c r="H893" s="154">
        <f t="shared" si="133"/>
        <v>4.0000000000000034E-4</v>
      </c>
      <c r="I893" s="154">
        <f t="shared" si="134"/>
        <v>1.9999999999999573E-4</v>
      </c>
      <c r="J893" s="154">
        <f t="shared" si="135"/>
        <v>3.1999999999996475E-5</v>
      </c>
      <c r="K893" s="160">
        <f t="shared" si="136"/>
        <v>9.9999999999997863E-5</v>
      </c>
      <c r="L893" s="161">
        <f t="shared" si="137"/>
        <v>2.0746887966804906E-3</v>
      </c>
      <c r="M893" s="155">
        <f t="shared" si="138"/>
        <v>9.1533180778031742E-3</v>
      </c>
      <c r="N893" s="155">
        <f t="shared" si="139"/>
        <v>4.7169811320753041E-3</v>
      </c>
      <c r="O893" s="155">
        <f t="shared" si="140"/>
        <v>7.7728387864639537E-4</v>
      </c>
      <c r="P893" s="162">
        <f t="shared" si="141"/>
        <v>2.4271844660193054E-3</v>
      </c>
    </row>
    <row r="894" spans="1:16">
      <c r="A894" s="319">
        <v>45499</v>
      </c>
      <c r="B894" s="31">
        <v>4.79</v>
      </c>
      <c r="C894" s="30">
        <v>4.3600000000000003</v>
      </c>
      <c r="D894" s="30">
        <v>4.2</v>
      </c>
      <c r="E894" s="30">
        <v>4.0652999999999997</v>
      </c>
      <c r="F894" s="29">
        <v>4.0599999999999996</v>
      </c>
      <c r="G894" s="159">
        <f t="shared" si="132"/>
        <v>-4.0000000000000034E-4</v>
      </c>
      <c r="H894" s="154">
        <f t="shared" si="133"/>
        <v>-4.9999999999999828E-4</v>
      </c>
      <c r="I894" s="154">
        <f t="shared" si="134"/>
        <v>-5.9999999999999604E-4</v>
      </c>
      <c r="J894" s="154">
        <f t="shared" si="135"/>
        <v>-5.4800000000000183E-4</v>
      </c>
      <c r="K894" s="160">
        <f t="shared" si="136"/>
        <v>-7.0000000000000281E-4</v>
      </c>
      <c r="L894" s="161">
        <f t="shared" si="137"/>
        <v>-8.281573498964856E-3</v>
      </c>
      <c r="M894" s="155">
        <f t="shared" si="138"/>
        <v>-1.1337868480725599E-2</v>
      </c>
      <c r="N894" s="155">
        <f t="shared" si="139"/>
        <v>-1.4084507042253391E-2</v>
      </c>
      <c r="O894" s="155">
        <f t="shared" si="140"/>
        <v>-1.3300648042523289E-2</v>
      </c>
      <c r="P894" s="162">
        <f t="shared" si="141"/>
        <v>-1.6949152542372947E-2</v>
      </c>
    </row>
    <row r="895" spans="1:16">
      <c r="A895" s="319">
        <v>45502</v>
      </c>
      <c r="B895" s="31">
        <v>4.79</v>
      </c>
      <c r="C895" s="30">
        <v>4.3600000000000003</v>
      </c>
      <c r="D895" s="30">
        <v>4.1900000000000004</v>
      </c>
      <c r="E895" s="30">
        <v>4.0404999999999998</v>
      </c>
      <c r="F895" s="29">
        <v>4.05</v>
      </c>
      <c r="G895" s="159">
        <f t="shared" si="132"/>
        <v>0</v>
      </c>
      <c r="H895" s="154">
        <f t="shared" si="133"/>
        <v>0</v>
      </c>
      <c r="I895" s="154">
        <f t="shared" si="134"/>
        <v>-9.9999999999997863E-5</v>
      </c>
      <c r="J895" s="154">
        <f t="shared" si="135"/>
        <v>-2.4799999999999931E-4</v>
      </c>
      <c r="K895" s="160">
        <f t="shared" si="136"/>
        <v>-9.9999999999997863E-5</v>
      </c>
      <c r="L895" s="161">
        <f t="shared" si="137"/>
        <v>0</v>
      </c>
      <c r="M895" s="155">
        <f t="shared" si="138"/>
        <v>0</v>
      </c>
      <c r="N895" s="155">
        <f t="shared" si="139"/>
        <v>-2.3809523809523725E-3</v>
      </c>
      <c r="O895" s="155">
        <f t="shared" si="140"/>
        <v>-6.100410793791311E-3</v>
      </c>
      <c r="P895" s="162">
        <f t="shared" si="141"/>
        <v>-2.4630541871920597E-3</v>
      </c>
    </row>
    <row r="896" spans="1:16">
      <c r="A896" s="319">
        <v>45503</v>
      </c>
      <c r="B896" s="31">
        <v>4.78</v>
      </c>
      <c r="C896" s="30">
        <v>4.3499999999999996</v>
      </c>
      <c r="D896" s="30">
        <v>4.16</v>
      </c>
      <c r="E896" s="30">
        <v>4.0149999999999997</v>
      </c>
      <c r="F896" s="29">
        <v>4.03</v>
      </c>
      <c r="G896" s="159">
        <f t="shared" si="132"/>
        <v>-9.9999999999997863E-5</v>
      </c>
      <c r="H896" s="154">
        <f t="shared" si="133"/>
        <v>-1.0000000000000675E-4</v>
      </c>
      <c r="I896" s="154">
        <f t="shared" si="134"/>
        <v>-3.0000000000000247E-4</v>
      </c>
      <c r="J896" s="154">
        <f t="shared" si="135"/>
        <v>-2.5500000000000078E-4</v>
      </c>
      <c r="K896" s="160">
        <f t="shared" si="136"/>
        <v>-1.9999999999999573E-4</v>
      </c>
      <c r="L896" s="161">
        <f t="shared" si="137"/>
        <v>-2.0876826722338038E-3</v>
      </c>
      <c r="M896" s="155">
        <f t="shared" si="138"/>
        <v>-2.2935779816515289E-3</v>
      </c>
      <c r="N896" s="155">
        <f t="shared" si="139"/>
        <v>-7.1599045346062429E-3</v>
      </c>
      <c r="O896" s="155">
        <f t="shared" si="140"/>
        <v>-6.3111001113723697E-3</v>
      </c>
      <c r="P896" s="162">
        <f t="shared" si="141"/>
        <v>-4.9382716049382047E-3</v>
      </c>
    </row>
    <row r="897" spans="1:16">
      <c r="A897" s="319">
        <v>45504</v>
      </c>
      <c r="B897" s="31">
        <v>4.7300000000000004</v>
      </c>
      <c r="C897" s="30">
        <v>4.29</v>
      </c>
      <c r="D897" s="30">
        <v>4.0999999999999996</v>
      </c>
      <c r="E897" s="30">
        <v>3.9571999999999998</v>
      </c>
      <c r="F897" s="29">
        <v>3.97</v>
      </c>
      <c r="G897" s="159">
        <f t="shared" si="132"/>
        <v>-4.9999999999999828E-4</v>
      </c>
      <c r="H897" s="154">
        <f t="shared" si="133"/>
        <v>-5.9999999999999604E-4</v>
      </c>
      <c r="I897" s="154">
        <f t="shared" si="134"/>
        <v>-6.0000000000000493E-4</v>
      </c>
      <c r="J897" s="154">
        <f t="shared" si="135"/>
        <v>-5.7799999999999855E-4</v>
      </c>
      <c r="K897" s="160">
        <f t="shared" si="136"/>
        <v>-6.0000000000000049E-4</v>
      </c>
      <c r="L897" s="161">
        <f t="shared" si="137"/>
        <v>-1.0460251046025104E-2</v>
      </c>
      <c r="M897" s="155">
        <f t="shared" si="138"/>
        <v>-1.3793103448275779E-2</v>
      </c>
      <c r="N897" s="155">
        <f t="shared" si="139"/>
        <v>-1.4423076923077094E-2</v>
      </c>
      <c r="O897" s="155">
        <f t="shared" si="140"/>
        <v>-1.4396014943960145E-2</v>
      </c>
      <c r="P897" s="162">
        <f t="shared" si="141"/>
        <v>-1.488833746898266E-2</v>
      </c>
    </row>
    <row r="898" spans="1:16">
      <c r="A898" s="319">
        <v>45505</v>
      </c>
      <c r="B898" s="31">
        <v>4.62</v>
      </c>
      <c r="C898" s="30">
        <v>4.16</v>
      </c>
      <c r="D898" s="30">
        <v>3.96</v>
      </c>
      <c r="E898" s="30">
        <v>3.8409</v>
      </c>
      <c r="F898" s="29">
        <v>3.84</v>
      </c>
      <c r="G898" s="159">
        <f t="shared" si="132"/>
        <v>-1.1000000000000031E-3</v>
      </c>
      <c r="H898" s="154">
        <f t="shared" si="133"/>
        <v>-1.2999999999999989E-3</v>
      </c>
      <c r="I898" s="154">
        <f t="shared" si="134"/>
        <v>-1.3999999999999967E-3</v>
      </c>
      <c r="J898" s="154">
        <f t="shared" si="135"/>
        <v>-1.1629999999999985E-3</v>
      </c>
      <c r="K898" s="160">
        <f t="shared" si="136"/>
        <v>-1.3000000000000034E-3</v>
      </c>
      <c r="L898" s="161">
        <f t="shared" si="137"/>
        <v>-2.3255813953488413E-2</v>
      </c>
      <c r="M898" s="155">
        <f t="shared" si="138"/>
        <v>-3.0303030303030276E-2</v>
      </c>
      <c r="N898" s="155">
        <f t="shared" si="139"/>
        <v>-3.4146341463414553E-2</v>
      </c>
      <c r="O898" s="155">
        <f t="shared" si="140"/>
        <v>-2.9389467300111161E-2</v>
      </c>
      <c r="P898" s="162">
        <f t="shared" si="141"/>
        <v>-3.2745591939546737E-2</v>
      </c>
    </row>
    <row r="899" spans="1:16">
      <c r="A899" s="319">
        <v>45506</v>
      </c>
      <c r="B899" s="31">
        <v>4.33</v>
      </c>
      <c r="C899" s="30">
        <v>3.88</v>
      </c>
      <c r="D899" s="30">
        <v>3.7</v>
      </c>
      <c r="E899" s="30">
        <v>3.6073</v>
      </c>
      <c r="F899" s="29">
        <v>3.62</v>
      </c>
      <c r="G899" s="159">
        <f t="shared" si="132"/>
        <v>-2.9000000000000002E-3</v>
      </c>
      <c r="H899" s="154">
        <f t="shared" si="133"/>
        <v>-2.8000000000000026E-3</v>
      </c>
      <c r="I899" s="154">
        <f t="shared" si="134"/>
        <v>-2.5999999999999977E-3</v>
      </c>
      <c r="J899" s="154">
        <f t="shared" si="135"/>
        <v>-2.3360000000000004E-3</v>
      </c>
      <c r="K899" s="160">
        <f t="shared" si="136"/>
        <v>-2.1999999999999975E-3</v>
      </c>
      <c r="L899" s="161">
        <f t="shared" si="137"/>
        <v>-6.277056277056281E-2</v>
      </c>
      <c r="M899" s="155">
        <f t="shared" si="138"/>
        <v>-6.7307692307692402E-2</v>
      </c>
      <c r="N899" s="155">
        <f t="shared" si="139"/>
        <v>-6.5656565656565635E-2</v>
      </c>
      <c r="O899" s="155">
        <f t="shared" si="140"/>
        <v>-6.0819078861725107E-2</v>
      </c>
      <c r="P899" s="162">
        <f t="shared" si="141"/>
        <v>-5.729166666666663E-2</v>
      </c>
    </row>
    <row r="900" spans="1:16">
      <c r="A900" s="319">
        <v>45509</v>
      </c>
      <c r="B900" s="31">
        <v>4.34</v>
      </c>
      <c r="C900" s="30">
        <v>3.89</v>
      </c>
      <c r="D900" s="30">
        <v>3.71</v>
      </c>
      <c r="E900" s="30">
        <v>3.5596999999999999</v>
      </c>
      <c r="F900" s="29">
        <v>3.62</v>
      </c>
      <c r="G900" s="159">
        <f t="shared" ref="G900:G963" si="142">(B900-B899)/100</f>
        <v>9.9999999999997863E-5</v>
      </c>
      <c r="H900" s="154">
        <f t="shared" ref="H900:H963" si="143">(C900-C899)/100</f>
        <v>1.0000000000000231E-4</v>
      </c>
      <c r="I900" s="154">
        <f t="shared" ref="I900:I963" si="144">(D900-D899)/100</f>
        <v>9.9999999999997863E-5</v>
      </c>
      <c r="J900" s="154">
        <f t="shared" ref="J900:J963" si="145">(E900-E899)/100</f>
        <v>-4.7600000000000089E-4</v>
      </c>
      <c r="K900" s="160">
        <f t="shared" ref="K900:K963" si="146">(F900-F899)/100</f>
        <v>0</v>
      </c>
      <c r="L900" s="161">
        <f t="shared" ref="L900:L963" si="147">(B900/B899)-1</f>
        <v>2.3094688221707571E-3</v>
      </c>
      <c r="M900" s="155">
        <f t="shared" ref="M900:M963" si="148">(C900/C899)-1</f>
        <v>2.5773195876288568E-3</v>
      </c>
      <c r="N900" s="155">
        <f t="shared" ref="N900:N963" si="149">(D900/D899)-1</f>
        <v>2.7027027027026751E-3</v>
      </c>
      <c r="O900" s="155">
        <f t="shared" ref="O900:O963" si="150">(E900/E899)-1</f>
        <v>-1.3195464752030595E-2</v>
      </c>
      <c r="P900" s="162">
        <f t="shared" ref="P900:P963" si="151">(F900/F899)-1</f>
        <v>0</v>
      </c>
    </row>
    <row r="901" spans="1:16">
      <c r="A901" s="319">
        <v>45510</v>
      </c>
      <c r="B901" s="31">
        <v>4.46</v>
      </c>
      <c r="C901" s="30">
        <v>3.99</v>
      </c>
      <c r="D901" s="30">
        <v>3.76</v>
      </c>
      <c r="E901" s="30">
        <v>3.6419999999999999</v>
      </c>
      <c r="F901" s="29">
        <v>3.73</v>
      </c>
      <c r="G901" s="159">
        <f t="shared" si="142"/>
        <v>1.200000000000001E-3</v>
      </c>
      <c r="H901" s="154">
        <f t="shared" si="143"/>
        <v>1.0000000000000009E-3</v>
      </c>
      <c r="I901" s="154">
        <f t="shared" si="144"/>
        <v>4.9999999999999828E-4</v>
      </c>
      <c r="J901" s="154">
        <f t="shared" si="145"/>
        <v>8.2300000000000038E-4</v>
      </c>
      <c r="K901" s="160">
        <f t="shared" si="146"/>
        <v>1.0999999999999988E-3</v>
      </c>
      <c r="L901" s="161">
        <f t="shared" si="147"/>
        <v>2.7649769585253559E-2</v>
      </c>
      <c r="M901" s="155">
        <f t="shared" si="148"/>
        <v>2.5706940874036022E-2</v>
      </c>
      <c r="N901" s="155">
        <f t="shared" si="149"/>
        <v>1.3477088948786964E-2</v>
      </c>
      <c r="O901" s="155">
        <f t="shared" si="150"/>
        <v>2.3119925836446953E-2</v>
      </c>
      <c r="P901" s="162">
        <f t="shared" si="151"/>
        <v>3.0386740331491691E-2</v>
      </c>
    </row>
    <row r="902" spans="1:16">
      <c r="A902" s="319">
        <v>45511</v>
      </c>
      <c r="B902" s="31">
        <v>4.45</v>
      </c>
      <c r="C902" s="30">
        <v>4</v>
      </c>
      <c r="D902" s="30">
        <v>3.81</v>
      </c>
      <c r="E902" s="30">
        <v>3.6956000000000002</v>
      </c>
      <c r="F902" s="29">
        <v>3.79</v>
      </c>
      <c r="G902" s="159">
        <f t="shared" si="142"/>
        <v>-9.9999999999997863E-5</v>
      </c>
      <c r="H902" s="154">
        <f t="shared" si="143"/>
        <v>9.9999999999997863E-5</v>
      </c>
      <c r="I902" s="154">
        <f t="shared" si="144"/>
        <v>5.0000000000000261E-4</v>
      </c>
      <c r="J902" s="154">
        <f t="shared" si="145"/>
        <v>5.3600000000000316E-4</v>
      </c>
      <c r="K902" s="160">
        <f t="shared" si="146"/>
        <v>6.0000000000000049E-4</v>
      </c>
      <c r="L902" s="161">
        <f t="shared" si="147"/>
        <v>-2.2421524663677195E-3</v>
      </c>
      <c r="M902" s="155">
        <f t="shared" si="148"/>
        <v>2.5062656641603454E-3</v>
      </c>
      <c r="N902" s="155">
        <f t="shared" si="149"/>
        <v>1.3297872340425565E-2</v>
      </c>
      <c r="O902" s="155">
        <f t="shared" si="150"/>
        <v>1.471718835804503E-2</v>
      </c>
      <c r="P902" s="162">
        <f t="shared" si="151"/>
        <v>1.6085790884718509E-2</v>
      </c>
    </row>
    <row r="903" spans="1:16">
      <c r="A903" s="319">
        <v>45512</v>
      </c>
      <c r="B903" s="31">
        <v>4.4800000000000004</v>
      </c>
      <c r="C903" s="30">
        <v>4.04</v>
      </c>
      <c r="D903" s="30">
        <v>3.86</v>
      </c>
      <c r="E903" s="30">
        <v>3.7360000000000002</v>
      </c>
      <c r="F903" s="29">
        <v>3.83</v>
      </c>
      <c r="G903" s="159">
        <f t="shared" si="142"/>
        <v>3.0000000000000247E-4</v>
      </c>
      <c r="H903" s="154">
        <f t="shared" si="143"/>
        <v>4.0000000000000034E-4</v>
      </c>
      <c r="I903" s="154">
        <f t="shared" si="144"/>
        <v>4.9999999999999828E-4</v>
      </c>
      <c r="J903" s="154">
        <f t="shared" si="145"/>
        <v>4.039999999999999E-4</v>
      </c>
      <c r="K903" s="160">
        <f t="shared" si="146"/>
        <v>4.0000000000000034E-4</v>
      </c>
      <c r="L903" s="161">
        <f t="shared" si="147"/>
        <v>6.741573033707926E-3</v>
      </c>
      <c r="M903" s="155">
        <f t="shared" si="148"/>
        <v>1.0000000000000009E-2</v>
      </c>
      <c r="N903" s="155">
        <f t="shared" si="149"/>
        <v>1.3123359580052396E-2</v>
      </c>
      <c r="O903" s="155">
        <f t="shared" si="150"/>
        <v>1.0931919038857041E-2</v>
      </c>
      <c r="P903" s="162">
        <f t="shared" si="151"/>
        <v>1.055408970976246E-2</v>
      </c>
    </row>
    <row r="904" spans="1:16">
      <c r="A904" s="319">
        <v>45513</v>
      </c>
      <c r="B904" s="31">
        <v>4.5</v>
      </c>
      <c r="C904" s="30">
        <v>4.05</v>
      </c>
      <c r="D904" s="30">
        <v>3.86</v>
      </c>
      <c r="E904" s="30">
        <v>3.7288999999999999</v>
      </c>
      <c r="F904" s="29">
        <v>3.8</v>
      </c>
      <c r="G904" s="159">
        <f t="shared" si="142"/>
        <v>1.9999999999999573E-4</v>
      </c>
      <c r="H904" s="154">
        <f t="shared" si="143"/>
        <v>9.9999999999997863E-5</v>
      </c>
      <c r="I904" s="154">
        <f t="shared" si="144"/>
        <v>0</v>
      </c>
      <c r="J904" s="154">
        <f t="shared" si="145"/>
        <v>-7.1000000000003284E-5</v>
      </c>
      <c r="K904" s="160">
        <f t="shared" si="146"/>
        <v>-3.0000000000000247E-4</v>
      </c>
      <c r="L904" s="161">
        <f t="shared" si="147"/>
        <v>4.4642857142855874E-3</v>
      </c>
      <c r="M904" s="155">
        <f t="shared" si="148"/>
        <v>2.4752475247524774E-3</v>
      </c>
      <c r="N904" s="155">
        <f t="shared" si="149"/>
        <v>0</v>
      </c>
      <c r="O904" s="155">
        <f t="shared" si="150"/>
        <v>-1.9004282655247229E-3</v>
      </c>
      <c r="P904" s="162">
        <f t="shared" si="151"/>
        <v>-7.8328981723237989E-3</v>
      </c>
    </row>
    <row r="905" spans="1:16">
      <c r="A905" s="319">
        <v>45516</v>
      </c>
      <c r="B905" s="31">
        <v>4.47</v>
      </c>
      <c r="C905" s="30">
        <v>4.01</v>
      </c>
      <c r="D905" s="30">
        <v>3.82</v>
      </c>
      <c r="E905" s="30">
        <v>3.6894</v>
      </c>
      <c r="F905" s="29">
        <v>3.75</v>
      </c>
      <c r="G905" s="159">
        <f t="shared" si="142"/>
        <v>-3.0000000000000247E-4</v>
      </c>
      <c r="H905" s="154">
        <f t="shared" si="143"/>
        <v>-4.0000000000000034E-4</v>
      </c>
      <c r="I905" s="154">
        <f t="shared" si="144"/>
        <v>-4.0000000000000034E-4</v>
      </c>
      <c r="J905" s="154">
        <f t="shared" si="145"/>
        <v>-3.9499999999999871E-4</v>
      </c>
      <c r="K905" s="160">
        <f t="shared" si="146"/>
        <v>-4.9999999999999828E-4</v>
      </c>
      <c r="L905" s="161">
        <f t="shared" si="147"/>
        <v>-6.6666666666667096E-3</v>
      </c>
      <c r="M905" s="155">
        <f t="shared" si="148"/>
        <v>-9.8765432098765205E-3</v>
      </c>
      <c r="N905" s="155">
        <f t="shared" si="149"/>
        <v>-1.0362694300518172E-2</v>
      </c>
      <c r="O905" s="155">
        <f t="shared" si="150"/>
        <v>-1.0592936254659513E-2</v>
      </c>
      <c r="P905" s="162">
        <f t="shared" si="151"/>
        <v>-1.3157894736842035E-2</v>
      </c>
    </row>
    <row r="906" spans="1:16">
      <c r="A906" s="319">
        <v>45517</v>
      </c>
      <c r="B906" s="31">
        <v>4.4000000000000004</v>
      </c>
      <c r="C906" s="30">
        <v>3.93</v>
      </c>
      <c r="D906" s="30">
        <v>3.75</v>
      </c>
      <c r="E906" s="30">
        <v>3.6204999999999998</v>
      </c>
      <c r="F906" s="29">
        <v>3.68</v>
      </c>
      <c r="G906" s="159">
        <f t="shared" si="142"/>
        <v>-6.9999999999999392E-4</v>
      </c>
      <c r="H906" s="154">
        <f t="shared" si="143"/>
        <v>-7.9999999999999624E-4</v>
      </c>
      <c r="I906" s="154">
        <f t="shared" si="144"/>
        <v>-6.9999999999999837E-4</v>
      </c>
      <c r="J906" s="154">
        <f t="shared" si="145"/>
        <v>-6.8900000000000179E-4</v>
      </c>
      <c r="K906" s="160">
        <f t="shared" si="146"/>
        <v>-6.9999999999999837E-4</v>
      </c>
      <c r="L906" s="161">
        <f t="shared" si="147"/>
        <v>-1.5659955257270597E-2</v>
      </c>
      <c r="M906" s="155">
        <f t="shared" si="148"/>
        <v>-1.9950124688279169E-2</v>
      </c>
      <c r="N906" s="155">
        <f t="shared" si="149"/>
        <v>-1.8324607329842868E-2</v>
      </c>
      <c r="O906" s="155">
        <f t="shared" si="150"/>
        <v>-1.867512332628618E-2</v>
      </c>
      <c r="P906" s="162">
        <f t="shared" si="151"/>
        <v>-1.8666666666666609E-2</v>
      </c>
    </row>
    <row r="907" spans="1:16">
      <c r="A907" s="319">
        <v>45518</v>
      </c>
      <c r="B907" s="31">
        <v>4.42</v>
      </c>
      <c r="C907" s="30">
        <v>3.94</v>
      </c>
      <c r="D907" s="30">
        <v>3.76</v>
      </c>
      <c r="E907" s="30">
        <v>3.6008</v>
      </c>
      <c r="F907" s="29">
        <v>3.67</v>
      </c>
      <c r="G907" s="159">
        <f t="shared" si="142"/>
        <v>1.9999999999999573E-4</v>
      </c>
      <c r="H907" s="154">
        <f t="shared" si="143"/>
        <v>9.9999999999997863E-5</v>
      </c>
      <c r="I907" s="154">
        <f t="shared" si="144"/>
        <v>9.9999999999997863E-5</v>
      </c>
      <c r="J907" s="154">
        <f t="shared" si="145"/>
        <v>-1.9699999999999828E-4</v>
      </c>
      <c r="K907" s="160">
        <f t="shared" si="146"/>
        <v>-1.0000000000000231E-4</v>
      </c>
      <c r="L907" s="161">
        <f t="shared" si="147"/>
        <v>4.5454545454544082E-3</v>
      </c>
      <c r="M907" s="155">
        <f t="shared" si="148"/>
        <v>2.5445292620864812E-3</v>
      </c>
      <c r="N907" s="155">
        <f t="shared" si="149"/>
        <v>2.666666666666595E-3</v>
      </c>
      <c r="O907" s="155">
        <f t="shared" si="150"/>
        <v>-5.44123739814939E-3</v>
      </c>
      <c r="P907" s="162">
        <f t="shared" si="151"/>
        <v>-2.7173913043478937E-3</v>
      </c>
    </row>
    <row r="908" spans="1:16">
      <c r="A908" s="319">
        <v>45519</v>
      </c>
      <c r="B908" s="31">
        <v>4.5199999999999996</v>
      </c>
      <c r="C908" s="30">
        <v>4.08</v>
      </c>
      <c r="D908" s="30">
        <v>3.9</v>
      </c>
      <c r="E908" s="30">
        <v>3.6991000000000001</v>
      </c>
      <c r="F908" s="29">
        <v>3.79</v>
      </c>
      <c r="G908" s="159">
        <f t="shared" si="142"/>
        <v>9.9999999999999655E-4</v>
      </c>
      <c r="H908" s="154">
        <f t="shared" si="143"/>
        <v>1.4000000000000013E-3</v>
      </c>
      <c r="I908" s="154">
        <f t="shared" si="144"/>
        <v>1.4000000000000013E-3</v>
      </c>
      <c r="J908" s="154">
        <f t="shared" si="145"/>
        <v>9.8300000000000058E-4</v>
      </c>
      <c r="K908" s="160">
        <f t="shared" si="146"/>
        <v>1.200000000000001E-3</v>
      </c>
      <c r="L908" s="161">
        <f t="shared" si="147"/>
        <v>2.2624434389140191E-2</v>
      </c>
      <c r="M908" s="155">
        <f t="shared" si="148"/>
        <v>3.5532994923857864E-2</v>
      </c>
      <c r="N908" s="155">
        <f t="shared" si="149"/>
        <v>3.7234042553191626E-2</v>
      </c>
      <c r="O908" s="155">
        <f t="shared" si="150"/>
        <v>2.7299489002443833E-2</v>
      </c>
      <c r="P908" s="162">
        <f t="shared" si="151"/>
        <v>3.2697547683923744E-2</v>
      </c>
    </row>
    <row r="909" spans="1:16">
      <c r="A909" s="319">
        <v>45520</v>
      </c>
      <c r="B909" s="31">
        <v>4.49</v>
      </c>
      <c r="C909" s="30">
        <v>4.0599999999999996</v>
      </c>
      <c r="D909" s="30">
        <v>3.87</v>
      </c>
      <c r="E909" s="30">
        <v>3.6928000000000001</v>
      </c>
      <c r="F909" s="29">
        <v>3.77</v>
      </c>
      <c r="G909" s="159">
        <f t="shared" si="142"/>
        <v>-2.9999999999999363E-4</v>
      </c>
      <c r="H909" s="154">
        <f t="shared" si="143"/>
        <v>-2.0000000000000462E-4</v>
      </c>
      <c r="I909" s="154">
        <f t="shared" si="144"/>
        <v>-2.9999999999999802E-4</v>
      </c>
      <c r="J909" s="154">
        <f t="shared" si="145"/>
        <v>-6.2999999999999729E-5</v>
      </c>
      <c r="K909" s="160">
        <f t="shared" si="146"/>
        <v>-2.0000000000000017E-4</v>
      </c>
      <c r="L909" s="161">
        <f t="shared" si="147"/>
        <v>-6.6371681415927641E-3</v>
      </c>
      <c r="M909" s="155">
        <f t="shared" si="148"/>
        <v>-4.9019607843138191E-3</v>
      </c>
      <c r="N909" s="155">
        <f t="shared" si="149"/>
        <v>-7.692307692307665E-3</v>
      </c>
      <c r="O909" s="155">
        <f t="shared" si="150"/>
        <v>-1.703116974399177E-3</v>
      </c>
      <c r="P909" s="162">
        <f t="shared" si="151"/>
        <v>-5.2770448548812299E-3</v>
      </c>
    </row>
    <row r="910" spans="1:16">
      <c r="A910" s="319">
        <v>45523</v>
      </c>
      <c r="B910" s="31">
        <v>4.4800000000000004</v>
      </c>
      <c r="C910" s="30">
        <v>4.0599999999999996</v>
      </c>
      <c r="D910" s="30">
        <v>3.86</v>
      </c>
      <c r="E910" s="30">
        <v>3.681</v>
      </c>
      <c r="F910" s="29">
        <v>3.75</v>
      </c>
      <c r="G910" s="159">
        <f t="shared" si="142"/>
        <v>-9.9999999999997863E-5</v>
      </c>
      <c r="H910" s="154">
        <f t="shared" si="143"/>
        <v>0</v>
      </c>
      <c r="I910" s="154">
        <f t="shared" si="144"/>
        <v>-1.0000000000000231E-4</v>
      </c>
      <c r="J910" s="154">
        <f t="shared" si="145"/>
        <v>-1.1800000000000032E-4</v>
      </c>
      <c r="K910" s="160">
        <f t="shared" si="146"/>
        <v>-2.0000000000000017E-4</v>
      </c>
      <c r="L910" s="161">
        <f t="shared" si="147"/>
        <v>-2.2271714922048602E-3</v>
      </c>
      <c r="M910" s="155">
        <f t="shared" si="148"/>
        <v>0</v>
      </c>
      <c r="N910" s="155">
        <f t="shared" si="149"/>
        <v>-2.5839793281654533E-3</v>
      </c>
      <c r="O910" s="155">
        <f t="shared" si="150"/>
        <v>-3.1954072790294497E-3</v>
      </c>
      <c r="P910" s="162">
        <f t="shared" si="151"/>
        <v>-5.3050397877983935E-3</v>
      </c>
    </row>
    <row r="911" spans="1:16">
      <c r="A911" s="319">
        <v>45524</v>
      </c>
      <c r="B911" s="31">
        <v>4.43</v>
      </c>
      <c r="C911" s="30">
        <v>3.99</v>
      </c>
      <c r="D911" s="30">
        <v>3.8</v>
      </c>
      <c r="E911" s="30">
        <v>3.6335000000000002</v>
      </c>
      <c r="F911" s="29">
        <v>3.7</v>
      </c>
      <c r="G911" s="159">
        <f t="shared" si="142"/>
        <v>-5.0000000000000706E-4</v>
      </c>
      <c r="H911" s="154">
        <f t="shared" si="143"/>
        <v>-6.9999999999999392E-4</v>
      </c>
      <c r="I911" s="154">
        <f t="shared" si="144"/>
        <v>-6.0000000000000049E-4</v>
      </c>
      <c r="J911" s="154">
        <f t="shared" si="145"/>
        <v>-4.7499999999999875E-4</v>
      </c>
      <c r="K911" s="160">
        <f t="shared" si="146"/>
        <v>-4.9999999999999828E-4</v>
      </c>
      <c r="L911" s="161">
        <f t="shared" si="147"/>
        <v>-1.1160714285714413E-2</v>
      </c>
      <c r="M911" s="155">
        <f t="shared" si="148"/>
        <v>-1.724137931034464E-2</v>
      </c>
      <c r="N911" s="155">
        <f t="shared" si="149"/>
        <v>-1.5544041450777257E-2</v>
      </c>
      <c r="O911" s="155">
        <f t="shared" si="150"/>
        <v>-1.2904102146155894E-2</v>
      </c>
      <c r="P911" s="162">
        <f t="shared" si="151"/>
        <v>-1.3333333333333308E-2</v>
      </c>
    </row>
    <row r="912" spans="1:16">
      <c r="A912" s="319">
        <v>45525</v>
      </c>
      <c r="B912" s="31">
        <v>4.3600000000000003</v>
      </c>
      <c r="C912" s="30">
        <v>3.92</v>
      </c>
      <c r="D912" s="30">
        <v>3.74</v>
      </c>
      <c r="E912" s="30">
        <v>3.5790999999999999</v>
      </c>
      <c r="F912" s="29">
        <v>3.64</v>
      </c>
      <c r="G912" s="159">
        <f t="shared" si="142"/>
        <v>-6.9999999999999392E-4</v>
      </c>
      <c r="H912" s="154">
        <f t="shared" si="143"/>
        <v>-7.0000000000000281E-4</v>
      </c>
      <c r="I912" s="154">
        <f t="shared" si="144"/>
        <v>-5.9999999999999604E-4</v>
      </c>
      <c r="J912" s="154">
        <f t="shared" si="145"/>
        <v>-5.4400000000000227E-4</v>
      </c>
      <c r="K912" s="160">
        <f t="shared" si="146"/>
        <v>-6.0000000000000049E-4</v>
      </c>
      <c r="L912" s="161">
        <f t="shared" si="147"/>
        <v>-1.5801354401805745E-2</v>
      </c>
      <c r="M912" s="155">
        <f t="shared" si="148"/>
        <v>-1.7543859649122862E-2</v>
      </c>
      <c r="N912" s="155">
        <f t="shared" si="149"/>
        <v>-1.5789473684210464E-2</v>
      </c>
      <c r="O912" s="155">
        <f t="shared" si="150"/>
        <v>-1.4971790284849407E-2</v>
      </c>
      <c r="P912" s="162">
        <f t="shared" si="151"/>
        <v>-1.6216216216216273E-2</v>
      </c>
    </row>
    <row r="913" spans="1:16">
      <c r="A913" s="319">
        <v>45526</v>
      </c>
      <c r="B913" s="31">
        <v>4.43</v>
      </c>
      <c r="C913" s="30">
        <v>3.99</v>
      </c>
      <c r="D913" s="30">
        <v>3.82</v>
      </c>
      <c r="E913" s="30">
        <v>3.6337999999999999</v>
      </c>
      <c r="F913" s="29">
        <v>3.72</v>
      </c>
      <c r="G913" s="159">
        <f t="shared" si="142"/>
        <v>6.9999999999999392E-4</v>
      </c>
      <c r="H913" s="154">
        <f t="shared" si="143"/>
        <v>7.0000000000000281E-4</v>
      </c>
      <c r="I913" s="154">
        <f t="shared" si="144"/>
        <v>7.9999999999999624E-4</v>
      </c>
      <c r="J913" s="154">
        <f t="shared" si="145"/>
        <v>5.4699999999999974E-4</v>
      </c>
      <c r="K913" s="160">
        <f t="shared" si="146"/>
        <v>8.0000000000000069E-4</v>
      </c>
      <c r="L913" s="161">
        <f t="shared" si="147"/>
        <v>1.6055045871559592E-2</v>
      </c>
      <c r="M913" s="155">
        <f t="shared" si="148"/>
        <v>1.7857142857143016E-2</v>
      </c>
      <c r="N913" s="155">
        <f t="shared" si="149"/>
        <v>2.1390374331550666E-2</v>
      </c>
      <c r="O913" s="155">
        <f t="shared" si="150"/>
        <v>1.5283171747087154E-2</v>
      </c>
      <c r="P913" s="162">
        <f t="shared" si="151"/>
        <v>2.19780219780219E-2</v>
      </c>
    </row>
    <row r="914" spans="1:16">
      <c r="A914" s="319">
        <v>45527</v>
      </c>
      <c r="B914" s="31">
        <v>4.3600000000000003</v>
      </c>
      <c r="C914" s="30">
        <v>3.9</v>
      </c>
      <c r="D914" s="30">
        <v>3.73</v>
      </c>
      <c r="E914" s="30">
        <v>3.5832999999999999</v>
      </c>
      <c r="F914" s="29">
        <v>3.65</v>
      </c>
      <c r="G914" s="159">
        <f t="shared" si="142"/>
        <v>-6.9999999999999392E-4</v>
      </c>
      <c r="H914" s="154">
        <f t="shared" si="143"/>
        <v>-9.0000000000000301E-4</v>
      </c>
      <c r="I914" s="154">
        <f t="shared" si="144"/>
        <v>-8.9999999999999857E-4</v>
      </c>
      <c r="J914" s="154">
        <f t="shared" si="145"/>
        <v>-5.0499999999999992E-4</v>
      </c>
      <c r="K914" s="160">
        <f t="shared" si="146"/>
        <v>-7.0000000000000281E-4</v>
      </c>
      <c r="L914" s="161">
        <f t="shared" si="147"/>
        <v>-1.5801354401805745E-2</v>
      </c>
      <c r="M914" s="155">
        <f t="shared" si="148"/>
        <v>-2.2556390977443663E-2</v>
      </c>
      <c r="N914" s="155">
        <f t="shared" si="149"/>
        <v>-2.3560209424083767E-2</v>
      </c>
      <c r="O914" s="155">
        <f t="shared" si="150"/>
        <v>-1.3897297594804292E-2</v>
      </c>
      <c r="P914" s="162">
        <f t="shared" si="151"/>
        <v>-1.8817204301075363E-2</v>
      </c>
    </row>
    <row r="915" spans="1:16">
      <c r="A915" s="319">
        <v>45530</v>
      </c>
      <c r="B915" s="31">
        <v>4.38</v>
      </c>
      <c r="C915" s="30">
        <v>3.91</v>
      </c>
      <c r="D915" s="30">
        <v>3.74</v>
      </c>
      <c r="E915" s="30">
        <v>3.5829</v>
      </c>
      <c r="F915" s="29">
        <v>3.66</v>
      </c>
      <c r="G915" s="159">
        <f t="shared" si="142"/>
        <v>1.9999999999999573E-4</v>
      </c>
      <c r="H915" s="154">
        <f t="shared" si="143"/>
        <v>1.0000000000000231E-4</v>
      </c>
      <c r="I915" s="154">
        <f t="shared" si="144"/>
        <v>1.0000000000000231E-4</v>
      </c>
      <c r="J915" s="154">
        <f t="shared" si="145"/>
        <v>-3.9999999999995594E-6</v>
      </c>
      <c r="K915" s="160">
        <f t="shared" si="146"/>
        <v>1.0000000000000231E-4</v>
      </c>
      <c r="L915" s="161">
        <f t="shared" si="147"/>
        <v>4.5871559633026138E-3</v>
      </c>
      <c r="M915" s="155">
        <f t="shared" si="148"/>
        <v>2.564102564102555E-3</v>
      </c>
      <c r="N915" s="155">
        <f t="shared" si="149"/>
        <v>2.6809651474530849E-3</v>
      </c>
      <c r="O915" s="155">
        <f t="shared" si="150"/>
        <v>-1.1162894538552237E-4</v>
      </c>
      <c r="P915" s="162">
        <f t="shared" si="151"/>
        <v>2.73972602739736E-3</v>
      </c>
    </row>
    <row r="916" spans="1:16">
      <c r="A916" s="319">
        <v>45531</v>
      </c>
      <c r="B916" s="31">
        <v>4.34</v>
      </c>
      <c r="C916" s="30">
        <v>3.83</v>
      </c>
      <c r="D916" s="30">
        <v>3.72</v>
      </c>
      <c r="E916" s="30">
        <v>3.5783999999999998</v>
      </c>
      <c r="F916" s="29">
        <v>3.66</v>
      </c>
      <c r="G916" s="159">
        <f t="shared" si="142"/>
        <v>-4.0000000000000034E-4</v>
      </c>
      <c r="H916" s="154">
        <f t="shared" si="143"/>
        <v>-8.0000000000000069E-4</v>
      </c>
      <c r="I916" s="154">
        <f t="shared" si="144"/>
        <v>-2.0000000000000017E-4</v>
      </c>
      <c r="J916" s="154">
        <f t="shared" si="145"/>
        <v>-4.5000000000001704E-5</v>
      </c>
      <c r="K916" s="160">
        <f t="shared" si="146"/>
        <v>0</v>
      </c>
      <c r="L916" s="161">
        <f t="shared" si="147"/>
        <v>-9.1324200913242004E-3</v>
      </c>
      <c r="M916" s="155">
        <f t="shared" si="148"/>
        <v>-2.0460358056266004E-2</v>
      </c>
      <c r="N916" s="155">
        <f t="shared" si="149"/>
        <v>-5.3475935828877219E-3</v>
      </c>
      <c r="O916" s="155">
        <f t="shared" si="150"/>
        <v>-1.2559658377292449E-3</v>
      </c>
      <c r="P916" s="162">
        <f t="shared" si="151"/>
        <v>0</v>
      </c>
    </row>
    <row r="917" spans="1:16">
      <c r="A917" s="319">
        <v>45532</v>
      </c>
      <c r="B917" s="31">
        <v>4.3600000000000003</v>
      </c>
      <c r="C917" s="30">
        <v>3.83</v>
      </c>
      <c r="D917" s="30">
        <v>3.72</v>
      </c>
      <c r="E917" s="30">
        <v>3.5798999999999999</v>
      </c>
      <c r="F917" s="29">
        <v>3.63</v>
      </c>
      <c r="G917" s="159">
        <f t="shared" si="142"/>
        <v>2.0000000000000462E-4</v>
      </c>
      <c r="H917" s="154">
        <f t="shared" si="143"/>
        <v>0</v>
      </c>
      <c r="I917" s="154">
        <f t="shared" si="144"/>
        <v>0</v>
      </c>
      <c r="J917" s="154">
        <f t="shared" si="145"/>
        <v>1.5000000000000568E-5</v>
      </c>
      <c r="K917" s="160">
        <f t="shared" si="146"/>
        <v>-3.0000000000000247E-4</v>
      </c>
      <c r="L917" s="161">
        <f t="shared" si="147"/>
        <v>4.6082949308756671E-3</v>
      </c>
      <c r="M917" s="155">
        <f t="shared" si="148"/>
        <v>0</v>
      </c>
      <c r="N917" s="155">
        <f t="shared" si="149"/>
        <v>0</v>
      </c>
      <c r="O917" s="155">
        <f t="shared" si="150"/>
        <v>4.1918175720989659E-4</v>
      </c>
      <c r="P917" s="162">
        <f t="shared" si="151"/>
        <v>-8.19672131147553E-3</v>
      </c>
    </row>
    <row r="918" spans="1:16">
      <c r="A918" s="319">
        <v>45533</v>
      </c>
      <c r="B918" s="31">
        <v>4.38</v>
      </c>
      <c r="C918" s="30">
        <v>3.87</v>
      </c>
      <c r="D918" s="30">
        <v>3.76</v>
      </c>
      <c r="E918" s="30">
        <v>3.6032999999999999</v>
      </c>
      <c r="F918" s="29">
        <v>3.66</v>
      </c>
      <c r="G918" s="159">
        <f t="shared" si="142"/>
        <v>1.9999999999999573E-4</v>
      </c>
      <c r="H918" s="154">
        <f t="shared" si="143"/>
        <v>4.0000000000000034E-4</v>
      </c>
      <c r="I918" s="154">
        <f t="shared" si="144"/>
        <v>3.999999999999959E-4</v>
      </c>
      <c r="J918" s="154">
        <f t="shared" si="145"/>
        <v>2.3400000000000086E-4</v>
      </c>
      <c r="K918" s="160">
        <f t="shared" si="146"/>
        <v>3.0000000000000247E-4</v>
      </c>
      <c r="L918" s="161">
        <f t="shared" si="147"/>
        <v>4.5871559633026138E-3</v>
      </c>
      <c r="M918" s="155">
        <f t="shared" si="148"/>
        <v>1.0443864229765065E-2</v>
      </c>
      <c r="N918" s="155">
        <f t="shared" si="149"/>
        <v>1.0752688172043001E-2</v>
      </c>
      <c r="O918" s="155">
        <f t="shared" si="150"/>
        <v>6.5364954328333003E-3</v>
      </c>
      <c r="P918" s="162">
        <f t="shared" si="151"/>
        <v>8.2644628099173278E-3</v>
      </c>
    </row>
    <row r="919" spans="1:16">
      <c r="A919" s="319">
        <v>45534</v>
      </c>
      <c r="B919" s="31">
        <v>4.38</v>
      </c>
      <c r="C919" s="30">
        <v>3.91</v>
      </c>
      <c r="D919" s="30">
        <v>3.79</v>
      </c>
      <c r="E919" s="30">
        <v>3.6322000000000001</v>
      </c>
      <c r="F919" s="29">
        <v>3.71</v>
      </c>
      <c r="G919" s="159">
        <f t="shared" si="142"/>
        <v>0</v>
      </c>
      <c r="H919" s="154">
        <f t="shared" si="143"/>
        <v>4.0000000000000034E-4</v>
      </c>
      <c r="I919" s="154">
        <f t="shared" si="144"/>
        <v>3.0000000000000247E-4</v>
      </c>
      <c r="J919" s="154">
        <f t="shared" si="145"/>
        <v>2.890000000000015E-4</v>
      </c>
      <c r="K919" s="160">
        <f t="shared" si="146"/>
        <v>4.9999999999999828E-4</v>
      </c>
      <c r="L919" s="161">
        <f t="shared" si="147"/>
        <v>0</v>
      </c>
      <c r="M919" s="155">
        <f t="shared" si="148"/>
        <v>1.0335917312661591E-2</v>
      </c>
      <c r="N919" s="155">
        <f t="shared" si="149"/>
        <v>7.9787234042554278E-3</v>
      </c>
      <c r="O919" s="155">
        <f t="shared" si="150"/>
        <v>8.0204257208669194E-3</v>
      </c>
      <c r="P919" s="162">
        <f t="shared" si="151"/>
        <v>1.3661202185792254E-2</v>
      </c>
    </row>
    <row r="920" spans="1:16">
      <c r="A920" s="319">
        <v>45538</v>
      </c>
      <c r="B920" s="31">
        <v>4.3499999999999996</v>
      </c>
      <c r="C920" s="30">
        <v>3.88</v>
      </c>
      <c r="D920" s="30">
        <v>3.73</v>
      </c>
      <c r="E920" s="30">
        <v>3.5865</v>
      </c>
      <c r="F920" s="29">
        <v>3.65</v>
      </c>
      <c r="G920" s="159">
        <f t="shared" si="142"/>
        <v>-3.0000000000000247E-4</v>
      </c>
      <c r="H920" s="154">
        <f t="shared" si="143"/>
        <v>-3.0000000000000247E-4</v>
      </c>
      <c r="I920" s="154">
        <f t="shared" si="144"/>
        <v>-6.0000000000000049E-4</v>
      </c>
      <c r="J920" s="154">
        <f t="shared" si="145"/>
        <v>-4.5700000000000075E-4</v>
      </c>
      <c r="K920" s="160">
        <f t="shared" si="146"/>
        <v>-6.0000000000000049E-4</v>
      </c>
      <c r="L920" s="161">
        <f t="shared" si="147"/>
        <v>-6.8493150684931781E-3</v>
      </c>
      <c r="M920" s="155">
        <f t="shared" si="148"/>
        <v>-7.6726342710997653E-3</v>
      </c>
      <c r="N920" s="155">
        <f t="shared" si="149"/>
        <v>-1.5831134564643801E-2</v>
      </c>
      <c r="O920" s="155">
        <f t="shared" si="150"/>
        <v>-1.2581906282693733E-2</v>
      </c>
      <c r="P920" s="162">
        <f t="shared" si="151"/>
        <v>-1.6172506738544534E-2</v>
      </c>
    </row>
    <row r="921" spans="1:16">
      <c r="A921" s="319">
        <v>45539</v>
      </c>
      <c r="B921" s="31">
        <v>4.2300000000000004</v>
      </c>
      <c r="C921" s="30">
        <v>3.76</v>
      </c>
      <c r="D921" s="30">
        <v>3.63</v>
      </c>
      <c r="E921" s="30">
        <v>3.4944999999999999</v>
      </c>
      <c r="F921" s="29">
        <v>3.56</v>
      </c>
      <c r="G921" s="159">
        <f t="shared" si="142"/>
        <v>-1.1999999999999921E-3</v>
      </c>
      <c r="H921" s="154">
        <f t="shared" si="143"/>
        <v>-1.200000000000001E-3</v>
      </c>
      <c r="I921" s="154">
        <f t="shared" si="144"/>
        <v>-1.0000000000000009E-3</v>
      </c>
      <c r="J921" s="154">
        <f t="shared" si="145"/>
        <v>-9.2000000000000079E-4</v>
      </c>
      <c r="K921" s="160">
        <f t="shared" si="146"/>
        <v>-8.9999999999999857E-4</v>
      </c>
      <c r="L921" s="161">
        <f t="shared" si="147"/>
        <v>-2.7586206896551557E-2</v>
      </c>
      <c r="M921" s="155">
        <f t="shared" si="148"/>
        <v>-3.0927835051546393E-2</v>
      </c>
      <c r="N921" s="155">
        <f t="shared" si="149"/>
        <v>-2.6809651474530849E-2</v>
      </c>
      <c r="O921" s="155">
        <f t="shared" si="150"/>
        <v>-2.5651749616617869E-2</v>
      </c>
      <c r="P921" s="162">
        <f t="shared" si="151"/>
        <v>-2.4657534246575352E-2</v>
      </c>
    </row>
    <row r="922" spans="1:16">
      <c r="A922" s="319">
        <v>45540</v>
      </c>
      <c r="B922" s="31">
        <v>4.21</v>
      </c>
      <c r="C922" s="30">
        <v>3.75</v>
      </c>
      <c r="D922" s="30">
        <v>3.61</v>
      </c>
      <c r="E922" s="30">
        <v>3.4565999999999999</v>
      </c>
      <c r="F922" s="29">
        <v>3.54</v>
      </c>
      <c r="G922" s="159">
        <f t="shared" si="142"/>
        <v>-2.0000000000000462E-4</v>
      </c>
      <c r="H922" s="154">
        <f t="shared" si="143"/>
        <v>-9.9999999999997863E-5</v>
      </c>
      <c r="I922" s="154">
        <f t="shared" si="144"/>
        <v>-2.0000000000000017E-4</v>
      </c>
      <c r="J922" s="154">
        <f t="shared" si="145"/>
        <v>-3.7900000000000043E-4</v>
      </c>
      <c r="K922" s="160">
        <f t="shared" si="146"/>
        <v>-2.0000000000000017E-4</v>
      </c>
      <c r="L922" s="161">
        <f t="shared" si="147"/>
        <v>-4.7281323877069736E-3</v>
      </c>
      <c r="M922" s="155">
        <f t="shared" si="148"/>
        <v>-2.6595744680850686E-3</v>
      </c>
      <c r="N922" s="155">
        <f t="shared" si="149"/>
        <v>-5.5096418732782926E-3</v>
      </c>
      <c r="O922" s="155">
        <f t="shared" si="150"/>
        <v>-1.0845614537129733E-2</v>
      </c>
      <c r="P922" s="162">
        <f t="shared" si="151"/>
        <v>-5.6179775280899014E-3</v>
      </c>
    </row>
    <row r="923" spans="1:16">
      <c r="A923" s="319">
        <v>45541</v>
      </c>
      <c r="B923" s="31">
        <v>4.0999999999999996</v>
      </c>
      <c r="C923" s="30">
        <v>3.66</v>
      </c>
      <c r="D923" s="30">
        <v>3.54</v>
      </c>
      <c r="E923" s="30">
        <v>3.4053</v>
      </c>
      <c r="F923" s="29">
        <v>3.5</v>
      </c>
      <c r="G923" s="159">
        <f t="shared" si="142"/>
        <v>-1.1000000000000031E-3</v>
      </c>
      <c r="H923" s="154">
        <f t="shared" si="143"/>
        <v>-8.9999999999999857E-4</v>
      </c>
      <c r="I923" s="154">
        <f t="shared" si="144"/>
        <v>-6.9999999999999837E-4</v>
      </c>
      <c r="J923" s="154">
        <f t="shared" si="145"/>
        <v>-5.1299999999999903E-4</v>
      </c>
      <c r="K923" s="160">
        <f t="shared" si="146"/>
        <v>-4.0000000000000034E-4</v>
      </c>
      <c r="L923" s="161">
        <f t="shared" si="147"/>
        <v>-2.6128266033254244E-2</v>
      </c>
      <c r="M923" s="155">
        <f t="shared" si="148"/>
        <v>-2.399999999999991E-2</v>
      </c>
      <c r="N923" s="155">
        <f t="shared" si="149"/>
        <v>-1.9390581717451449E-2</v>
      </c>
      <c r="O923" s="155">
        <f t="shared" si="150"/>
        <v>-1.4841173407394548E-2</v>
      </c>
      <c r="P923" s="162">
        <f t="shared" si="151"/>
        <v>-1.1299435028248594E-2</v>
      </c>
    </row>
    <row r="924" spans="1:16">
      <c r="A924" s="319">
        <v>45544</v>
      </c>
      <c r="B924" s="31">
        <v>4.12</v>
      </c>
      <c r="C924" s="30">
        <v>3.68</v>
      </c>
      <c r="D924" s="30">
        <v>3.54</v>
      </c>
      <c r="E924" s="30">
        <v>3.3834</v>
      </c>
      <c r="F924" s="29">
        <v>3.49</v>
      </c>
      <c r="G924" s="159">
        <f t="shared" si="142"/>
        <v>2.0000000000000462E-4</v>
      </c>
      <c r="H924" s="154">
        <f t="shared" si="143"/>
        <v>2.0000000000000017E-4</v>
      </c>
      <c r="I924" s="154">
        <f t="shared" si="144"/>
        <v>0</v>
      </c>
      <c r="J924" s="154">
        <f t="shared" si="145"/>
        <v>-2.1900000000000031E-4</v>
      </c>
      <c r="K924" s="160">
        <f t="shared" si="146"/>
        <v>-9.9999999999997863E-5</v>
      </c>
      <c r="L924" s="161">
        <f t="shared" si="147"/>
        <v>4.8780487804878092E-3</v>
      </c>
      <c r="M924" s="155">
        <f t="shared" si="148"/>
        <v>5.464480874316946E-3</v>
      </c>
      <c r="N924" s="155">
        <f t="shared" si="149"/>
        <v>0</v>
      </c>
      <c r="O924" s="155">
        <f t="shared" si="150"/>
        <v>-6.4311514404017389E-3</v>
      </c>
      <c r="P924" s="162">
        <f t="shared" si="151"/>
        <v>-2.8571428571427804E-3</v>
      </c>
    </row>
    <row r="925" spans="1:16">
      <c r="A925" s="319">
        <v>45545</v>
      </c>
      <c r="B925" s="31">
        <v>4.07</v>
      </c>
      <c r="C925" s="30">
        <v>3.59</v>
      </c>
      <c r="D925" s="30">
        <v>3.42</v>
      </c>
      <c r="E925" s="30">
        <v>3.3264999999999998</v>
      </c>
      <c r="F925" s="29">
        <v>3.43</v>
      </c>
      <c r="G925" s="159">
        <f t="shared" si="142"/>
        <v>-4.9999999999999828E-4</v>
      </c>
      <c r="H925" s="154">
        <f t="shared" si="143"/>
        <v>-9.0000000000000301E-4</v>
      </c>
      <c r="I925" s="154">
        <f t="shared" si="144"/>
        <v>-1.200000000000001E-3</v>
      </c>
      <c r="J925" s="154">
        <f t="shared" si="145"/>
        <v>-5.6900000000000169E-4</v>
      </c>
      <c r="K925" s="160">
        <f t="shared" si="146"/>
        <v>-6.0000000000000049E-4</v>
      </c>
      <c r="L925" s="161">
        <f t="shared" si="147"/>
        <v>-1.2135922330097082E-2</v>
      </c>
      <c r="M925" s="155">
        <f t="shared" si="148"/>
        <v>-2.4456521739130488E-2</v>
      </c>
      <c r="N925" s="155">
        <f t="shared" si="149"/>
        <v>-3.3898305084745783E-2</v>
      </c>
      <c r="O925" s="155">
        <f t="shared" si="150"/>
        <v>-1.6817402612756438E-2</v>
      </c>
      <c r="P925" s="162">
        <f t="shared" si="151"/>
        <v>-1.7191977077363862E-2</v>
      </c>
    </row>
    <row r="926" spans="1:16">
      <c r="A926" s="319">
        <v>45546</v>
      </c>
      <c r="B926" s="31">
        <v>4.12</v>
      </c>
      <c r="C926" s="30">
        <v>3.62</v>
      </c>
      <c r="D926" s="30">
        <v>3.45</v>
      </c>
      <c r="E926" s="30">
        <v>3.3347000000000002</v>
      </c>
      <c r="F926" s="29">
        <v>3.45</v>
      </c>
      <c r="G926" s="159">
        <f t="shared" si="142"/>
        <v>4.9999999999999828E-4</v>
      </c>
      <c r="H926" s="154">
        <f t="shared" si="143"/>
        <v>3.0000000000000247E-4</v>
      </c>
      <c r="I926" s="154">
        <f t="shared" si="144"/>
        <v>3.0000000000000247E-4</v>
      </c>
      <c r="J926" s="154">
        <f t="shared" si="145"/>
        <v>8.2000000000004297E-5</v>
      </c>
      <c r="K926" s="160">
        <f t="shared" si="146"/>
        <v>2.0000000000000017E-4</v>
      </c>
      <c r="L926" s="161">
        <f t="shared" si="147"/>
        <v>1.228501228501222E-2</v>
      </c>
      <c r="M926" s="155">
        <f t="shared" si="148"/>
        <v>8.3565459610028814E-3</v>
      </c>
      <c r="N926" s="155">
        <f t="shared" si="149"/>
        <v>8.7719298245614308E-3</v>
      </c>
      <c r="O926" s="155">
        <f t="shared" si="150"/>
        <v>2.4650533593868484E-3</v>
      </c>
      <c r="P926" s="162">
        <f t="shared" si="151"/>
        <v>5.8309037900874383E-3</v>
      </c>
    </row>
    <row r="927" spans="1:16">
      <c r="A927" s="319">
        <v>45547</v>
      </c>
      <c r="B927" s="31">
        <v>4.09</v>
      </c>
      <c r="C927" s="30">
        <v>3.64</v>
      </c>
      <c r="D927" s="30">
        <v>3.47</v>
      </c>
      <c r="E927" s="30">
        <v>3.3483000000000001</v>
      </c>
      <c r="F927" s="29">
        <v>3.47</v>
      </c>
      <c r="G927" s="159">
        <f t="shared" si="142"/>
        <v>-3.0000000000000247E-4</v>
      </c>
      <c r="H927" s="154">
        <f t="shared" si="143"/>
        <v>2.0000000000000017E-4</v>
      </c>
      <c r="I927" s="154">
        <f t="shared" si="144"/>
        <v>2.0000000000000017E-4</v>
      </c>
      <c r="J927" s="154">
        <f t="shared" si="145"/>
        <v>1.3599999999999835E-4</v>
      </c>
      <c r="K927" s="160">
        <f t="shared" si="146"/>
        <v>2.0000000000000017E-4</v>
      </c>
      <c r="L927" s="161">
        <f t="shared" si="147"/>
        <v>-7.2815533980583602E-3</v>
      </c>
      <c r="M927" s="155">
        <f t="shared" si="148"/>
        <v>5.5248618784531356E-3</v>
      </c>
      <c r="N927" s="155">
        <f t="shared" si="149"/>
        <v>5.7971014492754769E-3</v>
      </c>
      <c r="O927" s="155">
        <f t="shared" si="150"/>
        <v>4.0783278855669458E-3</v>
      </c>
      <c r="P927" s="162">
        <f t="shared" si="151"/>
        <v>5.7971014492754769E-3</v>
      </c>
    </row>
    <row r="928" spans="1:16">
      <c r="A928" s="319">
        <v>45548</v>
      </c>
      <c r="B928" s="31">
        <v>4</v>
      </c>
      <c r="C928" s="30">
        <v>3.57</v>
      </c>
      <c r="D928" s="30">
        <v>3.42</v>
      </c>
      <c r="E928" s="30">
        <v>3.3073000000000001</v>
      </c>
      <c r="F928" s="29">
        <v>3.43</v>
      </c>
      <c r="G928" s="159">
        <f t="shared" si="142"/>
        <v>-8.9999999999999857E-4</v>
      </c>
      <c r="H928" s="154">
        <f t="shared" si="143"/>
        <v>-7.0000000000000281E-4</v>
      </c>
      <c r="I928" s="154">
        <f t="shared" si="144"/>
        <v>-5.0000000000000261E-4</v>
      </c>
      <c r="J928" s="154">
        <f t="shared" si="145"/>
        <v>-4.0999999999999923E-4</v>
      </c>
      <c r="K928" s="160">
        <f t="shared" si="146"/>
        <v>-4.0000000000000034E-4</v>
      </c>
      <c r="L928" s="161">
        <f t="shared" si="147"/>
        <v>-2.2004889975550057E-2</v>
      </c>
      <c r="M928" s="155">
        <f t="shared" si="148"/>
        <v>-1.9230769230769273E-2</v>
      </c>
      <c r="N928" s="155">
        <f t="shared" si="149"/>
        <v>-1.4409221902017322E-2</v>
      </c>
      <c r="O928" s="155">
        <f t="shared" si="150"/>
        <v>-1.2245019860824824E-2</v>
      </c>
      <c r="P928" s="162">
        <f t="shared" si="151"/>
        <v>-1.1527377521613813E-2</v>
      </c>
    </row>
    <row r="929" spans="1:16">
      <c r="A929" s="319">
        <v>45551</v>
      </c>
      <c r="B929" s="31">
        <v>3.96</v>
      </c>
      <c r="C929" s="30">
        <v>3.56</v>
      </c>
      <c r="D929" s="30">
        <v>3.42</v>
      </c>
      <c r="E929" s="30">
        <v>3.2791000000000001</v>
      </c>
      <c r="F929" s="29">
        <v>3.41</v>
      </c>
      <c r="G929" s="159">
        <f t="shared" si="142"/>
        <v>-4.0000000000000034E-4</v>
      </c>
      <c r="H929" s="154">
        <f t="shared" si="143"/>
        <v>-9.9999999999997863E-5</v>
      </c>
      <c r="I929" s="154">
        <f t="shared" si="144"/>
        <v>0</v>
      </c>
      <c r="J929" s="154">
        <f t="shared" si="145"/>
        <v>-2.8200000000000002E-4</v>
      </c>
      <c r="K929" s="160">
        <f t="shared" si="146"/>
        <v>-2.0000000000000017E-4</v>
      </c>
      <c r="L929" s="161">
        <f t="shared" si="147"/>
        <v>-1.0000000000000009E-2</v>
      </c>
      <c r="M929" s="155">
        <f t="shared" si="148"/>
        <v>-2.8011204481792618E-3</v>
      </c>
      <c r="N929" s="155">
        <f t="shared" si="149"/>
        <v>0</v>
      </c>
      <c r="O929" s="155">
        <f t="shared" si="150"/>
        <v>-8.5265926889003252E-3</v>
      </c>
      <c r="P929" s="162">
        <f t="shared" si="151"/>
        <v>-5.8309037900874383E-3</v>
      </c>
    </row>
    <row r="930" spans="1:16">
      <c r="A930" s="319">
        <v>45552</v>
      </c>
      <c r="B930" s="31">
        <v>3.99</v>
      </c>
      <c r="C930" s="30">
        <v>3.59</v>
      </c>
      <c r="D930" s="30">
        <v>3.45</v>
      </c>
      <c r="E930" s="30">
        <v>3.2978999999999998</v>
      </c>
      <c r="F930" s="29">
        <v>3.44</v>
      </c>
      <c r="G930" s="159">
        <f t="shared" si="142"/>
        <v>3.0000000000000247E-4</v>
      </c>
      <c r="H930" s="154">
        <f t="shared" si="143"/>
        <v>2.9999999999999802E-4</v>
      </c>
      <c r="I930" s="154">
        <f t="shared" si="144"/>
        <v>3.0000000000000247E-4</v>
      </c>
      <c r="J930" s="154">
        <f t="shared" si="145"/>
        <v>1.8799999999999706E-4</v>
      </c>
      <c r="K930" s="160">
        <f t="shared" si="146"/>
        <v>2.9999999999999802E-4</v>
      </c>
      <c r="L930" s="161">
        <f t="shared" si="147"/>
        <v>7.575757575757569E-3</v>
      </c>
      <c r="M930" s="155">
        <f t="shared" si="148"/>
        <v>8.4269662921347965E-3</v>
      </c>
      <c r="N930" s="155">
        <f t="shared" si="149"/>
        <v>8.7719298245614308E-3</v>
      </c>
      <c r="O930" s="155">
        <f t="shared" si="150"/>
        <v>5.7332804733005727E-3</v>
      </c>
      <c r="P930" s="162">
        <f t="shared" si="151"/>
        <v>8.7976539589442737E-3</v>
      </c>
    </row>
    <row r="931" spans="1:16">
      <c r="A931" s="319">
        <v>45553</v>
      </c>
      <c r="B931" s="31">
        <v>3.95</v>
      </c>
      <c r="C931" s="30">
        <v>3.61</v>
      </c>
      <c r="D931" s="30">
        <v>3.49</v>
      </c>
      <c r="E931" s="30">
        <v>3.3298000000000001</v>
      </c>
      <c r="F931" s="29">
        <v>3.47</v>
      </c>
      <c r="G931" s="159">
        <f t="shared" si="142"/>
        <v>-4.0000000000000034E-4</v>
      </c>
      <c r="H931" s="154">
        <f t="shared" si="143"/>
        <v>2.0000000000000017E-4</v>
      </c>
      <c r="I931" s="154">
        <f t="shared" si="144"/>
        <v>4.0000000000000034E-4</v>
      </c>
      <c r="J931" s="154">
        <f t="shared" si="145"/>
        <v>3.190000000000026E-4</v>
      </c>
      <c r="K931" s="160">
        <f t="shared" si="146"/>
        <v>3.0000000000000247E-4</v>
      </c>
      <c r="L931" s="161">
        <f t="shared" si="147"/>
        <v>-1.0025062656641603E-2</v>
      </c>
      <c r="M931" s="155">
        <f t="shared" si="148"/>
        <v>5.5710306406684396E-3</v>
      </c>
      <c r="N931" s="155">
        <f t="shared" si="149"/>
        <v>1.1594202898550732E-2</v>
      </c>
      <c r="O931" s="155">
        <f t="shared" si="150"/>
        <v>9.6728220989115155E-3</v>
      </c>
      <c r="P931" s="162">
        <f t="shared" si="151"/>
        <v>8.720930232558155E-3</v>
      </c>
    </row>
    <row r="932" spans="1:16">
      <c r="A932" s="319">
        <v>45554</v>
      </c>
      <c r="B932" s="31">
        <v>3.93</v>
      </c>
      <c r="C932" s="30">
        <v>3.59</v>
      </c>
      <c r="D932" s="30">
        <v>3.47</v>
      </c>
      <c r="E932" s="30">
        <v>3.3460999999999999</v>
      </c>
      <c r="F932" s="29">
        <v>3.49</v>
      </c>
      <c r="G932" s="159">
        <f t="shared" si="142"/>
        <v>-2.0000000000000017E-4</v>
      </c>
      <c r="H932" s="154">
        <f t="shared" si="143"/>
        <v>-2.0000000000000017E-4</v>
      </c>
      <c r="I932" s="154">
        <f t="shared" si="144"/>
        <v>-2.0000000000000017E-4</v>
      </c>
      <c r="J932" s="154">
        <f t="shared" si="145"/>
        <v>1.6299999999999759E-4</v>
      </c>
      <c r="K932" s="160">
        <f t="shared" si="146"/>
        <v>2.0000000000000017E-4</v>
      </c>
      <c r="L932" s="161">
        <f t="shared" si="147"/>
        <v>-5.0632911392405333E-3</v>
      </c>
      <c r="M932" s="155">
        <f t="shared" si="148"/>
        <v>-5.5401662049862077E-3</v>
      </c>
      <c r="N932" s="155">
        <f t="shared" si="149"/>
        <v>-5.7306590257879542E-3</v>
      </c>
      <c r="O932" s="155">
        <f t="shared" si="150"/>
        <v>4.8951889002342153E-3</v>
      </c>
      <c r="P932" s="162">
        <f t="shared" si="151"/>
        <v>5.7636887608070175E-3</v>
      </c>
    </row>
    <row r="933" spans="1:16">
      <c r="A933" s="319">
        <v>45555</v>
      </c>
      <c r="B933" s="31">
        <v>3.92</v>
      </c>
      <c r="C933" s="30">
        <v>3.55</v>
      </c>
      <c r="D933" s="30">
        <v>3.46</v>
      </c>
      <c r="E933" s="30">
        <v>3.3397000000000001</v>
      </c>
      <c r="F933" s="29">
        <v>3.48</v>
      </c>
      <c r="G933" s="159">
        <f t="shared" si="142"/>
        <v>-1.0000000000000231E-4</v>
      </c>
      <c r="H933" s="154">
        <f t="shared" si="143"/>
        <v>-4.0000000000000034E-4</v>
      </c>
      <c r="I933" s="154">
        <f t="shared" si="144"/>
        <v>-1.0000000000000231E-4</v>
      </c>
      <c r="J933" s="154">
        <f t="shared" si="145"/>
        <v>-6.3999999999997395E-5</v>
      </c>
      <c r="K933" s="160">
        <f t="shared" si="146"/>
        <v>-1.0000000000000231E-4</v>
      </c>
      <c r="L933" s="161">
        <f t="shared" si="147"/>
        <v>-2.5445292620865922E-3</v>
      </c>
      <c r="M933" s="155">
        <f t="shared" si="148"/>
        <v>-1.1142061281337101E-2</v>
      </c>
      <c r="N933" s="155">
        <f t="shared" si="149"/>
        <v>-2.8818443804035088E-3</v>
      </c>
      <c r="O933" s="155">
        <f t="shared" si="150"/>
        <v>-1.9126744568302989E-3</v>
      </c>
      <c r="P933" s="162">
        <f t="shared" si="151"/>
        <v>-2.8653295128940881E-3</v>
      </c>
    </row>
    <row r="934" spans="1:16">
      <c r="A934" s="319">
        <v>45558</v>
      </c>
      <c r="B934" s="31">
        <v>3.91</v>
      </c>
      <c r="C934" s="30">
        <v>3.57</v>
      </c>
      <c r="D934" s="30">
        <v>3.47</v>
      </c>
      <c r="E934" s="30">
        <v>3.3532999999999999</v>
      </c>
      <c r="F934" s="29">
        <v>3.51</v>
      </c>
      <c r="G934" s="159">
        <f t="shared" si="142"/>
        <v>-9.9999999999997863E-5</v>
      </c>
      <c r="H934" s="154">
        <f t="shared" si="143"/>
        <v>2.0000000000000017E-4</v>
      </c>
      <c r="I934" s="154">
        <f t="shared" si="144"/>
        <v>1.0000000000000231E-4</v>
      </c>
      <c r="J934" s="154">
        <f t="shared" si="145"/>
        <v>1.3599999999999835E-4</v>
      </c>
      <c r="K934" s="160">
        <f t="shared" si="146"/>
        <v>2.9999999999999802E-4</v>
      </c>
      <c r="L934" s="161">
        <f t="shared" si="147"/>
        <v>-2.5510204081632404E-3</v>
      </c>
      <c r="M934" s="155">
        <f t="shared" si="148"/>
        <v>5.6338028169014009E-3</v>
      </c>
      <c r="N934" s="155">
        <f t="shared" si="149"/>
        <v>2.8901734104047616E-3</v>
      </c>
      <c r="O934" s="155">
        <f t="shared" si="150"/>
        <v>4.0722220558733202E-3</v>
      </c>
      <c r="P934" s="162">
        <f t="shared" si="151"/>
        <v>8.6206896551723755E-3</v>
      </c>
    </row>
    <row r="935" spans="1:16">
      <c r="A935" s="319">
        <v>45559</v>
      </c>
      <c r="B935" s="31">
        <v>3.88</v>
      </c>
      <c r="C935" s="30">
        <v>3.49</v>
      </c>
      <c r="D935" s="30">
        <v>3.44</v>
      </c>
      <c r="E935" s="30">
        <v>3.3340999999999998</v>
      </c>
      <c r="F935" s="29">
        <v>3.47</v>
      </c>
      <c r="G935" s="159">
        <f t="shared" si="142"/>
        <v>-3.0000000000000247E-4</v>
      </c>
      <c r="H935" s="154">
        <f t="shared" si="143"/>
        <v>-7.9999999999999624E-4</v>
      </c>
      <c r="I935" s="154">
        <f t="shared" si="144"/>
        <v>-3.0000000000000247E-4</v>
      </c>
      <c r="J935" s="154">
        <f t="shared" si="145"/>
        <v>-1.9200000000000106E-4</v>
      </c>
      <c r="K935" s="160">
        <f t="shared" si="146"/>
        <v>-3.999999999999959E-4</v>
      </c>
      <c r="L935" s="161">
        <f t="shared" si="147"/>
        <v>-7.6726342710997653E-3</v>
      </c>
      <c r="M935" s="155">
        <f t="shared" si="148"/>
        <v>-2.2408963585434094E-2</v>
      </c>
      <c r="N935" s="155">
        <f t="shared" si="149"/>
        <v>-8.6455331412104153E-3</v>
      </c>
      <c r="O935" s="155">
        <f t="shared" si="150"/>
        <v>-5.7257030387976027E-3</v>
      </c>
      <c r="P935" s="162">
        <f t="shared" si="151"/>
        <v>-1.1396011396011319E-2</v>
      </c>
    </row>
    <row r="936" spans="1:16">
      <c r="A936" s="319">
        <v>45560</v>
      </c>
      <c r="B936" s="31">
        <v>3.89</v>
      </c>
      <c r="C936" s="30">
        <v>3.53</v>
      </c>
      <c r="D936" s="30">
        <v>3.49</v>
      </c>
      <c r="E936" s="30">
        <v>3.3683999999999998</v>
      </c>
      <c r="F936" s="29">
        <v>3.52</v>
      </c>
      <c r="G936" s="159">
        <f t="shared" si="142"/>
        <v>1.0000000000000231E-4</v>
      </c>
      <c r="H936" s="154">
        <f t="shared" si="143"/>
        <v>3.999999999999959E-4</v>
      </c>
      <c r="I936" s="154">
        <f t="shared" si="144"/>
        <v>5.0000000000000261E-4</v>
      </c>
      <c r="J936" s="154">
        <f t="shared" si="145"/>
        <v>3.4299999999999999E-4</v>
      </c>
      <c r="K936" s="160">
        <f t="shared" si="146"/>
        <v>4.9999999999999828E-4</v>
      </c>
      <c r="L936" s="161">
        <f t="shared" si="147"/>
        <v>2.5773195876288568E-3</v>
      </c>
      <c r="M936" s="155">
        <f t="shared" si="148"/>
        <v>1.1461318051575908E-2</v>
      </c>
      <c r="N936" s="155">
        <f t="shared" si="149"/>
        <v>1.4534883720930258E-2</v>
      </c>
      <c r="O936" s="155">
        <f t="shared" si="150"/>
        <v>1.0287633844215938E-2</v>
      </c>
      <c r="P936" s="162">
        <f t="shared" si="151"/>
        <v>1.4409221902017322E-2</v>
      </c>
    </row>
    <row r="937" spans="1:16">
      <c r="A937" s="319">
        <v>45561</v>
      </c>
      <c r="B937" s="31">
        <v>3.96</v>
      </c>
      <c r="C937" s="30">
        <v>3.6</v>
      </c>
      <c r="D937" s="30">
        <v>3.54</v>
      </c>
      <c r="E937" s="30">
        <v>3.4091</v>
      </c>
      <c r="F937" s="29">
        <v>3.55</v>
      </c>
      <c r="G937" s="159">
        <f t="shared" si="142"/>
        <v>6.9999999999999837E-4</v>
      </c>
      <c r="H937" s="154">
        <f t="shared" si="143"/>
        <v>7.0000000000000281E-4</v>
      </c>
      <c r="I937" s="154">
        <f t="shared" si="144"/>
        <v>4.9999999999999828E-4</v>
      </c>
      <c r="J937" s="154">
        <f t="shared" si="145"/>
        <v>4.0700000000000182E-4</v>
      </c>
      <c r="K937" s="160">
        <f t="shared" si="146"/>
        <v>2.9999999999999802E-4</v>
      </c>
      <c r="L937" s="161">
        <f t="shared" si="147"/>
        <v>1.799485861182526E-2</v>
      </c>
      <c r="M937" s="155">
        <f t="shared" si="148"/>
        <v>1.9830028328611915E-2</v>
      </c>
      <c r="N937" s="155">
        <f t="shared" si="149"/>
        <v>1.4326647564469885E-2</v>
      </c>
      <c r="O937" s="155">
        <f t="shared" si="150"/>
        <v>1.2082888018050131E-2</v>
      </c>
      <c r="P937" s="162">
        <f t="shared" si="151"/>
        <v>8.5227272727272929E-3</v>
      </c>
    </row>
    <row r="938" spans="1:16">
      <c r="A938" s="319">
        <v>45562</v>
      </c>
      <c r="B938" s="31">
        <v>3.9</v>
      </c>
      <c r="C938" s="30">
        <v>3.55</v>
      </c>
      <c r="D938" s="30">
        <v>3.49</v>
      </c>
      <c r="E938" s="30">
        <v>3.3746999999999998</v>
      </c>
      <c r="F938" s="29">
        <v>3.5</v>
      </c>
      <c r="G938" s="159">
        <f t="shared" si="142"/>
        <v>-6.0000000000000049E-4</v>
      </c>
      <c r="H938" s="154">
        <f t="shared" si="143"/>
        <v>-5.0000000000000261E-4</v>
      </c>
      <c r="I938" s="154">
        <f t="shared" si="144"/>
        <v>-4.9999999999999828E-4</v>
      </c>
      <c r="J938" s="154">
        <f t="shared" si="145"/>
        <v>-3.4400000000000207E-4</v>
      </c>
      <c r="K938" s="160">
        <f t="shared" si="146"/>
        <v>-4.9999999999999828E-4</v>
      </c>
      <c r="L938" s="161">
        <f t="shared" si="147"/>
        <v>-1.5151515151515138E-2</v>
      </c>
      <c r="M938" s="155">
        <f t="shared" si="148"/>
        <v>-1.3888888888888951E-2</v>
      </c>
      <c r="N938" s="155">
        <f t="shared" si="149"/>
        <v>-1.412429378531066E-2</v>
      </c>
      <c r="O938" s="155">
        <f t="shared" si="150"/>
        <v>-1.0090639758294051E-2</v>
      </c>
      <c r="P938" s="162">
        <f t="shared" si="151"/>
        <v>-1.4084507042253502E-2</v>
      </c>
    </row>
    <row r="939" spans="1:16">
      <c r="A939" s="319">
        <v>45565</v>
      </c>
      <c r="B939" s="31">
        <v>3.98</v>
      </c>
      <c r="C939" s="30">
        <v>3.66</v>
      </c>
      <c r="D939" s="30">
        <v>3.58</v>
      </c>
      <c r="E939" s="30">
        <v>3.4333</v>
      </c>
      <c r="F939" s="29">
        <v>3.58</v>
      </c>
      <c r="G939" s="159">
        <f t="shared" si="142"/>
        <v>8.0000000000000069E-4</v>
      </c>
      <c r="H939" s="154">
        <f t="shared" si="143"/>
        <v>1.1000000000000031E-3</v>
      </c>
      <c r="I939" s="154">
        <f t="shared" si="144"/>
        <v>8.9999999999999857E-4</v>
      </c>
      <c r="J939" s="154">
        <f t="shared" si="145"/>
        <v>5.860000000000021E-4</v>
      </c>
      <c r="K939" s="160">
        <f t="shared" si="146"/>
        <v>8.0000000000000069E-4</v>
      </c>
      <c r="L939" s="161">
        <f t="shared" si="147"/>
        <v>2.051282051282044E-2</v>
      </c>
      <c r="M939" s="155">
        <f t="shared" si="148"/>
        <v>3.0985915492957927E-2</v>
      </c>
      <c r="N939" s="155">
        <f t="shared" si="149"/>
        <v>2.5787965616045794E-2</v>
      </c>
      <c r="O939" s="155">
        <f t="shared" si="150"/>
        <v>1.736450647464971E-2</v>
      </c>
      <c r="P939" s="162">
        <f t="shared" si="151"/>
        <v>2.2857142857142909E-2</v>
      </c>
    </row>
    <row r="940" spans="1:16">
      <c r="A940" s="319">
        <v>45566</v>
      </c>
      <c r="B940" s="31">
        <v>3.96</v>
      </c>
      <c r="C940" s="30">
        <v>3.61</v>
      </c>
      <c r="D940" s="30">
        <v>3.52</v>
      </c>
      <c r="E940" s="30">
        <v>3.4005999999999998</v>
      </c>
      <c r="F940" s="29">
        <v>3.51</v>
      </c>
      <c r="G940" s="159">
        <f t="shared" si="142"/>
        <v>-2.0000000000000017E-4</v>
      </c>
      <c r="H940" s="154">
        <f t="shared" si="143"/>
        <v>-5.0000000000000261E-4</v>
      </c>
      <c r="I940" s="154">
        <f t="shared" si="144"/>
        <v>-6.0000000000000049E-4</v>
      </c>
      <c r="J940" s="154">
        <f t="shared" si="145"/>
        <v>-3.2700000000000171E-4</v>
      </c>
      <c r="K940" s="160">
        <f t="shared" si="146"/>
        <v>-7.0000000000000281E-4</v>
      </c>
      <c r="L940" s="161">
        <f t="shared" si="147"/>
        <v>-5.0251256281407253E-3</v>
      </c>
      <c r="M940" s="155">
        <f t="shared" si="148"/>
        <v>-1.3661202185792476E-2</v>
      </c>
      <c r="N940" s="155">
        <f t="shared" si="149"/>
        <v>-1.6759776536312887E-2</v>
      </c>
      <c r="O940" s="155">
        <f t="shared" si="150"/>
        <v>-9.5243643142166601E-3</v>
      </c>
      <c r="P940" s="162">
        <f t="shared" si="151"/>
        <v>-1.9553072625698387E-2</v>
      </c>
    </row>
    <row r="941" spans="1:16">
      <c r="A941" s="319">
        <v>45567</v>
      </c>
      <c r="B941" s="31">
        <v>3.97</v>
      </c>
      <c r="C941" s="30">
        <v>3.63</v>
      </c>
      <c r="D941" s="30">
        <v>3.54</v>
      </c>
      <c r="E941" s="30">
        <v>3.4224000000000001</v>
      </c>
      <c r="F941" s="29">
        <v>3.55</v>
      </c>
      <c r="G941" s="159">
        <f t="shared" si="142"/>
        <v>1.0000000000000231E-4</v>
      </c>
      <c r="H941" s="154">
        <f t="shared" si="143"/>
        <v>2.0000000000000017E-4</v>
      </c>
      <c r="I941" s="154">
        <f t="shared" si="144"/>
        <v>2.0000000000000017E-4</v>
      </c>
      <c r="J941" s="154">
        <f t="shared" si="145"/>
        <v>2.1800000000000264E-4</v>
      </c>
      <c r="K941" s="160">
        <f t="shared" si="146"/>
        <v>4.0000000000000034E-4</v>
      </c>
      <c r="L941" s="161">
        <f t="shared" si="147"/>
        <v>2.525252525252597E-3</v>
      </c>
      <c r="M941" s="155">
        <f t="shared" si="148"/>
        <v>5.5401662049860967E-3</v>
      </c>
      <c r="N941" s="155">
        <f t="shared" si="149"/>
        <v>5.6818181818181213E-3</v>
      </c>
      <c r="O941" s="155">
        <f t="shared" si="150"/>
        <v>6.41063341763215E-3</v>
      </c>
      <c r="P941" s="162">
        <f t="shared" si="151"/>
        <v>1.139601139601143E-2</v>
      </c>
    </row>
    <row r="942" spans="1:16">
      <c r="A942" s="319">
        <v>45568</v>
      </c>
      <c r="B942" s="31">
        <v>4.0199999999999996</v>
      </c>
      <c r="C942" s="30">
        <v>3.7</v>
      </c>
      <c r="D942" s="30">
        <v>3.62</v>
      </c>
      <c r="E942" s="30">
        <v>3.4857999999999998</v>
      </c>
      <c r="F942" s="29">
        <v>3.62</v>
      </c>
      <c r="G942" s="159">
        <f t="shared" si="142"/>
        <v>4.9999999999999383E-4</v>
      </c>
      <c r="H942" s="154">
        <f t="shared" si="143"/>
        <v>7.0000000000000281E-4</v>
      </c>
      <c r="I942" s="154">
        <f t="shared" si="144"/>
        <v>8.0000000000000069E-4</v>
      </c>
      <c r="J942" s="154">
        <f t="shared" si="145"/>
        <v>6.3399999999999676E-4</v>
      </c>
      <c r="K942" s="160">
        <f t="shared" si="146"/>
        <v>7.0000000000000281E-4</v>
      </c>
      <c r="L942" s="161">
        <f t="shared" si="147"/>
        <v>1.2594458438287104E-2</v>
      </c>
      <c r="M942" s="155">
        <f t="shared" si="148"/>
        <v>1.9283746556473913E-2</v>
      </c>
      <c r="N942" s="155">
        <f t="shared" si="149"/>
        <v>2.2598870056497189E-2</v>
      </c>
      <c r="O942" s="155">
        <f t="shared" si="150"/>
        <v>1.8525011687704485E-2</v>
      </c>
      <c r="P942" s="162">
        <f t="shared" si="151"/>
        <v>1.9718309859154903E-2</v>
      </c>
    </row>
    <row r="943" spans="1:16">
      <c r="A943" s="319">
        <v>45569</v>
      </c>
      <c r="B943" s="31">
        <v>4.2</v>
      </c>
      <c r="C943" s="30">
        <v>3.93</v>
      </c>
      <c r="D943" s="30">
        <v>3.84</v>
      </c>
      <c r="E943" s="30">
        <v>3.6575000000000002</v>
      </c>
      <c r="F943" s="29">
        <v>3.81</v>
      </c>
      <c r="G943" s="159">
        <f t="shared" si="142"/>
        <v>1.800000000000006E-3</v>
      </c>
      <c r="H943" s="154">
        <f t="shared" si="143"/>
        <v>2.3E-3</v>
      </c>
      <c r="I943" s="154">
        <f t="shared" si="144"/>
        <v>2.1999999999999975E-3</v>
      </c>
      <c r="J943" s="154">
        <f t="shared" si="145"/>
        <v>1.7170000000000041E-3</v>
      </c>
      <c r="K943" s="160">
        <f t="shared" si="146"/>
        <v>1.8999999999999996E-3</v>
      </c>
      <c r="L943" s="161">
        <f t="shared" si="147"/>
        <v>4.4776119402985204E-2</v>
      </c>
      <c r="M943" s="155">
        <f t="shared" si="148"/>
        <v>6.2162162162162193E-2</v>
      </c>
      <c r="N943" s="155">
        <f t="shared" si="149"/>
        <v>6.0773480662983381E-2</v>
      </c>
      <c r="O943" s="155">
        <f t="shared" si="150"/>
        <v>4.9256985483963733E-2</v>
      </c>
      <c r="P943" s="162">
        <f t="shared" si="151"/>
        <v>5.2486187845303789E-2</v>
      </c>
    </row>
    <row r="944" spans="1:16">
      <c r="A944" s="319">
        <v>45572</v>
      </c>
      <c r="B944" s="31">
        <v>4.24</v>
      </c>
      <c r="C944" s="30">
        <v>3.99</v>
      </c>
      <c r="D944" s="30">
        <v>3.89</v>
      </c>
      <c r="E944" s="30">
        <v>3.7480000000000002</v>
      </c>
      <c r="F944" s="29">
        <v>3.86</v>
      </c>
      <c r="G944" s="159">
        <f t="shared" si="142"/>
        <v>4.0000000000000034E-4</v>
      </c>
      <c r="H944" s="154">
        <f t="shared" si="143"/>
        <v>6.0000000000000049E-4</v>
      </c>
      <c r="I944" s="154">
        <f t="shared" si="144"/>
        <v>5.0000000000000261E-4</v>
      </c>
      <c r="J944" s="154">
        <f t="shared" si="145"/>
        <v>9.0500000000000021E-4</v>
      </c>
      <c r="K944" s="160">
        <f t="shared" si="146"/>
        <v>4.9999999999999828E-4</v>
      </c>
      <c r="L944" s="161">
        <f t="shared" si="147"/>
        <v>9.52380952380949E-3</v>
      </c>
      <c r="M944" s="155">
        <f t="shared" si="148"/>
        <v>1.5267175572519109E-2</v>
      </c>
      <c r="N944" s="155">
        <f t="shared" si="149"/>
        <v>1.3020833333333481E-2</v>
      </c>
      <c r="O944" s="155">
        <f t="shared" si="150"/>
        <v>2.474367737525629E-2</v>
      </c>
      <c r="P944" s="162">
        <f t="shared" si="151"/>
        <v>1.3123359580052396E-2</v>
      </c>
    </row>
    <row r="945" spans="1:16">
      <c r="A945" s="319">
        <v>45573</v>
      </c>
      <c r="B945" s="31">
        <v>4.21</v>
      </c>
      <c r="C945" s="30">
        <v>3.98</v>
      </c>
      <c r="D945" s="30">
        <v>3.86</v>
      </c>
      <c r="E945" s="30">
        <v>3.7614999999999998</v>
      </c>
      <c r="F945" s="29">
        <v>3.86</v>
      </c>
      <c r="G945" s="159">
        <f t="shared" si="142"/>
        <v>-3.0000000000000247E-4</v>
      </c>
      <c r="H945" s="154">
        <f t="shared" si="143"/>
        <v>-1.0000000000000231E-4</v>
      </c>
      <c r="I945" s="154">
        <f t="shared" si="144"/>
        <v>-3.0000000000000247E-4</v>
      </c>
      <c r="J945" s="154">
        <f t="shared" si="145"/>
        <v>1.3499999999999623E-4</v>
      </c>
      <c r="K945" s="160">
        <f t="shared" si="146"/>
        <v>0</v>
      </c>
      <c r="L945" s="161">
        <f t="shared" si="147"/>
        <v>-7.0754716981132892E-3</v>
      </c>
      <c r="M945" s="155">
        <f t="shared" si="148"/>
        <v>-2.5062656641604564E-3</v>
      </c>
      <c r="N945" s="155">
        <f t="shared" si="149"/>
        <v>-7.7120822622108731E-3</v>
      </c>
      <c r="O945" s="155">
        <f t="shared" si="150"/>
        <v>3.6019210245463729E-3</v>
      </c>
      <c r="P945" s="162">
        <f t="shared" si="151"/>
        <v>0</v>
      </c>
    </row>
    <row r="946" spans="1:16">
      <c r="A946" s="319">
        <v>45574</v>
      </c>
      <c r="B946" s="31">
        <v>4.24</v>
      </c>
      <c r="C946" s="30">
        <v>3.99</v>
      </c>
      <c r="D946" s="30">
        <v>3.89</v>
      </c>
      <c r="E946" s="30">
        <v>3.8001999999999998</v>
      </c>
      <c r="F946" s="29">
        <v>3.91</v>
      </c>
      <c r="G946" s="159">
        <f t="shared" si="142"/>
        <v>3.0000000000000247E-4</v>
      </c>
      <c r="H946" s="154">
        <f t="shared" si="143"/>
        <v>1.0000000000000231E-4</v>
      </c>
      <c r="I946" s="154">
        <f t="shared" si="144"/>
        <v>3.0000000000000247E-4</v>
      </c>
      <c r="J946" s="154">
        <f t="shared" si="145"/>
        <v>3.8699999999999954E-4</v>
      </c>
      <c r="K946" s="160">
        <f t="shared" si="146"/>
        <v>5.0000000000000261E-4</v>
      </c>
      <c r="L946" s="161">
        <f t="shared" si="147"/>
        <v>7.1258907363420665E-3</v>
      </c>
      <c r="M946" s="155">
        <f t="shared" si="148"/>
        <v>2.5125628140703071E-3</v>
      </c>
      <c r="N946" s="155">
        <f t="shared" si="149"/>
        <v>7.7720207253886286E-3</v>
      </c>
      <c r="O946" s="155">
        <f t="shared" si="150"/>
        <v>1.0288448757144852E-2</v>
      </c>
      <c r="P946" s="162">
        <f t="shared" si="151"/>
        <v>1.2953367875647714E-2</v>
      </c>
    </row>
    <row r="947" spans="1:16">
      <c r="A947" s="319">
        <v>45575</v>
      </c>
      <c r="B947" s="31">
        <v>4.22</v>
      </c>
      <c r="C947" s="30">
        <v>3.98</v>
      </c>
      <c r="D947" s="30">
        <v>3.88</v>
      </c>
      <c r="E947" s="30">
        <v>3.8096999999999999</v>
      </c>
      <c r="F947" s="29">
        <v>3.91</v>
      </c>
      <c r="G947" s="159">
        <f t="shared" si="142"/>
        <v>-2.0000000000000462E-4</v>
      </c>
      <c r="H947" s="154">
        <f t="shared" si="143"/>
        <v>-1.0000000000000231E-4</v>
      </c>
      <c r="I947" s="154">
        <f t="shared" si="144"/>
        <v>-1.0000000000000231E-4</v>
      </c>
      <c r="J947" s="154">
        <f t="shared" si="145"/>
        <v>9.5000000000000642E-5</v>
      </c>
      <c r="K947" s="160">
        <f t="shared" si="146"/>
        <v>0</v>
      </c>
      <c r="L947" s="161">
        <f t="shared" si="147"/>
        <v>-4.7169811320755262E-3</v>
      </c>
      <c r="M947" s="155">
        <f t="shared" si="148"/>
        <v>-2.5062656641604564E-3</v>
      </c>
      <c r="N947" s="155">
        <f t="shared" si="149"/>
        <v>-2.5706940874036244E-3</v>
      </c>
      <c r="O947" s="155">
        <f t="shared" si="150"/>
        <v>2.4998684279775585E-3</v>
      </c>
      <c r="P947" s="162">
        <f t="shared" si="151"/>
        <v>0</v>
      </c>
    </row>
    <row r="948" spans="1:16">
      <c r="A948" s="319">
        <v>45576</v>
      </c>
      <c r="B948" s="31">
        <v>4.18</v>
      </c>
      <c r="C948" s="30">
        <v>3.95</v>
      </c>
      <c r="D948" s="30">
        <v>3.85</v>
      </c>
      <c r="E948" s="30">
        <v>3.7905000000000002</v>
      </c>
      <c r="F948" s="29">
        <v>3.88</v>
      </c>
      <c r="G948" s="159">
        <f t="shared" si="142"/>
        <v>-4.0000000000000034E-4</v>
      </c>
      <c r="H948" s="154">
        <f t="shared" si="143"/>
        <v>-2.9999999999999802E-4</v>
      </c>
      <c r="I948" s="154">
        <f t="shared" si="144"/>
        <v>-2.9999999999999802E-4</v>
      </c>
      <c r="J948" s="154">
        <f t="shared" si="145"/>
        <v>-1.9199999999999662E-4</v>
      </c>
      <c r="K948" s="160">
        <f t="shared" si="146"/>
        <v>-3.0000000000000247E-4</v>
      </c>
      <c r="L948" s="161">
        <f t="shared" si="147"/>
        <v>-9.4786729857819774E-3</v>
      </c>
      <c r="M948" s="155">
        <f t="shared" si="148"/>
        <v>-7.5376884422110324E-3</v>
      </c>
      <c r="N948" s="155">
        <f t="shared" si="149"/>
        <v>-7.7319587628865705E-3</v>
      </c>
      <c r="O948" s="155">
        <f t="shared" si="150"/>
        <v>-5.0397669107803411E-3</v>
      </c>
      <c r="P948" s="162">
        <f t="shared" si="151"/>
        <v>-7.6726342710997653E-3</v>
      </c>
    </row>
    <row r="949" spans="1:16">
      <c r="A949" s="319">
        <v>45580</v>
      </c>
      <c r="B949" s="31">
        <v>4.18</v>
      </c>
      <c r="C949" s="30">
        <v>3.95</v>
      </c>
      <c r="D949" s="30">
        <v>3.86</v>
      </c>
      <c r="E949" s="30">
        <v>3.7681</v>
      </c>
      <c r="F949" s="29">
        <v>3.86</v>
      </c>
      <c r="G949" s="159">
        <f t="shared" si="142"/>
        <v>0</v>
      </c>
      <c r="H949" s="154">
        <f t="shared" si="143"/>
        <v>0</v>
      </c>
      <c r="I949" s="154">
        <f t="shared" si="144"/>
        <v>9.9999999999997863E-5</v>
      </c>
      <c r="J949" s="154">
        <f t="shared" si="145"/>
        <v>-2.2400000000000198E-4</v>
      </c>
      <c r="K949" s="160">
        <f t="shared" si="146"/>
        <v>-2.0000000000000017E-4</v>
      </c>
      <c r="L949" s="161">
        <f t="shared" si="147"/>
        <v>0</v>
      </c>
      <c r="M949" s="155">
        <f t="shared" si="148"/>
        <v>0</v>
      </c>
      <c r="N949" s="155">
        <f t="shared" si="149"/>
        <v>2.5974025974024872E-3</v>
      </c>
      <c r="O949" s="155">
        <f t="shared" si="150"/>
        <v>-5.9095106186519697E-3</v>
      </c>
      <c r="P949" s="162">
        <f t="shared" si="151"/>
        <v>-5.1546391752577136E-3</v>
      </c>
    </row>
    <row r="950" spans="1:16">
      <c r="A950" s="319">
        <v>45581</v>
      </c>
      <c r="B950" s="31">
        <v>4.17</v>
      </c>
      <c r="C950" s="30">
        <v>3.93</v>
      </c>
      <c r="D950" s="30">
        <v>3.84</v>
      </c>
      <c r="E950" s="30">
        <v>3.7523</v>
      </c>
      <c r="F950" s="29">
        <v>3.84</v>
      </c>
      <c r="G950" s="159">
        <f t="shared" si="142"/>
        <v>-9.9999999999997863E-5</v>
      </c>
      <c r="H950" s="154">
        <f t="shared" si="143"/>
        <v>-2.0000000000000017E-4</v>
      </c>
      <c r="I950" s="154">
        <f t="shared" si="144"/>
        <v>-2.0000000000000017E-4</v>
      </c>
      <c r="J950" s="154">
        <f t="shared" si="145"/>
        <v>-1.5800000000000037E-4</v>
      </c>
      <c r="K950" s="160">
        <f t="shared" si="146"/>
        <v>-2.0000000000000017E-4</v>
      </c>
      <c r="L950" s="161">
        <f t="shared" si="147"/>
        <v>-2.3923444976076125E-3</v>
      </c>
      <c r="M950" s="155">
        <f t="shared" si="148"/>
        <v>-5.0632911392405333E-3</v>
      </c>
      <c r="N950" s="155">
        <f t="shared" si="149"/>
        <v>-5.1813471502590858E-3</v>
      </c>
      <c r="O950" s="155">
        <f t="shared" si="150"/>
        <v>-4.1930946630928112E-3</v>
      </c>
      <c r="P950" s="162">
        <f t="shared" si="151"/>
        <v>-5.1813471502590858E-3</v>
      </c>
    </row>
    <row r="951" spans="1:16">
      <c r="A951" s="319">
        <v>45582</v>
      </c>
      <c r="B951" s="31">
        <v>4.21</v>
      </c>
      <c r="C951" s="30">
        <v>3.96</v>
      </c>
      <c r="D951" s="30">
        <v>3.89</v>
      </c>
      <c r="E951" s="30">
        <v>3.7980999999999998</v>
      </c>
      <c r="F951" s="29">
        <v>3.9</v>
      </c>
      <c r="G951" s="159">
        <f t="shared" si="142"/>
        <v>4.0000000000000034E-4</v>
      </c>
      <c r="H951" s="154">
        <f t="shared" si="143"/>
        <v>2.9999999999999802E-4</v>
      </c>
      <c r="I951" s="154">
        <f t="shared" si="144"/>
        <v>5.0000000000000261E-4</v>
      </c>
      <c r="J951" s="154">
        <f t="shared" si="145"/>
        <v>4.5799999999999839E-4</v>
      </c>
      <c r="K951" s="160">
        <f t="shared" si="146"/>
        <v>6.0000000000000049E-4</v>
      </c>
      <c r="L951" s="161">
        <f t="shared" si="147"/>
        <v>9.5923261390886694E-3</v>
      </c>
      <c r="M951" s="155">
        <f t="shared" si="148"/>
        <v>7.6335877862594437E-3</v>
      </c>
      <c r="N951" s="155">
        <f t="shared" si="149"/>
        <v>1.3020833333333481E-2</v>
      </c>
      <c r="O951" s="155">
        <f t="shared" si="150"/>
        <v>1.2205847080457355E-2</v>
      </c>
      <c r="P951" s="162">
        <f t="shared" si="151"/>
        <v>1.5625E-2</v>
      </c>
    </row>
    <row r="952" spans="1:16">
      <c r="A952" s="319">
        <v>45583</v>
      </c>
      <c r="B952" s="31">
        <v>4.1900000000000004</v>
      </c>
      <c r="C952" s="30">
        <v>3.95</v>
      </c>
      <c r="D952" s="30">
        <v>3.86</v>
      </c>
      <c r="E952" s="30">
        <v>3.7906</v>
      </c>
      <c r="F952" s="29">
        <v>3.88</v>
      </c>
      <c r="G952" s="159">
        <f t="shared" si="142"/>
        <v>-1.9999999999999573E-4</v>
      </c>
      <c r="H952" s="154">
        <f t="shared" si="143"/>
        <v>-9.9999999999997863E-5</v>
      </c>
      <c r="I952" s="154">
        <f t="shared" si="144"/>
        <v>-3.0000000000000247E-4</v>
      </c>
      <c r="J952" s="154">
        <f t="shared" si="145"/>
        <v>-7.4999999999998408E-5</v>
      </c>
      <c r="K952" s="160">
        <f t="shared" si="146"/>
        <v>-2.0000000000000017E-4</v>
      </c>
      <c r="L952" s="161">
        <f t="shared" si="147"/>
        <v>-4.7505938242279333E-3</v>
      </c>
      <c r="M952" s="155">
        <f t="shared" si="148"/>
        <v>-2.525252525252486E-3</v>
      </c>
      <c r="N952" s="155">
        <f t="shared" si="149"/>
        <v>-7.7120822622108731E-3</v>
      </c>
      <c r="O952" s="155">
        <f t="shared" si="150"/>
        <v>-1.974671546299378E-3</v>
      </c>
      <c r="P952" s="162">
        <f t="shared" si="151"/>
        <v>-5.12820512820511E-3</v>
      </c>
    </row>
    <row r="953" spans="1:16">
      <c r="A953" s="319">
        <v>45586</v>
      </c>
      <c r="B953" s="31">
        <v>4.24</v>
      </c>
      <c r="C953" s="30">
        <v>4.0199999999999996</v>
      </c>
      <c r="D953" s="30">
        <v>3.95</v>
      </c>
      <c r="E953" s="30">
        <v>3.8647</v>
      </c>
      <c r="F953" s="29">
        <v>3.98</v>
      </c>
      <c r="G953" s="159">
        <f t="shared" si="142"/>
        <v>4.9999999999999828E-4</v>
      </c>
      <c r="H953" s="154">
        <f t="shared" si="143"/>
        <v>6.9999999999999392E-4</v>
      </c>
      <c r="I953" s="154">
        <f t="shared" si="144"/>
        <v>9.0000000000000301E-4</v>
      </c>
      <c r="J953" s="154">
        <f t="shared" si="145"/>
        <v>7.4100000000000056E-4</v>
      </c>
      <c r="K953" s="160">
        <f t="shared" si="146"/>
        <v>1.0000000000000009E-3</v>
      </c>
      <c r="L953" s="161">
        <f t="shared" si="147"/>
        <v>1.193317422434359E-2</v>
      </c>
      <c r="M953" s="155">
        <f t="shared" si="148"/>
        <v>1.7721518987341645E-2</v>
      </c>
      <c r="N953" s="155">
        <f t="shared" si="149"/>
        <v>2.3316062176165886E-2</v>
      </c>
      <c r="O953" s="155">
        <f t="shared" si="150"/>
        <v>1.9548356460718619E-2</v>
      </c>
      <c r="P953" s="162">
        <f t="shared" si="151"/>
        <v>2.577319587628879E-2</v>
      </c>
    </row>
    <row r="954" spans="1:16">
      <c r="A954" s="319">
        <v>45587</v>
      </c>
      <c r="B954" s="31">
        <v>4.24</v>
      </c>
      <c r="C954" s="30">
        <v>4.03</v>
      </c>
      <c r="D954" s="30">
        <v>3.98</v>
      </c>
      <c r="E954" s="30">
        <v>3.8961000000000001</v>
      </c>
      <c r="F954" s="29">
        <v>4</v>
      </c>
      <c r="G954" s="159">
        <f t="shared" si="142"/>
        <v>0</v>
      </c>
      <c r="H954" s="154">
        <f t="shared" si="143"/>
        <v>1.0000000000000675E-4</v>
      </c>
      <c r="I954" s="154">
        <f t="shared" si="144"/>
        <v>2.9999999999999802E-4</v>
      </c>
      <c r="J954" s="154">
        <f t="shared" si="145"/>
        <v>3.1400000000000096E-4</v>
      </c>
      <c r="K954" s="160">
        <f t="shared" si="146"/>
        <v>2.0000000000000017E-4</v>
      </c>
      <c r="L954" s="161">
        <f t="shared" si="147"/>
        <v>0</v>
      </c>
      <c r="M954" s="155">
        <f t="shared" si="148"/>
        <v>2.4875621890549926E-3</v>
      </c>
      <c r="N954" s="155">
        <f t="shared" si="149"/>
        <v>7.5949367088608E-3</v>
      </c>
      <c r="O954" s="155">
        <f t="shared" si="150"/>
        <v>8.1248221077963034E-3</v>
      </c>
      <c r="P954" s="162">
        <f t="shared" si="151"/>
        <v>5.0251256281406143E-3</v>
      </c>
    </row>
    <row r="955" spans="1:16">
      <c r="A955" s="319">
        <v>45588</v>
      </c>
      <c r="B955" s="31">
        <v>4.2699999999999996</v>
      </c>
      <c r="C955" s="30">
        <v>4.07</v>
      </c>
      <c r="D955" s="30">
        <v>4.03</v>
      </c>
      <c r="E955" s="30">
        <v>3.9314</v>
      </c>
      <c r="F955" s="29">
        <v>4.05</v>
      </c>
      <c r="G955" s="159">
        <f t="shared" si="142"/>
        <v>2.9999999999999363E-4</v>
      </c>
      <c r="H955" s="154">
        <f t="shared" si="143"/>
        <v>4.0000000000000034E-4</v>
      </c>
      <c r="I955" s="154">
        <f t="shared" si="144"/>
        <v>5.0000000000000261E-4</v>
      </c>
      <c r="J955" s="154">
        <f t="shared" si="145"/>
        <v>3.5299999999999888E-4</v>
      </c>
      <c r="K955" s="160">
        <f t="shared" si="146"/>
        <v>4.9999999999999828E-4</v>
      </c>
      <c r="L955" s="161">
        <f t="shared" si="147"/>
        <v>7.0754716981129562E-3</v>
      </c>
      <c r="M955" s="155">
        <f t="shared" si="148"/>
        <v>9.9255583126551805E-3</v>
      </c>
      <c r="N955" s="155">
        <f t="shared" si="149"/>
        <v>1.2562814070351758E-2</v>
      </c>
      <c r="O955" s="155">
        <f t="shared" si="150"/>
        <v>9.0603423936757022E-3</v>
      </c>
      <c r="P955" s="162">
        <f t="shared" si="151"/>
        <v>1.2499999999999956E-2</v>
      </c>
    </row>
    <row r="956" spans="1:16">
      <c r="A956" s="319">
        <v>45589</v>
      </c>
      <c r="B956" s="31">
        <v>4.25</v>
      </c>
      <c r="C956" s="30">
        <v>4.07</v>
      </c>
      <c r="D956" s="30">
        <v>4.0199999999999996</v>
      </c>
      <c r="E956" s="30">
        <v>3.9289000000000001</v>
      </c>
      <c r="F956" s="29">
        <v>4.03</v>
      </c>
      <c r="G956" s="159">
        <f t="shared" si="142"/>
        <v>-1.9999999999999573E-4</v>
      </c>
      <c r="H956" s="154">
        <f t="shared" si="143"/>
        <v>0</v>
      </c>
      <c r="I956" s="154">
        <f t="shared" si="144"/>
        <v>-1.0000000000000675E-4</v>
      </c>
      <c r="J956" s="154">
        <f t="shared" si="145"/>
        <v>-2.4999999999999466E-5</v>
      </c>
      <c r="K956" s="160">
        <f t="shared" si="146"/>
        <v>-1.9999999999999573E-4</v>
      </c>
      <c r="L956" s="161">
        <f t="shared" si="147"/>
        <v>-4.6838407494144141E-3</v>
      </c>
      <c r="M956" s="155">
        <f t="shared" si="148"/>
        <v>0</v>
      </c>
      <c r="N956" s="155">
        <f t="shared" si="149"/>
        <v>-2.4813895781639062E-3</v>
      </c>
      <c r="O956" s="155">
        <f t="shared" si="150"/>
        <v>-6.3590578419903121E-4</v>
      </c>
      <c r="P956" s="162">
        <f t="shared" si="151"/>
        <v>-4.9382716049382047E-3</v>
      </c>
    </row>
    <row r="957" spans="1:16">
      <c r="A957" s="319">
        <v>45590</v>
      </c>
      <c r="B957" s="31">
        <v>4.29</v>
      </c>
      <c r="C957" s="30">
        <v>4.1100000000000003</v>
      </c>
      <c r="D957" s="30">
        <v>4.05</v>
      </c>
      <c r="E957" s="30">
        <v>3.9624999999999999</v>
      </c>
      <c r="F957" s="29">
        <v>4.07</v>
      </c>
      <c r="G957" s="159">
        <f t="shared" si="142"/>
        <v>4.0000000000000034E-4</v>
      </c>
      <c r="H957" s="154">
        <f t="shared" si="143"/>
        <v>4.0000000000000034E-4</v>
      </c>
      <c r="I957" s="154">
        <f t="shared" si="144"/>
        <v>3.0000000000000247E-4</v>
      </c>
      <c r="J957" s="154">
        <f t="shared" si="145"/>
        <v>3.3599999999999852E-4</v>
      </c>
      <c r="K957" s="160">
        <f t="shared" si="146"/>
        <v>4.0000000000000034E-4</v>
      </c>
      <c r="L957" s="161">
        <f t="shared" si="147"/>
        <v>9.4117647058824527E-3</v>
      </c>
      <c r="M957" s="155">
        <f t="shared" si="148"/>
        <v>9.8280098280099093E-3</v>
      </c>
      <c r="N957" s="155">
        <f t="shared" si="149"/>
        <v>7.4626865671643117E-3</v>
      </c>
      <c r="O957" s="155">
        <f t="shared" si="150"/>
        <v>8.5520120135407218E-3</v>
      </c>
      <c r="P957" s="162">
        <f t="shared" si="151"/>
        <v>9.9255583126551805E-3</v>
      </c>
    </row>
    <row r="958" spans="1:16">
      <c r="A958" s="319">
        <v>45593</v>
      </c>
      <c r="B958" s="31">
        <v>4.28</v>
      </c>
      <c r="C958" s="30">
        <v>4.12</v>
      </c>
      <c r="D958" s="30">
        <v>4.09</v>
      </c>
      <c r="E958" s="30">
        <v>3.996</v>
      </c>
      <c r="F958" s="29">
        <v>4.1100000000000003</v>
      </c>
      <c r="G958" s="159">
        <f t="shared" si="142"/>
        <v>-9.9999999999997863E-5</v>
      </c>
      <c r="H958" s="154">
        <f t="shared" si="143"/>
        <v>9.9999999999997863E-5</v>
      </c>
      <c r="I958" s="154">
        <f t="shared" si="144"/>
        <v>4.0000000000000034E-4</v>
      </c>
      <c r="J958" s="154">
        <f t="shared" si="145"/>
        <v>3.3500000000000088E-4</v>
      </c>
      <c r="K958" s="160">
        <f t="shared" si="146"/>
        <v>4.0000000000000034E-4</v>
      </c>
      <c r="L958" s="161">
        <f t="shared" si="147"/>
        <v>-2.3310023310022521E-3</v>
      </c>
      <c r="M958" s="155">
        <f t="shared" si="148"/>
        <v>2.4330900243307862E-3</v>
      </c>
      <c r="N958" s="155">
        <f t="shared" si="149"/>
        <v>9.8765432098766315E-3</v>
      </c>
      <c r="O958" s="155">
        <f t="shared" si="150"/>
        <v>8.454258675078874E-3</v>
      </c>
      <c r="P958" s="162">
        <f t="shared" si="151"/>
        <v>9.8280098280099093E-3</v>
      </c>
    </row>
    <row r="959" spans="1:16">
      <c r="A959" s="319">
        <v>45594</v>
      </c>
      <c r="B959" s="31">
        <v>4.29</v>
      </c>
      <c r="C959" s="30">
        <v>4.1100000000000003</v>
      </c>
      <c r="D959" s="30">
        <v>4.08</v>
      </c>
      <c r="E959" s="30">
        <v>4.0011999999999999</v>
      </c>
      <c r="F959" s="29">
        <v>4.1100000000000003</v>
      </c>
      <c r="G959" s="159">
        <f t="shared" si="142"/>
        <v>9.9999999999997863E-5</v>
      </c>
      <c r="H959" s="154">
        <f t="shared" si="143"/>
        <v>-9.9999999999997863E-5</v>
      </c>
      <c r="I959" s="154">
        <f t="shared" si="144"/>
        <v>-9.9999999999997863E-5</v>
      </c>
      <c r="J959" s="154">
        <f t="shared" si="145"/>
        <v>5.1999999999998716E-5</v>
      </c>
      <c r="K959" s="160">
        <f t="shared" si="146"/>
        <v>0</v>
      </c>
      <c r="L959" s="161">
        <f t="shared" si="147"/>
        <v>2.3364485981307581E-3</v>
      </c>
      <c r="M959" s="155">
        <f t="shared" si="148"/>
        <v>-2.4271844660194164E-3</v>
      </c>
      <c r="N959" s="155">
        <f t="shared" si="149"/>
        <v>-2.4449877750610804E-3</v>
      </c>
      <c r="O959" s="155">
        <f t="shared" si="150"/>
        <v>1.3013013013012387E-3</v>
      </c>
      <c r="P959" s="162">
        <f t="shared" si="151"/>
        <v>0</v>
      </c>
    </row>
    <row r="960" spans="1:16">
      <c r="A960" s="319">
        <v>45595</v>
      </c>
      <c r="B960" s="31">
        <v>4.28</v>
      </c>
      <c r="C960" s="30">
        <v>4.1500000000000004</v>
      </c>
      <c r="D960" s="30">
        <v>4.1399999999999997</v>
      </c>
      <c r="E960" s="30">
        <v>4.0265000000000004</v>
      </c>
      <c r="F960" s="29">
        <v>4.1399999999999997</v>
      </c>
      <c r="G960" s="159">
        <f t="shared" si="142"/>
        <v>-9.9999999999997863E-5</v>
      </c>
      <c r="H960" s="154">
        <f t="shared" si="143"/>
        <v>4.0000000000000034E-4</v>
      </c>
      <c r="I960" s="154">
        <f t="shared" si="144"/>
        <v>5.9999999999999604E-4</v>
      </c>
      <c r="J960" s="154">
        <f t="shared" si="145"/>
        <v>2.5300000000000544E-4</v>
      </c>
      <c r="K960" s="160">
        <f t="shared" si="146"/>
        <v>2.9999999999999363E-4</v>
      </c>
      <c r="L960" s="161">
        <f t="shared" si="147"/>
        <v>-2.3310023310022521E-3</v>
      </c>
      <c r="M960" s="155">
        <f t="shared" si="148"/>
        <v>9.7323600973235891E-3</v>
      </c>
      <c r="N960" s="155">
        <f t="shared" si="149"/>
        <v>1.4705882352941124E-2</v>
      </c>
      <c r="O960" s="155">
        <f t="shared" si="150"/>
        <v>6.3231030690793499E-3</v>
      </c>
      <c r="P960" s="162">
        <f t="shared" si="151"/>
        <v>7.2992700729925808E-3</v>
      </c>
    </row>
    <row r="961" spans="1:16">
      <c r="A961" s="319">
        <v>45596</v>
      </c>
      <c r="B961" s="31">
        <v>4.2699999999999996</v>
      </c>
      <c r="C961" s="30">
        <v>4.16</v>
      </c>
      <c r="D961" s="30">
        <v>4.12</v>
      </c>
      <c r="E961" s="30">
        <v>4.0338000000000003</v>
      </c>
      <c r="F961" s="29">
        <v>4.1500000000000004</v>
      </c>
      <c r="G961" s="159">
        <f t="shared" si="142"/>
        <v>-1.0000000000000675E-4</v>
      </c>
      <c r="H961" s="154">
        <f t="shared" si="143"/>
        <v>9.9999999999997863E-5</v>
      </c>
      <c r="I961" s="154">
        <f t="shared" si="144"/>
        <v>-1.9999999999999573E-4</v>
      </c>
      <c r="J961" s="154">
        <f t="shared" si="145"/>
        <v>7.2999999999998617E-5</v>
      </c>
      <c r="K961" s="160">
        <f t="shared" si="146"/>
        <v>1.0000000000000675E-4</v>
      </c>
      <c r="L961" s="161">
        <f t="shared" si="147"/>
        <v>-2.3364485981309802E-3</v>
      </c>
      <c r="M961" s="155">
        <f t="shared" si="148"/>
        <v>2.4096385542167198E-3</v>
      </c>
      <c r="N961" s="155">
        <f t="shared" si="149"/>
        <v>-4.8309178743960457E-3</v>
      </c>
      <c r="O961" s="155">
        <f t="shared" si="150"/>
        <v>1.8129889482181305E-3</v>
      </c>
      <c r="P961" s="162">
        <f t="shared" si="151"/>
        <v>2.4154589371983004E-3</v>
      </c>
    </row>
    <row r="962" spans="1:16">
      <c r="A962" s="319">
        <v>45597</v>
      </c>
      <c r="B962" s="31">
        <v>4.28</v>
      </c>
      <c r="C962" s="30">
        <v>4.21</v>
      </c>
      <c r="D962" s="30">
        <v>4.18</v>
      </c>
      <c r="E962" s="30">
        <v>4.0929000000000002</v>
      </c>
      <c r="F962" s="29">
        <v>4.22</v>
      </c>
      <c r="G962" s="159">
        <f t="shared" si="142"/>
        <v>1.0000000000000675E-4</v>
      </c>
      <c r="H962" s="154">
        <f t="shared" si="143"/>
        <v>4.9999999999999828E-4</v>
      </c>
      <c r="I962" s="154">
        <f t="shared" si="144"/>
        <v>5.9999999999999604E-4</v>
      </c>
      <c r="J962" s="154">
        <f t="shared" si="145"/>
        <v>5.9099999999999929E-4</v>
      </c>
      <c r="K962" s="160">
        <f t="shared" si="146"/>
        <v>6.9999999999999392E-4</v>
      </c>
      <c r="L962" s="161">
        <f t="shared" si="147"/>
        <v>2.3419203747074846E-3</v>
      </c>
      <c r="M962" s="155">
        <f t="shared" si="148"/>
        <v>1.2019230769230616E-2</v>
      </c>
      <c r="N962" s="155">
        <f t="shared" si="149"/>
        <v>1.4563106796116498E-2</v>
      </c>
      <c r="O962" s="155">
        <f t="shared" si="150"/>
        <v>1.4651197382121062E-2</v>
      </c>
      <c r="P962" s="162">
        <f t="shared" si="151"/>
        <v>1.6867469879517927E-2</v>
      </c>
    </row>
    <row r="963" spans="1:16">
      <c r="A963" s="319">
        <v>45600</v>
      </c>
      <c r="B963" s="31">
        <v>4.25</v>
      </c>
      <c r="C963" s="30">
        <v>4.17</v>
      </c>
      <c r="D963" s="30">
        <v>4.0999999999999996</v>
      </c>
      <c r="E963" s="30">
        <v>4.0686999999999998</v>
      </c>
      <c r="F963" s="29">
        <v>4.17</v>
      </c>
      <c r="G963" s="159">
        <f t="shared" si="142"/>
        <v>-3.0000000000000247E-4</v>
      </c>
      <c r="H963" s="154">
        <f t="shared" si="143"/>
        <v>-4.0000000000000034E-4</v>
      </c>
      <c r="I963" s="154">
        <f t="shared" si="144"/>
        <v>-8.0000000000000069E-4</v>
      </c>
      <c r="J963" s="154">
        <f t="shared" si="145"/>
        <v>-2.4200000000000445E-4</v>
      </c>
      <c r="K963" s="160">
        <f t="shared" si="146"/>
        <v>-4.9999999999999828E-4</v>
      </c>
      <c r="L963" s="161">
        <f t="shared" si="147"/>
        <v>-7.0093457943926074E-3</v>
      </c>
      <c r="M963" s="155">
        <f t="shared" si="148"/>
        <v>-9.5011876484560887E-3</v>
      </c>
      <c r="N963" s="155">
        <f t="shared" si="149"/>
        <v>-1.9138755980861233E-2</v>
      </c>
      <c r="O963" s="155">
        <f t="shared" si="150"/>
        <v>-5.9126780522369415E-3</v>
      </c>
      <c r="P963" s="162">
        <f t="shared" si="151"/>
        <v>-1.1848341232227444E-2</v>
      </c>
    </row>
    <row r="964" spans="1:16">
      <c r="A964" s="319">
        <v>45601</v>
      </c>
      <c r="B964" s="31">
        <v>4.2699999999999996</v>
      </c>
      <c r="C964" s="30">
        <v>4.1900000000000004</v>
      </c>
      <c r="D964" s="30">
        <v>4.1100000000000003</v>
      </c>
      <c r="E964" s="30">
        <v>4.0621</v>
      </c>
      <c r="F964" s="29">
        <v>4.16</v>
      </c>
      <c r="G964" s="159">
        <f t="shared" ref="G964:G1027" si="152">(B964-B963)/100</f>
        <v>1.9999999999999573E-4</v>
      </c>
      <c r="H964" s="154">
        <f t="shared" ref="H964:H1027" si="153">(C964-C963)/100</f>
        <v>2.0000000000000462E-4</v>
      </c>
      <c r="I964" s="154">
        <f t="shared" ref="I964:I1027" si="154">(D964-D963)/100</f>
        <v>1.0000000000000675E-4</v>
      </c>
      <c r="J964" s="154">
        <f t="shared" ref="J964:J1027" si="155">(E964-E963)/100</f>
        <v>-6.5999999999997173E-5</v>
      </c>
      <c r="K964" s="160">
        <f t="shared" ref="K964:K1027" si="156">(F964-F963)/100</f>
        <v>-9.9999999999997863E-5</v>
      </c>
      <c r="L964" s="161">
        <f t="shared" ref="L964:L1027" si="157">(B964/B963)-1</f>
        <v>4.7058823529411153E-3</v>
      </c>
      <c r="M964" s="155">
        <f t="shared" ref="M964:M1027" si="158">(C964/C963)-1</f>
        <v>4.7961630695445567E-3</v>
      </c>
      <c r="N964" s="155">
        <f t="shared" ref="N964:N1027" si="159">(D964/D963)-1</f>
        <v>2.4390243902441266E-3</v>
      </c>
      <c r="O964" s="155">
        <f t="shared" ref="O964:O1027" si="160">(E964/E963)-1</f>
        <v>-1.6221397497971912E-3</v>
      </c>
      <c r="P964" s="162">
        <f t="shared" ref="P964:P1027" si="161">(F964/F963)-1</f>
        <v>-2.3980815347721673E-3</v>
      </c>
    </row>
    <row r="965" spans="1:16">
      <c r="A965" s="319">
        <v>45602</v>
      </c>
      <c r="B965" s="31">
        <v>4.3099999999999996</v>
      </c>
      <c r="C965" s="30">
        <v>4.2699999999999996</v>
      </c>
      <c r="D965" s="30">
        <v>4.2</v>
      </c>
      <c r="E965" s="30">
        <v>4.1535000000000002</v>
      </c>
      <c r="F965" s="29">
        <v>4.2699999999999996</v>
      </c>
      <c r="G965" s="159">
        <f t="shared" si="152"/>
        <v>4.0000000000000034E-4</v>
      </c>
      <c r="H965" s="154">
        <f t="shared" si="153"/>
        <v>7.999999999999918E-4</v>
      </c>
      <c r="I965" s="154">
        <f t="shared" si="154"/>
        <v>8.9999999999999857E-4</v>
      </c>
      <c r="J965" s="154">
        <f t="shared" si="155"/>
        <v>9.1400000000000151E-4</v>
      </c>
      <c r="K965" s="160">
        <f t="shared" si="156"/>
        <v>1.0999999999999942E-3</v>
      </c>
      <c r="L965" s="161">
        <f t="shared" si="157"/>
        <v>9.3676814988290502E-3</v>
      </c>
      <c r="M965" s="155">
        <f t="shared" si="158"/>
        <v>1.9093078758949611E-2</v>
      </c>
      <c r="N965" s="155">
        <f t="shared" si="159"/>
        <v>2.1897810218977964E-2</v>
      </c>
      <c r="O965" s="155">
        <f t="shared" si="160"/>
        <v>2.2500676989734458E-2</v>
      </c>
      <c r="P965" s="162">
        <f t="shared" si="161"/>
        <v>2.6442307692307487E-2</v>
      </c>
    </row>
    <row r="966" spans="1:16">
      <c r="A966" s="319">
        <v>45603</v>
      </c>
      <c r="B966" s="31">
        <v>4.28</v>
      </c>
      <c r="C966" s="30">
        <v>4.21</v>
      </c>
      <c r="D966" s="30">
        <v>4.13</v>
      </c>
      <c r="E966" s="30">
        <v>4.1029</v>
      </c>
      <c r="F966" s="29">
        <v>4.17</v>
      </c>
      <c r="G966" s="159">
        <f t="shared" si="152"/>
        <v>-2.9999999999999363E-4</v>
      </c>
      <c r="H966" s="154">
        <f t="shared" si="153"/>
        <v>-5.9999999999999604E-4</v>
      </c>
      <c r="I966" s="154">
        <f t="shared" si="154"/>
        <v>-7.0000000000000281E-4</v>
      </c>
      <c r="J966" s="154">
        <f t="shared" si="155"/>
        <v>-5.06000000000002E-4</v>
      </c>
      <c r="K966" s="160">
        <f t="shared" si="156"/>
        <v>-9.9999999999999655E-4</v>
      </c>
      <c r="L966" s="161">
        <f t="shared" si="157"/>
        <v>-6.9605568445474386E-3</v>
      </c>
      <c r="M966" s="155">
        <f t="shared" si="158"/>
        <v>-1.4051522248243464E-2</v>
      </c>
      <c r="N966" s="155">
        <f t="shared" si="159"/>
        <v>-1.6666666666666718E-2</v>
      </c>
      <c r="O966" s="155">
        <f t="shared" si="160"/>
        <v>-1.2182496689538969E-2</v>
      </c>
      <c r="P966" s="162">
        <f t="shared" si="161"/>
        <v>-2.3419203747072515E-2</v>
      </c>
    </row>
    <row r="967" spans="1:16">
      <c r="A967" s="319">
        <v>45604</v>
      </c>
      <c r="B967" s="31">
        <v>4.32</v>
      </c>
      <c r="C967" s="30">
        <v>4.26</v>
      </c>
      <c r="D967" s="30">
        <v>4.18</v>
      </c>
      <c r="E967" s="30">
        <v>4.1043000000000003</v>
      </c>
      <c r="F967" s="29">
        <v>4.2</v>
      </c>
      <c r="G967" s="159">
        <f t="shared" si="152"/>
        <v>4.0000000000000034E-4</v>
      </c>
      <c r="H967" s="154">
        <f t="shared" si="153"/>
        <v>4.9999999999999828E-4</v>
      </c>
      <c r="I967" s="154">
        <f t="shared" si="154"/>
        <v>4.9999999999999828E-4</v>
      </c>
      <c r="J967" s="154">
        <f t="shared" si="155"/>
        <v>1.4000000000002898E-5</v>
      </c>
      <c r="K967" s="160">
        <f t="shared" si="156"/>
        <v>3.0000000000000247E-4</v>
      </c>
      <c r="L967" s="161">
        <f t="shared" si="157"/>
        <v>9.3457943925234765E-3</v>
      </c>
      <c r="M967" s="155">
        <f t="shared" si="158"/>
        <v>1.1876484560570111E-2</v>
      </c>
      <c r="N967" s="155">
        <f t="shared" si="159"/>
        <v>1.2106537530266248E-2</v>
      </c>
      <c r="O967" s="155">
        <f t="shared" si="160"/>
        <v>3.4122206244369124E-4</v>
      </c>
      <c r="P967" s="162">
        <f t="shared" si="161"/>
        <v>7.194244604316502E-3</v>
      </c>
    </row>
    <row r="968" spans="1:16">
      <c r="A968" s="319">
        <v>45608</v>
      </c>
      <c r="B968" s="31">
        <v>4.38</v>
      </c>
      <c r="C968" s="30">
        <v>4.34</v>
      </c>
      <c r="D968" s="30">
        <v>4.29</v>
      </c>
      <c r="E968" s="30">
        <v>4.1978999999999997</v>
      </c>
      <c r="F968" s="29">
        <v>4.32</v>
      </c>
      <c r="G968" s="159">
        <f t="shared" si="152"/>
        <v>5.9999999999999604E-4</v>
      </c>
      <c r="H968" s="154">
        <f t="shared" si="153"/>
        <v>8.0000000000000069E-4</v>
      </c>
      <c r="I968" s="154">
        <f t="shared" si="154"/>
        <v>1.1000000000000031E-3</v>
      </c>
      <c r="J968" s="154">
        <f t="shared" si="155"/>
        <v>9.3599999999999456E-4</v>
      </c>
      <c r="K968" s="160">
        <f t="shared" si="156"/>
        <v>1.200000000000001E-3</v>
      </c>
      <c r="L968" s="161">
        <f t="shared" si="157"/>
        <v>1.388888888888884E-2</v>
      </c>
      <c r="M968" s="155">
        <f t="shared" si="158"/>
        <v>1.8779342723004744E-2</v>
      </c>
      <c r="N968" s="155">
        <f t="shared" si="159"/>
        <v>2.6315789473684292E-2</v>
      </c>
      <c r="O968" s="155">
        <f t="shared" si="160"/>
        <v>2.280535048607546E-2</v>
      </c>
      <c r="P968" s="162">
        <f t="shared" si="161"/>
        <v>2.8571428571428692E-2</v>
      </c>
    </row>
    <row r="969" spans="1:16">
      <c r="A969" s="319">
        <v>45609</v>
      </c>
      <c r="B969" s="31">
        <v>4.3099999999999996</v>
      </c>
      <c r="C969" s="30">
        <v>4.2699999999999996</v>
      </c>
      <c r="D969" s="30">
        <v>4.25</v>
      </c>
      <c r="E969" s="30">
        <v>4.1992000000000003</v>
      </c>
      <c r="F969" s="29">
        <v>4.3</v>
      </c>
      <c r="G969" s="159">
        <f t="shared" si="152"/>
        <v>-7.0000000000000281E-4</v>
      </c>
      <c r="H969" s="154">
        <f t="shared" si="153"/>
        <v>-7.0000000000000281E-4</v>
      </c>
      <c r="I969" s="154">
        <f t="shared" si="154"/>
        <v>-4.0000000000000034E-4</v>
      </c>
      <c r="J969" s="154">
        <f t="shared" si="155"/>
        <v>1.3000000000005229E-5</v>
      </c>
      <c r="K969" s="160">
        <f t="shared" si="156"/>
        <v>-2.0000000000000462E-4</v>
      </c>
      <c r="L969" s="161">
        <f t="shared" si="157"/>
        <v>-1.5981735159817378E-2</v>
      </c>
      <c r="M969" s="155">
        <f t="shared" si="158"/>
        <v>-1.6129032258064613E-2</v>
      </c>
      <c r="N969" s="155">
        <f t="shared" si="159"/>
        <v>-9.3240093240093413E-3</v>
      </c>
      <c r="O969" s="155">
        <f t="shared" si="160"/>
        <v>3.0967864884834384E-4</v>
      </c>
      <c r="P969" s="162">
        <f t="shared" si="161"/>
        <v>-4.6296296296297612E-3</v>
      </c>
    </row>
    <row r="970" spans="1:16">
      <c r="A970" s="319">
        <v>45610</v>
      </c>
      <c r="B970" s="31">
        <v>4.3600000000000003</v>
      </c>
      <c r="C970" s="30">
        <v>4.34</v>
      </c>
      <c r="D970" s="30">
        <v>4.3</v>
      </c>
      <c r="E970" s="30">
        <v>4.2192999999999996</v>
      </c>
      <c r="F970" s="29">
        <v>4.32</v>
      </c>
      <c r="G970" s="159">
        <f t="shared" si="152"/>
        <v>5.0000000000000706E-4</v>
      </c>
      <c r="H970" s="154">
        <f t="shared" si="153"/>
        <v>7.0000000000000281E-4</v>
      </c>
      <c r="I970" s="154">
        <f t="shared" si="154"/>
        <v>4.9999999999999828E-4</v>
      </c>
      <c r="J970" s="154">
        <f t="shared" si="155"/>
        <v>2.0099999999999339E-4</v>
      </c>
      <c r="K970" s="160">
        <f t="shared" si="156"/>
        <v>2.0000000000000462E-4</v>
      </c>
      <c r="L970" s="161">
        <f t="shared" si="157"/>
        <v>1.1600928074246175E-2</v>
      </c>
      <c r="M970" s="155">
        <f t="shared" si="158"/>
        <v>1.6393442622950838E-2</v>
      </c>
      <c r="N970" s="155">
        <f t="shared" si="159"/>
        <v>1.1764705882352899E-2</v>
      </c>
      <c r="O970" s="155">
        <f t="shared" si="160"/>
        <v>4.7866260240043701E-3</v>
      </c>
      <c r="P970" s="162">
        <f t="shared" si="161"/>
        <v>4.6511627906977715E-3</v>
      </c>
    </row>
    <row r="971" spans="1:16">
      <c r="A971" s="319">
        <v>45611</v>
      </c>
      <c r="B971" s="31">
        <v>4.34</v>
      </c>
      <c r="C971" s="30">
        <v>4.3099999999999996</v>
      </c>
      <c r="D971" s="30">
        <v>4.2699999999999996</v>
      </c>
      <c r="E971" s="30">
        <v>4.2134999999999998</v>
      </c>
      <c r="F971" s="29">
        <v>4.3</v>
      </c>
      <c r="G971" s="159">
        <f t="shared" si="152"/>
        <v>-2.0000000000000462E-4</v>
      </c>
      <c r="H971" s="154">
        <f t="shared" si="153"/>
        <v>-3.0000000000000247E-4</v>
      </c>
      <c r="I971" s="154">
        <f t="shared" si="154"/>
        <v>-3.0000000000000247E-4</v>
      </c>
      <c r="J971" s="154">
        <f t="shared" si="155"/>
        <v>-5.7999999999998056E-5</v>
      </c>
      <c r="K971" s="160">
        <f t="shared" si="156"/>
        <v>-2.0000000000000462E-4</v>
      </c>
      <c r="L971" s="161">
        <f t="shared" si="157"/>
        <v>-4.5871559633028358E-3</v>
      </c>
      <c r="M971" s="155">
        <f t="shared" si="158"/>
        <v>-6.9124423963133896E-3</v>
      </c>
      <c r="N971" s="155">
        <f t="shared" si="159"/>
        <v>-6.9767441860465462E-3</v>
      </c>
      <c r="O971" s="155">
        <f t="shared" si="160"/>
        <v>-1.3746356030620577E-3</v>
      </c>
      <c r="P971" s="162">
        <f t="shared" si="161"/>
        <v>-4.6296296296297612E-3</v>
      </c>
    </row>
    <row r="972" spans="1:16">
      <c r="A972" s="319">
        <v>45614</v>
      </c>
      <c r="B972" s="31">
        <v>4.33</v>
      </c>
      <c r="C972" s="30">
        <v>4.29</v>
      </c>
      <c r="D972" s="30">
        <v>4.25</v>
      </c>
      <c r="E972" s="30">
        <v>4.1976000000000004</v>
      </c>
      <c r="F972" s="29">
        <v>4.28</v>
      </c>
      <c r="G972" s="159">
        <f t="shared" si="152"/>
        <v>-9.9999999999997863E-5</v>
      </c>
      <c r="H972" s="154">
        <f t="shared" si="153"/>
        <v>-1.9999999999999573E-4</v>
      </c>
      <c r="I972" s="154">
        <f t="shared" si="154"/>
        <v>-1.9999999999999573E-4</v>
      </c>
      <c r="J972" s="154">
        <f t="shared" si="155"/>
        <v>-1.5899999999999359E-4</v>
      </c>
      <c r="K972" s="160">
        <f t="shared" si="156"/>
        <v>-1.9999999999999573E-4</v>
      </c>
      <c r="L972" s="161">
        <f t="shared" si="157"/>
        <v>-2.3041474654377225E-3</v>
      </c>
      <c r="M972" s="155">
        <f t="shared" si="158"/>
        <v>-4.6403712296982924E-3</v>
      </c>
      <c r="N972" s="155">
        <f t="shared" si="159"/>
        <v>-4.6838407494144141E-3</v>
      </c>
      <c r="O972" s="155">
        <f t="shared" si="160"/>
        <v>-3.7735849056602655E-3</v>
      </c>
      <c r="P972" s="162">
        <f t="shared" si="161"/>
        <v>-4.6511627906975495E-3</v>
      </c>
    </row>
    <row r="973" spans="1:16">
      <c r="A973" s="319">
        <v>45615</v>
      </c>
      <c r="B973" s="31">
        <v>4.34</v>
      </c>
      <c r="C973" s="30">
        <v>4.2699999999999996</v>
      </c>
      <c r="D973" s="30">
        <v>4.24</v>
      </c>
      <c r="E973" s="30">
        <v>4.1757999999999997</v>
      </c>
      <c r="F973" s="29">
        <v>4.25</v>
      </c>
      <c r="G973" s="159">
        <f t="shared" si="152"/>
        <v>9.9999999999997863E-5</v>
      </c>
      <c r="H973" s="154">
        <f t="shared" si="153"/>
        <v>-2.0000000000000462E-4</v>
      </c>
      <c r="I973" s="154">
        <f t="shared" si="154"/>
        <v>-9.9999999999997863E-5</v>
      </c>
      <c r="J973" s="154">
        <f t="shared" si="155"/>
        <v>-2.1800000000000709E-4</v>
      </c>
      <c r="K973" s="160">
        <f t="shared" si="156"/>
        <v>-3.0000000000000247E-4</v>
      </c>
      <c r="L973" s="161">
        <f t="shared" si="157"/>
        <v>2.3094688221707571E-3</v>
      </c>
      <c r="M973" s="155">
        <f t="shared" si="158"/>
        <v>-4.6620046620047262E-3</v>
      </c>
      <c r="N973" s="155">
        <f t="shared" si="159"/>
        <v>-2.3529411764705577E-3</v>
      </c>
      <c r="O973" s="155">
        <f t="shared" si="160"/>
        <v>-5.193443872689274E-3</v>
      </c>
      <c r="P973" s="162">
        <f t="shared" si="161"/>
        <v>-7.0093457943926074E-3</v>
      </c>
    </row>
    <row r="974" spans="1:16">
      <c r="A974" s="319">
        <v>45616</v>
      </c>
      <c r="B974" s="31">
        <v>4.37</v>
      </c>
      <c r="C974" s="30">
        <v>4.3099999999999996</v>
      </c>
      <c r="D974" s="30">
        <v>4.26</v>
      </c>
      <c r="E974" s="30">
        <v>4.1775000000000002</v>
      </c>
      <c r="F974" s="29">
        <v>4.28</v>
      </c>
      <c r="G974" s="159">
        <f t="shared" si="152"/>
        <v>3.0000000000000247E-4</v>
      </c>
      <c r="H974" s="154">
        <f t="shared" si="153"/>
        <v>4.0000000000000034E-4</v>
      </c>
      <c r="I974" s="154">
        <f t="shared" si="154"/>
        <v>1.9999999999999573E-4</v>
      </c>
      <c r="J974" s="154">
        <f t="shared" si="155"/>
        <v>1.7000000000004791E-5</v>
      </c>
      <c r="K974" s="160">
        <f t="shared" si="156"/>
        <v>3.0000000000000247E-4</v>
      </c>
      <c r="L974" s="161">
        <f t="shared" si="157"/>
        <v>6.9124423963133896E-3</v>
      </c>
      <c r="M974" s="155">
        <f t="shared" si="158"/>
        <v>9.3676814988290502E-3</v>
      </c>
      <c r="N974" s="155">
        <f t="shared" si="159"/>
        <v>4.7169811320753041E-3</v>
      </c>
      <c r="O974" s="155">
        <f t="shared" si="160"/>
        <v>4.071076200968804E-4</v>
      </c>
      <c r="P974" s="162">
        <f t="shared" si="161"/>
        <v>7.058823529411784E-3</v>
      </c>
    </row>
    <row r="975" spans="1:16">
      <c r="A975" s="319">
        <v>45617</v>
      </c>
      <c r="B975" s="31">
        <v>4.3899999999999997</v>
      </c>
      <c r="C975" s="30">
        <v>4.34</v>
      </c>
      <c r="D975" s="30">
        <v>4.3</v>
      </c>
      <c r="E975" s="30">
        <v>4.2106000000000003</v>
      </c>
      <c r="F975" s="29">
        <v>4.3</v>
      </c>
      <c r="G975" s="159">
        <f t="shared" si="152"/>
        <v>1.9999999999999573E-4</v>
      </c>
      <c r="H975" s="154">
        <f t="shared" si="153"/>
        <v>3.0000000000000247E-4</v>
      </c>
      <c r="I975" s="154">
        <f t="shared" si="154"/>
        <v>4.0000000000000034E-4</v>
      </c>
      <c r="J975" s="154">
        <f t="shared" si="155"/>
        <v>3.3100000000000127E-4</v>
      </c>
      <c r="K975" s="160">
        <f t="shared" si="156"/>
        <v>1.9999999999999573E-4</v>
      </c>
      <c r="L975" s="161">
        <f t="shared" si="157"/>
        <v>4.5766590389015871E-3</v>
      </c>
      <c r="M975" s="155">
        <f t="shared" si="158"/>
        <v>6.9605568445476607E-3</v>
      </c>
      <c r="N975" s="155">
        <f t="shared" si="159"/>
        <v>9.3896713615022609E-3</v>
      </c>
      <c r="O975" s="155">
        <f t="shared" si="160"/>
        <v>7.923399162178324E-3</v>
      </c>
      <c r="P975" s="162">
        <f t="shared" si="161"/>
        <v>4.6728971962615162E-3</v>
      </c>
    </row>
    <row r="976" spans="1:16">
      <c r="A976" s="319">
        <v>45618</v>
      </c>
      <c r="B976" s="31">
        <v>4.42</v>
      </c>
      <c r="C976" s="30">
        <v>4.37</v>
      </c>
      <c r="D976" s="30">
        <v>4.32</v>
      </c>
      <c r="E976" s="30">
        <v>4.2220000000000004</v>
      </c>
      <c r="F976" s="29">
        <v>4.3</v>
      </c>
      <c r="G976" s="159">
        <f t="shared" si="152"/>
        <v>3.0000000000000247E-4</v>
      </c>
      <c r="H976" s="154">
        <f t="shared" si="153"/>
        <v>3.0000000000000247E-4</v>
      </c>
      <c r="I976" s="154">
        <f t="shared" si="154"/>
        <v>2.0000000000000462E-4</v>
      </c>
      <c r="J976" s="154">
        <f t="shared" si="155"/>
        <v>1.1400000000000077E-4</v>
      </c>
      <c r="K976" s="160">
        <f t="shared" si="156"/>
        <v>0</v>
      </c>
      <c r="L976" s="161">
        <f t="shared" si="157"/>
        <v>6.8337129840547739E-3</v>
      </c>
      <c r="M976" s="155">
        <f t="shared" si="158"/>
        <v>6.9124423963133896E-3</v>
      </c>
      <c r="N976" s="155">
        <f t="shared" si="159"/>
        <v>4.6511627906977715E-3</v>
      </c>
      <c r="O976" s="155">
        <f t="shared" si="160"/>
        <v>2.7074526195791648E-3</v>
      </c>
      <c r="P976" s="162">
        <f t="shared" si="161"/>
        <v>0</v>
      </c>
    </row>
    <row r="977" spans="1:16">
      <c r="A977" s="319">
        <v>45621</v>
      </c>
      <c r="B977" s="31">
        <v>4.37</v>
      </c>
      <c r="C977" s="30">
        <v>4.21</v>
      </c>
      <c r="D977" s="30">
        <v>4.21</v>
      </c>
      <c r="E977" s="30">
        <v>4.1313000000000004</v>
      </c>
      <c r="F977" s="29">
        <v>4.17</v>
      </c>
      <c r="G977" s="159">
        <f t="shared" si="152"/>
        <v>-4.9999999999999828E-4</v>
      </c>
      <c r="H977" s="154">
        <f t="shared" si="153"/>
        <v>-1.6000000000000014E-3</v>
      </c>
      <c r="I977" s="154">
        <f t="shared" si="154"/>
        <v>-1.1000000000000031E-3</v>
      </c>
      <c r="J977" s="154">
        <f t="shared" si="155"/>
        <v>-9.0700000000000004E-4</v>
      </c>
      <c r="K977" s="160">
        <f t="shared" si="156"/>
        <v>-1.2999999999999989E-3</v>
      </c>
      <c r="L977" s="161">
        <f t="shared" si="157"/>
        <v>-1.1312217194570096E-2</v>
      </c>
      <c r="M977" s="155">
        <f t="shared" si="158"/>
        <v>-3.6613272311212808E-2</v>
      </c>
      <c r="N977" s="155">
        <f t="shared" si="159"/>
        <v>-2.5462962962963021E-2</v>
      </c>
      <c r="O977" s="155">
        <f t="shared" si="160"/>
        <v>-2.1482709616295614E-2</v>
      </c>
      <c r="P977" s="162">
        <f t="shared" si="161"/>
        <v>-3.0232558139534849E-2</v>
      </c>
    </row>
    <row r="978" spans="1:16">
      <c r="A978" s="319">
        <v>45622</v>
      </c>
      <c r="B978" s="31">
        <v>4.37</v>
      </c>
      <c r="C978" s="30">
        <v>4.21</v>
      </c>
      <c r="D978" s="30">
        <v>4.21</v>
      </c>
      <c r="E978" s="30">
        <v>4.1310000000000002</v>
      </c>
      <c r="F978" s="29">
        <v>4.17</v>
      </c>
      <c r="G978" s="159">
        <f t="shared" si="152"/>
        <v>0</v>
      </c>
      <c r="H978" s="154">
        <f t="shared" si="153"/>
        <v>0</v>
      </c>
      <c r="I978" s="154">
        <f t="shared" si="154"/>
        <v>0</v>
      </c>
      <c r="J978" s="154">
        <f t="shared" si="155"/>
        <v>-3.0000000000018902E-6</v>
      </c>
      <c r="K978" s="160">
        <f t="shared" si="156"/>
        <v>0</v>
      </c>
      <c r="L978" s="161">
        <f t="shared" si="157"/>
        <v>0</v>
      </c>
      <c r="M978" s="155">
        <f t="shared" si="158"/>
        <v>0</v>
      </c>
      <c r="N978" s="155">
        <f t="shared" si="159"/>
        <v>0</v>
      </c>
      <c r="O978" s="155">
        <f t="shared" si="160"/>
        <v>-7.26163677293723E-5</v>
      </c>
      <c r="P978" s="162">
        <f t="shared" si="161"/>
        <v>0</v>
      </c>
    </row>
    <row r="979" spans="1:16">
      <c r="A979" s="319">
        <v>45623</v>
      </c>
      <c r="B979" s="31">
        <v>4.34</v>
      </c>
      <c r="C979" s="30">
        <v>4.1900000000000004</v>
      </c>
      <c r="D979" s="30">
        <v>4.17</v>
      </c>
      <c r="E979" s="30">
        <v>4.0896999999999997</v>
      </c>
      <c r="F979" s="29">
        <v>4.1100000000000003</v>
      </c>
      <c r="G979" s="159">
        <f t="shared" si="152"/>
        <v>-3.0000000000000247E-4</v>
      </c>
      <c r="H979" s="154">
        <f t="shared" si="153"/>
        <v>-1.9999999999999573E-4</v>
      </c>
      <c r="I979" s="154">
        <f t="shared" si="154"/>
        <v>-4.0000000000000034E-4</v>
      </c>
      <c r="J979" s="154">
        <f t="shared" si="155"/>
        <v>-4.1300000000000559E-4</v>
      </c>
      <c r="K979" s="160">
        <f t="shared" si="156"/>
        <v>-5.9999999999999604E-4</v>
      </c>
      <c r="L979" s="161">
        <f t="shared" si="157"/>
        <v>-6.8649885583524917E-3</v>
      </c>
      <c r="M979" s="155">
        <f t="shared" si="158"/>
        <v>-4.7505938242279333E-3</v>
      </c>
      <c r="N979" s="155">
        <f t="shared" si="159"/>
        <v>-9.5011876484560887E-3</v>
      </c>
      <c r="O979" s="155">
        <f t="shared" si="160"/>
        <v>-9.9975792786252127E-3</v>
      </c>
      <c r="P979" s="162">
        <f t="shared" si="161"/>
        <v>-1.4388489208633004E-2</v>
      </c>
    </row>
    <row r="980" spans="1:16">
      <c r="A980" s="319">
        <v>45625</v>
      </c>
      <c r="B980" s="31">
        <v>4.3</v>
      </c>
      <c r="C980" s="30">
        <v>4.13</v>
      </c>
      <c r="D980" s="30">
        <v>4.0999999999999996</v>
      </c>
      <c r="E980" s="30">
        <v>4.0354000000000001</v>
      </c>
      <c r="F980" s="29">
        <v>4.05</v>
      </c>
      <c r="G980" s="159">
        <f t="shared" si="152"/>
        <v>-4.0000000000000034E-4</v>
      </c>
      <c r="H980" s="154">
        <f t="shared" si="153"/>
        <v>-6.0000000000000493E-4</v>
      </c>
      <c r="I980" s="154">
        <f t="shared" si="154"/>
        <v>-7.0000000000000281E-4</v>
      </c>
      <c r="J980" s="154">
        <f t="shared" si="155"/>
        <v>-5.4299999999999574E-4</v>
      </c>
      <c r="K980" s="160">
        <f t="shared" si="156"/>
        <v>-6.0000000000000493E-4</v>
      </c>
      <c r="L980" s="161">
        <f t="shared" si="157"/>
        <v>-9.2165898617511122E-3</v>
      </c>
      <c r="M980" s="155">
        <f t="shared" si="158"/>
        <v>-1.4319809069212486E-2</v>
      </c>
      <c r="N980" s="155">
        <f t="shared" si="159"/>
        <v>-1.6786570743405393E-2</v>
      </c>
      <c r="O980" s="155">
        <f t="shared" si="160"/>
        <v>-1.3277257500550088E-2</v>
      </c>
      <c r="P980" s="162">
        <f t="shared" si="161"/>
        <v>-1.4598540145985495E-2</v>
      </c>
    </row>
    <row r="981" spans="1:16">
      <c r="A981" s="319">
        <v>45628</v>
      </c>
      <c r="B981" s="31">
        <v>4.3</v>
      </c>
      <c r="C981" s="30">
        <v>4.17</v>
      </c>
      <c r="D981" s="30">
        <v>4.1100000000000003</v>
      </c>
      <c r="E981" s="30">
        <v>4.0309999999999997</v>
      </c>
      <c r="F981" s="29">
        <v>4.08</v>
      </c>
      <c r="G981" s="159">
        <f t="shared" si="152"/>
        <v>0</v>
      </c>
      <c r="H981" s="154">
        <f t="shared" si="153"/>
        <v>4.0000000000000034E-4</v>
      </c>
      <c r="I981" s="154">
        <f t="shared" si="154"/>
        <v>1.0000000000000675E-4</v>
      </c>
      <c r="J981" s="154">
        <f t="shared" si="155"/>
        <v>-4.4000000000004038E-5</v>
      </c>
      <c r="K981" s="160">
        <f t="shared" si="156"/>
        <v>3.0000000000000247E-4</v>
      </c>
      <c r="L981" s="161">
        <f t="shared" si="157"/>
        <v>0</v>
      </c>
      <c r="M981" s="155">
        <f t="shared" si="158"/>
        <v>9.6852300242131761E-3</v>
      </c>
      <c r="N981" s="155">
        <f t="shared" si="159"/>
        <v>2.4390243902441266E-3</v>
      </c>
      <c r="O981" s="155">
        <f t="shared" si="160"/>
        <v>-1.0903503989692087E-3</v>
      </c>
      <c r="P981" s="162">
        <f t="shared" si="161"/>
        <v>7.4074074074075291E-3</v>
      </c>
    </row>
    <row r="982" spans="1:16">
      <c r="A982" s="319">
        <v>45629</v>
      </c>
      <c r="B982" s="31">
        <v>4.2699999999999996</v>
      </c>
      <c r="C982" s="30">
        <v>4.17</v>
      </c>
      <c r="D982" s="30">
        <v>4.13</v>
      </c>
      <c r="E982" s="30">
        <v>4.0449999999999999</v>
      </c>
      <c r="F982" s="29">
        <v>4.1100000000000003</v>
      </c>
      <c r="G982" s="159">
        <f t="shared" si="152"/>
        <v>-3.0000000000000247E-4</v>
      </c>
      <c r="H982" s="154">
        <f t="shared" si="153"/>
        <v>0</v>
      </c>
      <c r="I982" s="154">
        <f t="shared" si="154"/>
        <v>1.9999999999999573E-4</v>
      </c>
      <c r="J982" s="154">
        <f t="shared" si="155"/>
        <v>1.4000000000000235E-4</v>
      </c>
      <c r="K982" s="160">
        <f t="shared" si="156"/>
        <v>3.0000000000000247E-4</v>
      </c>
      <c r="L982" s="161">
        <f t="shared" si="157"/>
        <v>-6.9767441860465462E-3</v>
      </c>
      <c r="M982" s="155">
        <f t="shared" si="158"/>
        <v>0</v>
      </c>
      <c r="N982" s="155">
        <f t="shared" si="159"/>
        <v>4.8661800486617945E-3</v>
      </c>
      <c r="O982" s="155">
        <f t="shared" si="160"/>
        <v>3.4730836020839817E-3</v>
      </c>
      <c r="P982" s="162">
        <f t="shared" si="161"/>
        <v>7.3529411764705621E-3</v>
      </c>
    </row>
    <row r="983" spans="1:16">
      <c r="A983" s="319">
        <v>45630</v>
      </c>
      <c r="B983" s="31">
        <v>4.2300000000000004</v>
      </c>
      <c r="C983" s="30">
        <v>4.13</v>
      </c>
      <c r="D983" s="30">
        <v>4.09</v>
      </c>
      <c r="E983" s="30">
        <v>4.0156999999999998</v>
      </c>
      <c r="F983" s="29">
        <v>4.07</v>
      </c>
      <c r="G983" s="159">
        <f t="shared" si="152"/>
        <v>-3.9999999999999145E-4</v>
      </c>
      <c r="H983" s="154">
        <f t="shared" si="153"/>
        <v>-4.0000000000000034E-4</v>
      </c>
      <c r="I983" s="154">
        <f t="shared" si="154"/>
        <v>-4.0000000000000034E-4</v>
      </c>
      <c r="J983" s="154">
        <f t="shared" si="155"/>
        <v>-2.9300000000000105E-4</v>
      </c>
      <c r="K983" s="160">
        <f t="shared" si="156"/>
        <v>-4.0000000000000034E-4</v>
      </c>
      <c r="L983" s="161">
        <f t="shared" si="157"/>
        <v>-9.3676814988288282E-3</v>
      </c>
      <c r="M983" s="155">
        <f t="shared" si="158"/>
        <v>-9.5923261390887804E-3</v>
      </c>
      <c r="N983" s="155">
        <f t="shared" si="159"/>
        <v>-9.6852300242130651E-3</v>
      </c>
      <c r="O983" s="155">
        <f t="shared" si="160"/>
        <v>-7.2435105067985006E-3</v>
      </c>
      <c r="P983" s="162">
        <f t="shared" si="161"/>
        <v>-9.7323600973235891E-3</v>
      </c>
    </row>
    <row r="984" spans="1:16">
      <c r="A984" s="319">
        <v>45631</v>
      </c>
      <c r="B984" s="31">
        <v>4.2300000000000004</v>
      </c>
      <c r="C984" s="30">
        <v>4.1500000000000004</v>
      </c>
      <c r="D984" s="30">
        <v>4.0999999999999996</v>
      </c>
      <c r="E984" s="30">
        <v>4.0042999999999997</v>
      </c>
      <c r="F984" s="29">
        <v>4.07</v>
      </c>
      <c r="G984" s="159">
        <f t="shared" si="152"/>
        <v>0</v>
      </c>
      <c r="H984" s="154">
        <f t="shared" si="153"/>
        <v>2.0000000000000462E-4</v>
      </c>
      <c r="I984" s="154">
        <f t="shared" si="154"/>
        <v>9.9999999999997863E-5</v>
      </c>
      <c r="J984" s="154">
        <f t="shared" si="155"/>
        <v>-1.1400000000000077E-4</v>
      </c>
      <c r="K984" s="160">
        <f t="shared" si="156"/>
        <v>0</v>
      </c>
      <c r="L984" s="161">
        <f t="shared" si="157"/>
        <v>0</v>
      </c>
      <c r="M984" s="155">
        <f t="shared" si="158"/>
        <v>4.8426150121065881E-3</v>
      </c>
      <c r="N984" s="155">
        <f t="shared" si="159"/>
        <v>2.4449877750609694E-3</v>
      </c>
      <c r="O984" s="155">
        <f t="shared" si="160"/>
        <v>-2.8388574843738468E-3</v>
      </c>
      <c r="P984" s="162">
        <f t="shared" si="161"/>
        <v>0</v>
      </c>
    </row>
    <row r="985" spans="1:16">
      <c r="A985" s="319">
        <v>45632</v>
      </c>
      <c r="B985" s="31">
        <v>4.1900000000000004</v>
      </c>
      <c r="C985" s="30">
        <v>4.0999999999999996</v>
      </c>
      <c r="D985" s="30">
        <v>4.05</v>
      </c>
      <c r="E985" s="30">
        <v>3.9744999999999999</v>
      </c>
      <c r="F985" s="29">
        <v>4.03</v>
      </c>
      <c r="G985" s="159">
        <f t="shared" si="152"/>
        <v>-4.0000000000000034E-4</v>
      </c>
      <c r="H985" s="154">
        <f t="shared" si="153"/>
        <v>-5.0000000000000706E-4</v>
      </c>
      <c r="I985" s="154">
        <f t="shared" si="154"/>
        <v>-4.9999999999999828E-4</v>
      </c>
      <c r="J985" s="154">
        <f t="shared" si="155"/>
        <v>-2.9799999999999824E-4</v>
      </c>
      <c r="K985" s="160">
        <f t="shared" si="156"/>
        <v>-4.0000000000000034E-4</v>
      </c>
      <c r="L985" s="161">
        <f t="shared" si="157"/>
        <v>-9.4562647754137252E-3</v>
      </c>
      <c r="M985" s="155">
        <f t="shared" si="158"/>
        <v>-1.2048192771084487E-2</v>
      </c>
      <c r="N985" s="155">
        <f t="shared" si="159"/>
        <v>-1.2195121951219523E-2</v>
      </c>
      <c r="O985" s="155">
        <f t="shared" si="160"/>
        <v>-7.4419998501610296E-3</v>
      </c>
      <c r="P985" s="162">
        <f t="shared" si="161"/>
        <v>-9.8280098280097983E-3</v>
      </c>
    </row>
    <row r="986" spans="1:16">
      <c r="A986" s="319">
        <v>45635</v>
      </c>
      <c r="B986" s="31">
        <v>4.2</v>
      </c>
      <c r="C986" s="30">
        <v>4.13</v>
      </c>
      <c r="D986" s="30">
        <v>4.09</v>
      </c>
      <c r="E986" s="30">
        <v>3.9933000000000001</v>
      </c>
      <c r="F986" s="29">
        <v>4.07</v>
      </c>
      <c r="G986" s="159">
        <f t="shared" si="152"/>
        <v>9.9999999999997863E-5</v>
      </c>
      <c r="H986" s="154">
        <f t="shared" si="153"/>
        <v>3.0000000000000247E-4</v>
      </c>
      <c r="I986" s="154">
        <f t="shared" si="154"/>
        <v>4.0000000000000034E-4</v>
      </c>
      <c r="J986" s="154">
        <f t="shared" si="155"/>
        <v>1.8800000000000151E-4</v>
      </c>
      <c r="K986" s="160">
        <f t="shared" si="156"/>
        <v>4.0000000000000034E-4</v>
      </c>
      <c r="L986" s="161">
        <f t="shared" si="157"/>
        <v>2.3866348448686736E-3</v>
      </c>
      <c r="M986" s="155">
        <f t="shared" si="158"/>
        <v>7.3170731707317138E-3</v>
      </c>
      <c r="N986" s="155">
        <f t="shared" si="159"/>
        <v>9.8765432098766315E-3</v>
      </c>
      <c r="O986" s="155">
        <f t="shared" si="160"/>
        <v>4.7301547364448915E-3</v>
      </c>
      <c r="P986" s="162">
        <f t="shared" si="161"/>
        <v>9.9255583126551805E-3</v>
      </c>
    </row>
    <row r="987" spans="1:16">
      <c r="A987" s="319">
        <v>45636</v>
      </c>
      <c r="B987" s="31">
        <v>4.22</v>
      </c>
      <c r="C987" s="30">
        <v>4.1500000000000004</v>
      </c>
      <c r="D987" s="30">
        <v>4.08</v>
      </c>
      <c r="E987" s="30">
        <v>4.0138999999999996</v>
      </c>
      <c r="F987" s="29">
        <v>4.09</v>
      </c>
      <c r="G987" s="159">
        <f t="shared" si="152"/>
        <v>1.9999999999999573E-4</v>
      </c>
      <c r="H987" s="154">
        <f t="shared" si="153"/>
        <v>2.0000000000000462E-4</v>
      </c>
      <c r="I987" s="154">
        <f t="shared" si="154"/>
        <v>-9.9999999999997863E-5</v>
      </c>
      <c r="J987" s="154">
        <f t="shared" si="155"/>
        <v>2.0599999999999509E-4</v>
      </c>
      <c r="K987" s="160">
        <f t="shared" si="156"/>
        <v>1.9999999999999573E-4</v>
      </c>
      <c r="L987" s="161">
        <f t="shared" si="157"/>
        <v>4.761904761904745E-3</v>
      </c>
      <c r="M987" s="155">
        <f t="shared" si="158"/>
        <v>4.8426150121065881E-3</v>
      </c>
      <c r="N987" s="155">
        <f t="shared" si="159"/>
        <v>-2.4449877750610804E-3</v>
      </c>
      <c r="O987" s="155">
        <f t="shared" si="160"/>
        <v>5.1586407232111497E-3</v>
      </c>
      <c r="P987" s="162">
        <f t="shared" si="161"/>
        <v>4.9140049140048436E-3</v>
      </c>
    </row>
    <row r="988" spans="1:16">
      <c r="A988" s="319">
        <v>45637</v>
      </c>
      <c r="B988" s="31">
        <v>4.21</v>
      </c>
      <c r="C988" s="30">
        <v>4.1500000000000004</v>
      </c>
      <c r="D988" s="30">
        <v>4.09</v>
      </c>
      <c r="E988" s="30">
        <v>4.0450999999999997</v>
      </c>
      <c r="F988" s="29">
        <v>4.13</v>
      </c>
      <c r="G988" s="159">
        <f t="shared" si="152"/>
        <v>-9.9999999999997863E-5</v>
      </c>
      <c r="H988" s="154">
        <f t="shared" si="153"/>
        <v>0</v>
      </c>
      <c r="I988" s="154">
        <f t="shared" si="154"/>
        <v>9.9999999999997863E-5</v>
      </c>
      <c r="J988" s="154">
        <f t="shared" si="155"/>
        <v>3.1200000000000119E-4</v>
      </c>
      <c r="K988" s="160">
        <f t="shared" si="156"/>
        <v>4.0000000000000034E-4</v>
      </c>
      <c r="L988" s="161">
        <f t="shared" si="157"/>
        <v>-2.3696682464454666E-3</v>
      </c>
      <c r="M988" s="155">
        <f t="shared" si="158"/>
        <v>0</v>
      </c>
      <c r="N988" s="155">
        <f t="shared" si="159"/>
        <v>2.450980392156854E-3</v>
      </c>
      <c r="O988" s="155">
        <f t="shared" si="160"/>
        <v>7.7729888636985933E-3</v>
      </c>
      <c r="P988" s="162">
        <f t="shared" si="161"/>
        <v>9.7799511002445438E-3</v>
      </c>
    </row>
    <row r="989" spans="1:16">
      <c r="A989" s="319">
        <v>45638</v>
      </c>
      <c r="B989" s="31">
        <v>4.22</v>
      </c>
      <c r="C989" s="30">
        <v>4.18</v>
      </c>
      <c r="D989" s="30">
        <v>4.1399999999999997</v>
      </c>
      <c r="E989" s="30">
        <v>4.0872000000000002</v>
      </c>
      <c r="F989" s="29">
        <v>4.18</v>
      </c>
      <c r="G989" s="159">
        <f t="shared" si="152"/>
        <v>9.9999999999997863E-5</v>
      </c>
      <c r="H989" s="154">
        <f t="shared" si="153"/>
        <v>2.9999999999999363E-4</v>
      </c>
      <c r="I989" s="154">
        <f t="shared" si="154"/>
        <v>4.9999999999999828E-4</v>
      </c>
      <c r="J989" s="154">
        <f t="shared" si="155"/>
        <v>4.210000000000047E-4</v>
      </c>
      <c r="K989" s="160">
        <f t="shared" si="156"/>
        <v>4.9999999999999828E-4</v>
      </c>
      <c r="L989" s="161">
        <f t="shared" si="157"/>
        <v>2.3752969121140222E-3</v>
      </c>
      <c r="M989" s="155">
        <f t="shared" si="158"/>
        <v>7.2289156626503814E-3</v>
      </c>
      <c r="N989" s="155">
        <f t="shared" si="159"/>
        <v>1.2224938875305513E-2</v>
      </c>
      <c r="O989" s="155">
        <f t="shared" si="160"/>
        <v>1.0407653704482156E-2</v>
      </c>
      <c r="P989" s="162">
        <f t="shared" si="161"/>
        <v>1.2106537530266248E-2</v>
      </c>
    </row>
    <row r="990" spans="1:16">
      <c r="A990" s="319">
        <v>45639</v>
      </c>
      <c r="B990" s="31">
        <v>4.24</v>
      </c>
      <c r="C990" s="30">
        <v>4.25</v>
      </c>
      <c r="D990" s="30">
        <v>4.21</v>
      </c>
      <c r="E990" s="30">
        <v>4.1525999999999996</v>
      </c>
      <c r="F990" s="29">
        <v>4.25</v>
      </c>
      <c r="G990" s="159">
        <f t="shared" si="152"/>
        <v>2.0000000000000462E-4</v>
      </c>
      <c r="H990" s="154">
        <f t="shared" si="153"/>
        <v>7.0000000000000281E-4</v>
      </c>
      <c r="I990" s="154">
        <f t="shared" si="154"/>
        <v>7.0000000000000281E-4</v>
      </c>
      <c r="J990" s="154">
        <f t="shared" si="155"/>
        <v>6.5399999999999454E-4</v>
      </c>
      <c r="K990" s="160">
        <f t="shared" si="156"/>
        <v>7.0000000000000281E-4</v>
      </c>
      <c r="L990" s="161">
        <f t="shared" si="157"/>
        <v>4.7393364928911552E-3</v>
      </c>
      <c r="M990" s="155">
        <f t="shared" si="158"/>
        <v>1.674641148325362E-2</v>
      </c>
      <c r="N990" s="155">
        <f t="shared" si="159"/>
        <v>1.6908212560386549E-2</v>
      </c>
      <c r="O990" s="155">
        <f t="shared" si="160"/>
        <v>1.6001174398120765E-2</v>
      </c>
      <c r="P990" s="162">
        <f t="shared" si="161"/>
        <v>1.674641148325362E-2</v>
      </c>
    </row>
    <row r="991" spans="1:16">
      <c r="A991" s="319">
        <v>45642</v>
      </c>
      <c r="B991" s="31">
        <v>4.24</v>
      </c>
      <c r="C991" s="30">
        <v>4.25</v>
      </c>
      <c r="D991" s="30">
        <v>4.22</v>
      </c>
      <c r="E991" s="30">
        <v>4.1627999999999998</v>
      </c>
      <c r="F991" s="29">
        <v>4.25</v>
      </c>
      <c r="G991" s="159">
        <f t="shared" si="152"/>
        <v>0</v>
      </c>
      <c r="H991" s="154">
        <f t="shared" si="153"/>
        <v>0</v>
      </c>
      <c r="I991" s="154">
        <f t="shared" si="154"/>
        <v>9.9999999999997863E-5</v>
      </c>
      <c r="J991" s="154">
        <f t="shared" si="155"/>
        <v>1.0200000000000209E-4</v>
      </c>
      <c r="K991" s="160">
        <f t="shared" si="156"/>
        <v>0</v>
      </c>
      <c r="L991" s="161">
        <f t="shared" si="157"/>
        <v>0</v>
      </c>
      <c r="M991" s="155">
        <f t="shared" si="158"/>
        <v>0</v>
      </c>
      <c r="N991" s="155">
        <f t="shared" si="159"/>
        <v>2.3752969121140222E-3</v>
      </c>
      <c r="O991" s="155">
        <f t="shared" si="160"/>
        <v>2.4562924432884881E-3</v>
      </c>
      <c r="P991" s="162">
        <f t="shared" si="161"/>
        <v>0</v>
      </c>
    </row>
    <row r="992" spans="1:16">
      <c r="A992" s="319">
        <v>45643</v>
      </c>
      <c r="B992" s="31">
        <v>4.25</v>
      </c>
      <c r="C992" s="30">
        <v>4.25</v>
      </c>
      <c r="D992" s="30">
        <v>4.22</v>
      </c>
      <c r="E992" s="30">
        <v>4.1698000000000004</v>
      </c>
      <c r="F992" s="29">
        <v>4.26</v>
      </c>
      <c r="G992" s="159">
        <f t="shared" si="152"/>
        <v>9.9999999999997863E-5</v>
      </c>
      <c r="H992" s="154">
        <f t="shared" si="153"/>
        <v>0</v>
      </c>
      <c r="I992" s="154">
        <f t="shared" si="154"/>
        <v>0</v>
      </c>
      <c r="J992" s="154">
        <f t="shared" si="155"/>
        <v>7.0000000000005618E-5</v>
      </c>
      <c r="K992" s="160">
        <f t="shared" si="156"/>
        <v>9.9999999999997863E-5</v>
      </c>
      <c r="L992" s="161">
        <f t="shared" si="157"/>
        <v>2.3584905660376521E-3</v>
      </c>
      <c r="M992" s="155">
        <f t="shared" si="158"/>
        <v>0</v>
      </c>
      <c r="N992" s="155">
        <f t="shared" si="159"/>
        <v>0</v>
      </c>
      <c r="O992" s="155">
        <f t="shared" si="160"/>
        <v>1.6815604881330604E-3</v>
      </c>
      <c r="P992" s="162">
        <f t="shared" si="161"/>
        <v>2.3529411764704466E-3</v>
      </c>
    </row>
    <row r="993" spans="1:16">
      <c r="A993" s="319">
        <v>45644</v>
      </c>
      <c r="B993" s="31">
        <v>4.3</v>
      </c>
      <c r="C993" s="30">
        <v>4.3499999999999996</v>
      </c>
      <c r="D993" s="30">
        <v>4.3499999999999996</v>
      </c>
      <c r="E993" s="30">
        <v>4.2588999999999997</v>
      </c>
      <c r="F993" s="29">
        <v>4.4000000000000004</v>
      </c>
      <c r="G993" s="159">
        <f t="shared" si="152"/>
        <v>4.9999999999999828E-4</v>
      </c>
      <c r="H993" s="154">
        <f t="shared" si="153"/>
        <v>9.9999999999999655E-4</v>
      </c>
      <c r="I993" s="154">
        <f t="shared" si="154"/>
        <v>1.2999999999999989E-3</v>
      </c>
      <c r="J993" s="154">
        <f t="shared" si="155"/>
        <v>8.9099999999999293E-4</v>
      </c>
      <c r="K993" s="160">
        <f t="shared" si="156"/>
        <v>1.4000000000000056E-3</v>
      </c>
      <c r="L993" s="161">
        <f t="shared" si="157"/>
        <v>1.1764705882352899E-2</v>
      </c>
      <c r="M993" s="155">
        <f t="shared" si="158"/>
        <v>2.3529411764705799E-2</v>
      </c>
      <c r="N993" s="155">
        <f t="shared" si="159"/>
        <v>3.0805687203791399E-2</v>
      </c>
      <c r="O993" s="155">
        <f t="shared" si="160"/>
        <v>2.1367931315650512E-2</v>
      </c>
      <c r="P993" s="162">
        <f t="shared" si="161"/>
        <v>3.2863849765258246E-2</v>
      </c>
    </row>
    <row r="994" spans="1:16">
      <c r="A994" s="319">
        <v>45645</v>
      </c>
      <c r="B994" s="31">
        <v>4.28</v>
      </c>
      <c r="C994" s="30">
        <v>4.32</v>
      </c>
      <c r="D994" s="30">
        <v>4.3499999999999996</v>
      </c>
      <c r="E994" s="30">
        <v>4.3026</v>
      </c>
      <c r="F994" s="29">
        <v>4.43</v>
      </c>
      <c r="G994" s="159">
        <f t="shared" si="152"/>
        <v>-1.9999999999999573E-4</v>
      </c>
      <c r="H994" s="154">
        <f t="shared" si="153"/>
        <v>-2.9999999999999363E-4</v>
      </c>
      <c r="I994" s="154">
        <f t="shared" si="154"/>
        <v>0</v>
      </c>
      <c r="J994" s="154">
        <f t="shared" si="155"/>
        <v>4.3700000000000292E-4</v>
      </c>
      <c r="K994" s="160">
        <f t="shared" si="156"/>
        <v>2.9999999999999363E-4</v>
      </c>
      <c r="L994" s="161">
        <f t="shared" si="157"/>
        <v>-4.6511627906975495E-3</v>
      </c>
      <c r="M994" s="155">
        <f t="shared" si="158"/>
        <v>-6.8965517241378338E-3</v>
      </c>
      <c r="N994" s="155">
        <f t="shared" si="159"/>
        <v>0</v>
      </c>
      <c r="O994" s="155">
        <f t="shared" si="160"/>
        <v>1.0260865481697135E-2</v>
      </c>
      <c r="P994" s="162">
        <f t="shared" si="161"/>
        <v>6.8181818181816123E-3</v>
      </c>
    </row>
    <row r="995" spans="1:16">
      <c r="A995" s="319">
        <v>45646</v>
      </c>
      <c r="B995" s="31">
        <v>4.2699999999999996</v>
      </c>
      <c r="C995" s="30">
        <v>4.3</v>
      </c>
      <c r="D995" s="30">
        <v>4.32</v>
      </c>
      <c r="E995" s="30">
        <v>4.2786999999999997</v>
      </c>
      <c r="F995" s="29">
        <v>4.37</v>
      </c>
      <c r="G995" s="159">
        <f t="shared" si="152"/>
        <v>-1.0000000000000675E-4</v>
      </c>
      <c r="H995" s="154">
        <f t="shared" si="153"/>
        <v>-2.0000000000000462E-4</v>
      </c>
      <c r="I995" s="154">
        <f t="shared" si="154"/>
        <v>-2.9999999999999363E-4</v>
      </c>
      <c r="J995" s="154">
        <f t="shared" si="155"/>
        <v>-2.3900000000000256E-4</v>
      </c>
      <c r="K995" s="160">
        <f t="shared" si="156"/>
        <v>-5.9999999999999604E-4</v>
      </c>
      <c r="L995" s="161">
        <f t="shared" si="157"/>
        <v>-2.3364485981309802E-3</v>
      </c>
      <c r="M995" s="155">
        <f t="shared" si="158"/>
        <v>-4.6296296296297612E-3</v>
      </c>
      <c r="N995" s="155">
        <f t="shared" si="159"/>
        <v>-6.8965517241378338E-3</v>
      </c>
      <c r="O995" s="155">
        <f t="shared" si="160"/>
        <v>-5.5547808301957824E-3</v>
      </c>
      <c r="P995" s="162">
        <f t="shared" si="161"/>
        <v>-1.3544018058690654E-2</v>
      </c>
    </row>
    <row r="996" spans="1:16">
      <c r="A996" s="319">
        <v>45649</v>
      </c>
      <c r="B996" s="31">
        <v>4.26</v>
      </c>
      <c r="C996" s="30">
        <v>4.3</v>
      </c>
      <c r="D996" s="30">
        <v>4.3600000000000003</v>
      </c>
      <c r="E996" s="30">
        <v>4.3227000000000002</v>
      </c>
      <c r="F996" s="29">
        <v>4.4400000000000004</v>
      </c>
      <c r="G996" s="159">
        <f t="shared" si="152"/>
        <v>-9.9999999999997863E-5</v>
      </c>
      <c r="H996" s="154">
        <f t="shared" si="153"/>
        <v>0</v>
      </c>
      <c r="I996" s="154">
        <f t="shared" si="154"/>
        <v>4.0000000000000034E-4</v>
      </c>
      <c r="J996" s="154">
        <f t="shared" si="155"/>
        <v>4.4000000000000484E-4</v>
      </c>
      <c r="K996" s="160">
        <f t="shared" si="156"/>
        <v>7.0000000000000281E-4</v>
      </c>
      <c r="L996" s="161">
        <f t="shared" si="157"/>
        <v>-2.3419203747072626E-3</v>
      </c>
      <c r="M996" s="155">
        <f t="shared" si="158"/>
        <v>0</v>
      </c>
      <c r="N996" s="155">
        <f t="shared" si="159"/>
        <v>9.2592592592593004E-3</v>
      </c>
      <c r="O996" s="155">
        <f t="shared" si="160"/>
        <v>1.0283497323953616E-2</v>
      </c>
      <c r="P996" s="162">
        <f t="shared" si="161"/>
        <v>1.6018306636155666E-2</v>
      </c>
    </row>
    <row r="997" spans="1:16">
      <c r="A997" s="319">
        <v>45650</v>
      </c>
      <c r="B997" s="31">
        <v>4.24</v>
      </c>
      <c r="C997" s="30">
        <v>4.29</v>
      </c>
      <c r="D997" s="30">
        <v>4.3600000000000003</v>
      </c>
      <c r="E997" s="30">
        <v>4.3343999999999996</v>
      </c>
      <c r="F997" s="29">
        <v>4.43</v>
      </c>
      <c r="G997" s="159">
        <f t="shared" si="152"/>
        <v>-1.9999999999999573E-4</v>
      </c>
      <c r="H997" s="154">
        <f t="shared" si="153"/>
        <v>-9.9999999999997863E-5</v>
      </c>
      <c r="I997" s="154">
        <f t="shared" si="154"/>
        <v>0</v>
      </c>
      <c r="J997" s="154">
        <f t="shared" si="155"/>
        <v>1.1699999999999378E-4</v>
      </c>
      <c r="K997" s="160">
        <f t="shared" si="156"/>
        <v>-1.0000000000000675E-4</v>
      </c>
      <c r="L997" s="161">
        <f t="shared" si="157"/>
        <v>-4.6948356807510194E-3</v>
      </c>
      <c r="M997" s="155">
        <f t="shared" si="158"/>
        <v>-2.3255813953487747E-3</v>
      </c>
      <c r="N997" s="155">
        <f t="shared" si="159"/>
        <v>0</v>
      </c>
      <c r="O997" s="155">
        <f t="shared" si="160"/>
        <v>2.7066416822818518E-3</v>
      </c>
      <c r="P997" s="162">
        <f t="shared" si="161"/>
        <v>-2.2522522522524513E-3</v>
      </c>
    </row>
    <row r="998" spans="1:16">
      <c r="A998" s="319">
        <v>45652</v>
      </c>
      <c r="B998" s="31">
        <v>4.2300000000000004</v>
      </c>
      <c r="C998" s="30">
        <v>4.3</v>
      </c>
      <c r="D998" s="30">
        <v>4.3499999999999996</v>
      </c>
      <c r="E998" s="30">
        <v>4.3215000000000003</v>
      </c>
      <c r="F998" s="29">
        <v>4.42</v>
      </c>
      <c r="G998" s="159">
        <f t="shared" si="152"/>
        <v>-9.9999999999997863E-5</v>
      </c>
      <c r="H998" s="154">
        <f t="shared" si="153"/>
        <v>9.9999999999997863E-5</v>
      </c>
      <c r="I998" s="154">
        <f t="shared" si="154"/>
        <v>-1.0000000000000675E-4</v>
      </c>
      <c r="J998" s="154">
        <f t="shared" si="155"/>
        <v>-1.2899999999999246E-4</v>
      </c>
      <c r="K998" s="160">
        <f t="shared" si="156"/>
        <v>-9.9999999999997863E-5</v>
      </c>
      <c r="L998" s="161">
        <f t="shared" si="157"/>
        <v>-2.3584905660376521E-3</v>
      </c>
      <c r="M998" s="155">
        <f t="shared" si="158"/>
        <v>2.3310023310023631E-3</v>
      </c>
      <c r="N998" s="155">
        <f t="shared" si="159"/>
        <v>-2.2935779816515289E-3</v>
      </c>
      <c r="O998" s="155">
        <f t="shared" si="160"/>
        <v>-2.9761904761903546E-3</v>
      </c>
      <c r="P998" s="162">
        <f t="shared" si="161"/>
        <v>-2.2573363431150906E-3</v>
      </c>
    </row>
    <row r="999" spans="1:16">
      <c r="A999" s="319">
        <v>45653</v>
      </c>
      <c r="B999" s="31">
        <v>4.2</v>
      </c>
      <c r="C999" s="30">
        <v>4.3099999999999996</v>
      </c>
      <c r="D999" s="30">
        <v>4.3600000000000003</v>
      </c>
      <c r="E999" s="30">
        <v>4.3346999999999998</v>
      </c>
      <c r="F999" s="29">
        <v>4.45</v>
      </c>
      <c r="G999" s="159">
        <f t="shared" si="152"/>
        <v>-3.0000000000000247E-4</v>
      </c>
      <c r="H999" s="154">
        <f t="shared" si="153"/>
        <v>9.9999999999997863E-5</v>
      </c>
      <c r="I999" s="154">
        <f t="shared" si="154"/>
        <v>1.0000000000000675E-4</v>
      </c>
      <c r="J999" s="154">
        <f t="shared" si="155"/>
        <v>1.3199999999999435E-4</v>
      </c>
      <c r="K999" s="160">
        <f t="shared" si="156"/>
        <v>3.0000000000000247E-4</v>
      </c>
      <c r="L999" s="161">
        <f t="shared" si="157"/>
        <v>-7.0921985815602939E-3</v>
      </c>
      <c r="M999" s="155">
        <f t="shared" si="158"/>
        <v>2.3255813953488857E-3</v>
      </c>
      <c r="N999" s="155">
        <f t="shared" si="159"/>
        <v>2.2988505747127963E-3</v>
      </c>
      <c r="O999" s="155">
        <f t="shared" si="160"/>
        <v>3.0544949670252564E-3</v>
      </c>
      <c r="P999" s="162">
        <f t="shared" si="161"/>
        <v>6.7873303167420573E-3</v>
      </c>
    </row>
    <row r="1000" spans="1:16">
      <c r="A1000" s="319">
        <v>45656</v>
      </c>
      <c r="B1000" s="31">
        <v>4.17</v>
      </c>
      <c r="C1000" s="30">
        <v>4.24</v>
      </c>
      <c r="D1000" s="30">
        <v>4.29</v>
      </c>
      <c r="E1000" s="30">
        <v>4.2736999999999998</v>
      </c>
      <c r="F1000" s="29">
        <v>4.37</v>
      </c>
      <c r="G1000" s="159">
        <f t="shared" si="152"/>
        <v>-3.0000000000000247E-4</v>
      </c>
      <c r="H1000" s="154">
        <f t="shared" si="153"/>
        <v>-6.9999999999999392E-4</v>
      </c>
      <c r="I1000" s="154">
        <f t="shared" si="154"/>
        <v>-7.0000000000000281E-4</v>
      </c>
      <c r="J1000" s="154">
        <f t="shared" si="155"/>
        <v>-6.0999999999999943E-4</v>
      </c>
      <c r="K1000" s="160">
        <f t="shared" si="156"/>
        <v>-8.0000000000000069E-4</v>
      </c>
      <c r="L1000" s="161">
        <f t="shared" si="157"/>
        <v>-7.1428571428572285E-3</v>
      </c>
      <c r="M1000" s="155">
        <f t="shared" si="158"/>
        <v>-1.6241299303944134E-2</v>
      </c>
      <c r="N1000" s="155">
        <f t="shared" si="159"/>
        <v>-1.6055045871559703E-2</v>
      </c>
      <c r="O1000" s="155">
        <f t="shared" si="160"/>
        <v>-1.4072484831706866E-2</v>
      </c>
      <c r="P1000" s="162">
        <f t="shared" si="161"/>
        <v>-1.7977528089887618E-2</v>
      </c>
    </row>
    <row r="1001" spans="1:16">
      <c r="A1001" s="319">
        <v>45657</v>
      </c>
      <c r="B1001" s="31">
        <v>4.16</v>
      </c>
      <c r="C1001" s="30">
        <v>4.25</v>
      </c>
      <c r="D1001" s="30">
        <v>4.2699999999999996</v>
      </c>
      <c r="E1001" s="30">
        <v>4.2679999999999998</v>
      </c>
      <c r="F1001" s="29">
        <v>4.38</v>
      </c>
      <c r="G1001" s="159">
        <f t="shared" si="152"/>
        <v>-9.9999999999997863E-5</v>
      </c>
      <c r="H1001" s="154">
        <f t="shared" si="153"/>
        <v>9.9999999999997863E-5</v>
      </c>
      <c r="I1001" s="154">
        <f t="shared" si="154"/>
        <v>-2.0000000000000462E-4</v>
      </c>
      <c r="J1001" s="154">
        <f t="shared" si="155"/>
        <v>-5.7000000000000383E-5</v>
      </c>
      <c r="K1001" s="160">
        <f t="shared" si="156"/>
        <v>9.9999999999997863E-5</v>
      </c>
      <c r="L1001" s="161">
        <f t="shared" si="157"/>
        <v>-2.3980815347721673E-3</v>
      </c>
      <c r="M1001" s="155">
        <f t="shared" si="158"/>
        <v>2.3584905660376521E-3</v>
      </c>
      <c r="N1001" s="155">
        <f t="shared" si="159"/>
        <v>-4.6620046620047262E-3</v>
      </c>
      <c r="O1001" s="155">
        <f t="shared" si="160"/>
        <v>-1.3337389147577428E-3</v>
      </c>
      <c r="P1001" s="162">
        <f t="shared" si="161"/>
        <v>2.2883295194506825E-3</v>
      </c>
    </row>
    <row r="1002" spans="1:16">
      <c r="A1002" s="319">
        <v>45659</v>
      </c>
      <c r="B1002" s="31">
        <v>4.17</v>
      </c>
      <c r="C1002" s="30">
        <v>4.25</v>
      </c>
      <c r="D1002" s="30">
        <v>4.29</v>
      </c>
      <c r="E1002" s="30">
        <v>4.2582000000000004</v>
      </c>
      <c r="F1002" s="29">
        <v>4.38</v>
      </c>
      <c r="G1002" s="159">
        <f t="shared" si="152"/>
        <v>9.9999999999997863E-5</v>
      </c>
      <c r="H1002" s="154">
        <f t="shared" si="153"/>
        <v>0</v>
      </c>
      <c r="I1002" s="154">
        <f t="shared" si="154"/>
        <v>2.0000000000000462E-4</v>
      </c>
      <c r="J1002" s="154">
        <f t="shared" si="155"/>
        <v>-9.7999999999993654E-5</v>
      </c>
      <c r="K1002" s="160">
        <f t="shared" si="156"/>
        <v>0</v>
      </c>
      <c r="L1002" s="161">
        <f t="shared" si="157"/>
        <v>2.4038461538460343E-3</v>
      </c>
      <c r="M1002" s="155">
        <f t="shared" si="158"/>
        <v>0</v>
      </c>
      <c r="N1002" s="155">
        <f t="shared" si="159"/>
        <v>4.6838407494145251E-3</v>
      </c>
      <c r="O1002" s="155">
        <f t="shared" si="160"/>
        <v>-2.2961574507964766E-3</v>
      </c>
      <c r="P1002" s="162">
        <f t="shared" si="161"/>
        <v>0</v>
      </c>
    </row>
    <row r="1003" spans="1:16">
      <c r="A1003" s="319">
        <v>45660</v>
      </c>
      <c r="B1003" s="31">
        <v>4.18</v>
      </c>
      <c r="C1003" s="30">
        <v>4.28</v>
      </c>
      <c r="D1003" s="30">
        <v>4.32</v>
      </c>
      <c r="E1003" s="30">
        <v>4.2834000000000003</v>
      </c>
      <c r="F1003" s="29">
        <v>4.41</v>
      </c>
      <c r="G1003" s="159">
        <f t="shared" si="152"/>
        <v>9.9999999999997863E-5</v>
      </c>
      <c r="H1003" s="154">
        <f t="shared" si="153"/>
        <v>3.0000000000000247E-4</v>
      </c>
      <c r="I1003" s="154">
        <f t="shared" si="154"/>
        <v>3.0000000000000247E-4</v>
      </c>
      <c r="J1003" s="154">
        <f t="shared" si="155"/>
        <v>2.5199999999999892E-4</v>
      </c>
      <c r="K1003" s="160">
        <f t="shared" si="156"/>
        <v>3.0000000000000247E-4</v>
      </c>
      <c r="L1003" s="161">
        <f t="shared" si="157"/>
        <v>2.3980815347721673E-3</v>
      </c>
      <c r="M1003" s="155">
        <f t="shared" si="158"/>
        <v>7.058823529411784E-3</v>
      </c>
      <c r="N1003" s="155">
        <f t="shared" si="159"/>
        <v>6.9930069930070893E-3</v>
      </c>
      <c r="O1003" s="155">
        <f t="shared" si="160"/>
        <v>5.917993518387954E-3</v>
      </c>
      <c r="P1003" s="162">
        <f t="shared" si="161"/>
        <v>6.8493150684931781E-3</v>
      </c>
    </row>
    <row r="1004" spans="1:16">
      <c r="A1004" s="319">
        <v>45663</v>
      </c>
      <c r="B1004" s="31">
        <v>4.17</v>
      </c>
      <c r="C1004" s="30">
        <v>4.28</v>
      </c>
      <c r="D1004" s="30">
        <v>4.3</v>
      </c>
      <c r="E1004" s="30">
        <v>4.2941000000000003</v>
      </c>
      <c r="F1004" s="29">
        <v>4.42</v>
      </c>
      <c r="G1004" s="159">
        <f t="shared" si="152"/>
        <v>-9.9999999999997863E-5</v>
      </c>
      <c r="H1004" s="154">
        <f t="shared" si="153"/>
        <v>0</v>
      </c>
      <c r="I1004" s="154">
        <f t="shared" si="154"/>
        <v>-2.0000000000000462E-4</v>
      </c>
      <c r="J1004" s="154">
        <f t="shared" si="155"/>
        <v>1.0699999999999932E-4</v>
      </c>
      <c r="K1004" s="160">
        <f t="shared" si="156"/>
        <v>9.9999999999997863E-5</v>
      </c>
      <c r="L1004" s="161">
        <f t="shared" si="157"/>
        <v>-2.3923444976076125E-3</v>
      </c>
      <c r="M1004" s="155">
        <f t="shared" si="158"/>
        <v>0</v>
      </c>
      <c r="N1004" s="155">
        <f t="shared" si="159"/>
        <v>-4.6296296296297612E-3</v>
      </c>
      <c r="O1004" s="155">
        <f t="shared" si="160"/>
        <v>2.498015595087999E-3</v>
      </c>
      <c r="P1004" s="162">
        <f t="shared" si="161"/>
        <v>2.2675736961450532E-3</v>
      </c>
    </row>
    <row r="1005" spans="1:16">
      <c r="A1005" s="319">
        <v>45664</v>
      </c>
      <c r="B1005" s="31">
        <v>4.1900000000000004</v>
      </c>
      <c r="C1005" s="30">
        <v>4.3</v>
      </c>
      <c r="D1005" s="30">
        <v>4.33</v>
      </c>
      <c r="E1005" s="30">
        <v>4.3276000000000003</v>
      </c>
      <c r="F1005" s="29">
        <v>4.46</v>
      </c>
      <c r="G1005" s="159">
        <f t="shared" si="152"/>
        <v>2.0000000000000462E-4</v>
      </c>
      <c r="H1005" s="154">
        <f t="shared" si="153"/>
        <v>1.9999999999999573E-4</v>
      </c>
      <c r="I1005" s="154">
        <f t="shared" si="154"/>
        <v>3.0000000000000247E-4</v>
      </c>
      <c r="J1005" s="154">
        <f t="shared" si="155"/>
        <v>3.3500000000000088E-4</v>
      </c>
      <c r="K1005" s="160">
        <f t="shared" si="156"/>
        <v>4.0000000000000034E-4</v>
      </c>
      <c r="L1005" s="161">
        <f t="shared" si="157"/>
        <v>4.7961630695445567E-3</v>
      </c>
      <c r="M1005" s="155">
        <f t="shared" si="158"/>
        <v>4.6728971962615162E-3</v>
      </c>
      <c r="N1005" s="155">
        <f t="shared" si="159"/>
        <v>6.9767441860466572E-3</v>
      </c>
      <c r="O1005" s="155">
        <f t="shared" si="160"/>
        <v>7.8014019235694843E-3</v>
      </c>
      <c r="P1005" s="162">
        <f t="shared" si="161"/>
        <v>9.0497737556560764E-3</v>
      </c>
    </row>
    <row r="1006" spans="1:16">
      <c r="A1006" s="319">
        <v>45665</v>
      </c>
      <c r="B1006" s="31">
        <v>4.1900000000000004</v>
      </c>
      <c r="C1006" s="30">
        <v>4.28</v>
      </c>
      <c r="D1006" s="30">
        <v>4.3099999999999996</v>
      </c>
      <c r="E1006" s="30">
        <v>4.3255999999999997</v>
      </c>
      <c r="F1006" s="29">
        <v>4.45</v>
      </c>
      <c r="G1006" s="159">
        <f t="shared" si="152"/>
        <v>0</v>
      </c>
      <c r="H1006" s="154">
        <f t="shared" si="153"/>
        <v>-1.9999999999999573E-4</v>
      </c>
      <c r="I1006" s="154">
        <f t="shared" si="154"/>
        <v>-2.0000000000000462E-4</v>
      </c>
      <c r="J1006" s="154">
        <f t="shared" si="155"/>
        <v>-2.000000000000668E-5</v>
      </c>
      <c r="K1006" s="160">
        <f t="shared" si="156"/>
        <v>-9.9999999999997863E-5</v>
      </c>
      <c r="L1006" s="161">
        <f t="shared" si="157"/>
        <v>0</v>
      </c>
      <c r="M1006" s="155">
        <f t="shared" si="158"/>
        <v>-4.6511627906975495E-3</v>
      </c>
      <c r="N1006" s="155">
        <f t="shared" si="159"/>
        <v>-4.6189376443419583E-3</v>
      </c>
      <c r="O1006" s="155">
        <f t="shared" si="160"/>
        <v>-4.6214992143467359E-4</v>
      </c>
      <c r="P1006" s="162">
        <f t="shared" si="161"/>
        <v>-2.2421524663677195E-3</v>
      </c>
    </row>
    <row r="1007" spans="1:16">
      <c r="A1007" s="319">
        <v>45666</v>
      </c>
      <c r="B1007" s="31">
        <v>4.16</v>
      </c>
      <c r="C1007" s="30">
        <v>4.2699999999999996</v>
      </c>
      <c r="D1007" s="30">
        <v>4.3099999999999996</v>
      </c>
      <c r="E1007" s="30">
        <v>4.3281999999999998</v>
      </c>
      <c r="F1007" s="29">
        <v>4.46</v>
      </c>
      <c r="G1007" s="159">
        <f t="shared" si="152"/>
        <v>-3.0000000000000247E-4</v>
      </c>
      <c r="H1007" s="154">
        <f t="shared" si="153"/>
        <v>-1.0000000000000675E-4</v>
      </c>
      <c r="I1007" s="154">
        <f t="shared" si="154"/>
        <v>0</v>
      </c>
      <c r="J1007" s="154">
        <f t="shared" si="155"/>
        <v>2.6000000000001577E-5</v>
      </c>
      <c r="K1007" s="160">
        <f t="shared" si="156"/>
        <v>9.9999999999997863E-5</v>
      </c>
      <c r="L1007" s="161">
        <f t="shared" si="157"/>
        <v>-7.1599045346062429E-3</v>
      </c>
      <c r="M1007" s="155">
        <f t="shared" si="158"/>
        <v>-2.3364485981309802E-3</v>
      </c>
      <c r="N1007" s="155">
        <f t="shared" si="159"/>
        <v>0</v>
      </c>
      <c r="O1007" s="155">
        <f t="shared" si="160"/>
        <v>6.0107268355835686E-4</v>
      </c>
      <c r="P1007" s="162">
        <f t="shared" si="161"/>
        <v>2.2471910112358273E-3</v>
      </c>
    </row>
    <row r="1008" spans="1:16">
      <c r="A1008" s="319">
        <v>45667</v>
      </c>
      <c r="B1008" s="31">
        <v>4.25</v>
      </c>
      <c r="C1008" s="30">
        <v>4.4000000000000004</v>
      </c>
      <c r="D1008" s="30">
        <v>4.46</v>
      </c>
      <c r="E1008" s="30">
        <v>4.4245999999999999</v>
      </c>
      <c r="F1008" s="29">
        <v>4.59</v>
      </c>
      <c r="G1008" s="159">
        <f t="shared" si="152"/>
        <v>8.9999999999999857E-4</v>
      </c>
      <c r="H1008" s="154">
        <f t="shared" si="153"/>
        <v>1.3000000000000077E-3</v>
      </c>
      <c r="I1008" s="154">
        <f t="shared" si="154"/>
        <v>1.5000000000000035E-3</v>
      </c>
      <c r="J1008" s="154">
        <f t="shared" si="155"/>
        <v>9.6400000000000045E-4</v>
      </c>
      <c r="K1008" s="160">
        <f t="shared" si="156"/>
        <v>1.2999999999999989E-3</v>
      </c>
      <c r="L1008" s="161">
        <f t="shared" si="157"/>
        <v>2.1634615384615419E-2</v>
      </c>
      <c r="M1008" s="155">
        <f t="shared" si="158"/>
        <v>3.0444964871194635E-2</v>
      </c>
      <c r="N1008" s="155">
        <f t="shared" si="159"/>
        <v>3.4802784222737859E-2</v>
      </c>
      <c r="O1008" s="155">
        <f t="shared" si="160"/>
        <v>2.2272538237604556E-2</v>
      </c>
      <c r="P1008" s="162">
        <f t="shared" si="161"/>
        <v>2.9147982062780242E-2</v>
      </c>
    </row>
    <row r="1009" spans="1:16">
      <c r="A1009" s="319">
        <v>45670</v>
      </c>
      <c r="B1009" s="31">
        <v>4.24</v>
      </c>
      <c r="C1009" s="30">
        <v>4.4000000000000004</v>
      </c>
      <c r="D1009" s="30">
        <v>4.49</v>
      </c>
      <c r="E1009" s="30">
        <v>4.4585999999999997</v>
      </c>
      <c r="F1009" s="29">
        <v>4.6100000000000003</v>
      </c>
      <c r="G1009" s="159">
        <f t="shared" si="152"/>
        <v>-9.9999999999997863E-5</v>
      </c>
      <c r="H1009" s="154">
        <f t="shared" si="153"/>
        <v>0</v>
      </c>
      <c r="I1009" s="154">
        <f t="shared" si="154"/>
        <v>3.0000000000000247E-4</v>
      </c>
      <c r="J1009" s="154">
        <f t="shared" si="155"/>
        <v>3.3999999999999807E-4</v>
      </c>
      <c r="K1009" s="160">
        <f t="shared" si="156"/>
        <v>2.0000000000000462E-4</v>
      </c>
      <c r="L1009" s="161">
        <f t="shared" si="157"/>
        <v>-2.3529411764705577E-3</v>
      </c>
      <c r="M1009" s="155">
        <f t="shared" si="158"/>
        <v>0</v>
      </c>
      <c r="N1009" s="155">
        <f t="shared" si="159"/>
        <v>6.7264573991032695E-3</v>
      </c>
      <c r="O1009" s="155">
        <f t="shared" si="160"/>
        <v>7.6843104461419287E-3</v>
      </c>
      <c r="P1009" s="162">
        <f t="shared" si="161"/>
        <v>4.3572984749455923E-3</v>
      </c>
    </row>
    <row r="1010" spans="1:16">
      <c r="A1010" s="319">
        <v>45671</v>
      </c>
      <c r="B1010" s="31">
        <v>4.22</v>
      </c>
      <c r="C1010" s="30">
        <v>4.37</v>
      </c>
      <c r="D1010" s="30">
        <v>4.46</v>
      </c>
      <c r="E1010" s="30">
        <v>4.4500999999999999</v>
      </c>
      <c r="F1010" s="29">
        <v>4.59</v>
      </c>
      <c r="G1010" s="159">
        <f t="shared" si="152"/>
        <v>-2.0000000000000462E-4</v>
      </c>
      <c r="H1010" s="154">
        <f t="shared" si="153"/>
        <v>-3.0000000000000247E-4</v>
      </c>
      <c r="I1010" s="154">
        <f t="shared" si="154"/>
        <v>-3.0000000000000247E-4</v>
      </c>
      <c r="J1010" s="154">
        <f t="shared" si="155"/>
        <v>-8.4999999999997296E-5</v>
      </c>
      <c r="K1010" s="160">
        <f t="shared" si="156"/>
        <v>-2.0000000000000462E-4</v>
      </c>
      <c r="L1010" s="161">
        <f t="shared" si="157"/>
        <v>-4.7169811320755262E-3</v>
      </c>
      <c r="M1010" s="155">
        <f t="shared" si="158"/>
        <v>-6.8181818181818343E-3</v>
      </c>
      <c r="N1010" s="155">
        <f t="shared" si="159"/>
        <v>-6.6815144766148027E-3</v>
      </c>
      <c r="O1010" s="155">
        <f t="shared" si="160"/>
        <v>-1.9064280267347966E-3</v>
      </c>
      <c r="P1010" s="162">
        <f t="shared" si="161"/>
        <v>-4.3383947939263923E-3</v>
      </c>
    </row>
    <row r="1011" spans="1:16">
      <c r="A1011" s="319">
        <v>45672</v>
      </c>
      <c r="B1011" s="31">
        <v>4.1900000000000004</v>
      </c>
      <c r="C1011" s="30">
        <v>4.2699999999999996</v>
      </c>
      <c r="D1011" s="30">
        <v>4.34</v>
      </c>
      <c r="E1011" s="30">
        <v>4.3464999999999998</v>
      </c>
      <c r="F1011" s="29">
        <v>4.45</v>
      </c>
      <c r="G1011" s="159">
        <f t="shared" si="152"/>
        <v>-2.9999999999999363E-4</v>
      </c>
      <c r="H1011" s="154">
        <f t="shared" si="153"/>
        <v>-1.0000000000000052E-3</v>
      </c>
      <c r="I1011" s="154">
        <f t="shared" si="154"/>
        <v>-1.200000000000001E-3</v>
      </c>
      <c r="J1011" s="154">
        <f t="shared" si="155"/>
        <v>-1.0360000000000013E-3</v>
      </c>
      <c r="K1011" s="160">
        <f t="shared" si="156"/>
        <v>-1.3999999999999967E-3</v>
      </c>
      <c r="L1011" s="161">
        <f t="shared" si="157"/>
        <v>-7.1090047393362887E-3</v>
      </c>
      <c r="M1011" s="155">
        <f t="shared" si="158"/>
        <v>-2.2883295194508158E-2</v>
      </c>
      <c r="N1011" s="155">
        <f t="shared" si="159"/>
        <v>-2.6905829596412634E-2</v>
      </c>
      <c r="O1011" s="155">
        <f t="shared" si="160"/>
        <v>-2.3280375721893898E-2</v>
      </c>
      <c r="P1011" s="162">
        <f t="shared" si="161"/>
        <v>-3.0501089324618702E-2</v>
      </c>
    </row>
    <row r="1012" spans="1:16">
      <c r="A1012" s="319">
        <v>45673</v>
      </c>
      <c r="B1012" s="31">
        <v>4.18</v>
      </c>
      <c r="C1012" s="30">
        <v>4.2300000000000004</v>
      </c>
      <c r="D1012" s="30">
        <v>4.29</v>
      </c>
      <c r="E1012" s="30">
        <v>4.2910000000000004</v>
      </c>
      <c r="F1012" s="29">
        <v>4.3899999999999997</v>
      </c>
      <c r="G1012" s="159">
        <f t="shared" si="152"/>
        <v>-1.0000000000000675E-4</v>
      </c>
      <c r="H1012" s="154">
        <f t="shared" si="153"/>
        <v>-3.9999999999999145E-4</v>
      </c>
      <c r="I1012" s="154">
        <f t="shared" si="154"/>
        <v>-4.9999999999999828E-4</v>
      </c>
      <c r="J1012" s="154">
        <f t="shared" si="155"/>
        <v>-5.5499999999999441E-4</v>
      </c>
      <c r="K1012" s="160">
        <f t="shared" si="156"/>
        <v>-6.0000000000000493E-4</v>
      </c>
      <c r="L1012" s="161">
        <f t="shared" si="157"/>
        <v>-2.3866348448688957E-3</v>
      </c>
      <c r="M1012" s="155">
        <f t="shared" si="158"/>
        <v>-9.3676814988288282E-3</v>
      </c>
      <c r="N1012" s="155">
        <f t="shared" si="159"/>
        <v>-1.1520737327188946E-2</v>
      </c>
      <c r="O1012" s="155">
        <f t="shared" si="160"/>
        <v>-1.2768894512826257E-2</v>
      </c>
      <c r="P1012" s="162">
        <f t="shared" si="161"/>
        <v>-1.3483146067415852E-2</v>
      </c>
    </row>
    <row r="1013" spans="1:16">
      <c r="A1013" s="319">
        <v>45674</v>
      </c>
      <c r="B1013" s="31">
        <v>4.21</v>
      </c>
      <c r="C1013" s="30">
        <v>4.2699999999999996</v>
      </c>
      <c r="D1013" s="30">
        <v>4.33</v>
      </c>
      <c r="E1013" s="30">
        <v>4.2952000000000004</v>
      </c>
      <c r="F1013" s="29">
        <v>4.42</v>
      </c>
      <c r="G1013" s="159">
        <f t="shared" si="152"/>
        <v>3.0000000000000247E-4</v>
      </c>
      <c r="H1013" s="154">
        <f t="shared" si="153"/>
        <v>3.9999999999999145E-4</v>
      </c>
      <c r="I1013" s="154">
        <f t="shared" si="154"/>
        <v>4.0000000000000034E-4</v>
      </c>
      <c r="J1013" s="154">
        <f t="shared" si="155"/>
        <v>4.1999999999999815E-5</v>
      </c>
      <c r="K1013" s="160">
        <f t="shared" si="156"/>
        <v>3.0000000000000247E-4</v>
      </c>
      <c r="L1013" s="161">
        <f t="shared" si="157"/>
        <v>7.1770334928229484E-3</v>
      </c>
      <c r="M1013" s="155">
        <f t="shared" si="158"/>
        <v>9.4562647754135032E-3</v>
      </c>
      <c r="N1013" s="155">
        <f t="shared" si="159"/>
        <v>9.3240093240092303E-3</v>
      </c>
      <c r="O1013" s="155">
        <f t="shared" si="160"/>
        <v>9.7879282218604757E-4</v>
      </c>
      <c r="P1013" s="162">
        <f t="shared" si="161"/>
        <v>6.8337129840547739E-3</v>
      </c>
    </row>
    <row r="1014" spans="1:16">
      <c r="A1014" s="319">
        <v>45678</v>
      </c>
      <c r="B1014" s="31">
        <v>4.21</v>
      </c>
      <c r="C1014" s="30">
        <v>4.29</v>
      </c>
      <c r="D1014" s="30">
        <v>4.33</v>
      </c>
      <c r="E1014" s="30">
        <v>4.2812000000000001</v>
      </c>
      <c r="F1014" s="29">
        <v>4.4000000000000004</v>
      </c>
      <c r="G1014" s="159">
        <f t="shared" si="152"/>
        <v>0</v>
      </c>
      <c r="H1014" s="154">
        <f t="shared" si="153"/>
        <v>2.0000000000000462E-4</v>
      </c>
      <c r="I1014" s="154">
        <f t="shared" si="154"/>
        <v>0</v>
      </c>
      <c r="J1014" s="154">
        <f t="shared" si="155"/>
        <v>-1.4000000000000235E-4</v>
      </c>
      <c r="K1014" s="160">
        <f t="shared" si="156"/>
        <v>-1.9999999999999573E-4</v>
      </c>
      <c r="L1014" s="161">
        <f t="shared" si="157"/>
        <v>0</v>
      </c>
      <c r="M1014" s="155">
        <f t="shared" si="158"/>
        <v>4.6838407494145251E-3</v>
      </c>
      <c r="N1014" s="155">
        <f t="shared" si="159"/>
        <v>0</v>
      </c>
      <c r="O1014" s="155">
        <f t="shared" si="160"/>
        <v>-3.2594524119948787E-3</v>
      </c>
      <c r="P1014" s="162">
        <f t="shared" si="161"/>
        <v>-4.5248868778279272E-3</v>
      </c>
    </row>
    <row r="1015" spans="1:16">
      <c r="A1015" s="319">
        <v>45679</v>
      </c>
      <c r="B1015" s="31">
        <v>4.2</v>
      </c>
      <c r="C1015" s="30">
        <v>4.29</v>
      </c>
      <c r="D1015" s="30">
        <v>4.34</v>
      </c>
      <c r="E1015" s="30">
        <v>4.2919999999999998</v>
      </c>
      <c r="F1015" s="29">
        <v>4.43</v>
      </c>
      <c r="G1015" s="159">
        <f t="shared" si="152"/>
        <v>-9.9999999999997863E-5</v>
      </c>
      <c r="H1015" s="154">
        <f t="shared" si="153"/>
        <v>0</v>
      </c>
      <c r="I1015" s="154">
        <f t="shared" si="154"/>
        <v>9.9999999999997863E-5</v>
      </c>
      <c r="J1015" s="154">
        <f t="shared" si="155"/>
        <v>1.0799999999999699E-4</v>
      </c>
      <c r="K1015" s="160">
        <f t="shared" si="156"/>
        <v>2.9999999999999363E-4</v>
      </c>
      <c r="L1015" s="161">
        <f t="shared" si="157"/>
        <v>-2.3752969121139111E-3</v>
      </c>
      <c r="M1015" s="155">
        <f t="shared" si="158"/>
        <v>0</v>
      </c>
      <c r="N1015" s="155">
        <f t="shared" si="159"/>
        <v>2.3094688221707571E-3</v>
      </c>
      <c r="O1015" s="155">
        <f t="shared" si="160"/>
        <v>2.5226571989160895E-3</v>
      </c>
      <c r="P1015" s="162">
        <f t="shared" si="161"/>
        <v>6.8181818181816123E-3</v>
      </c>
    </row>
    <row r="1016" spans="1:16">
      <c r="A1016" s="319">
        <v>45680</v>
      </c>
      <c r="B1016" s="31">
        <v>4.18</v>
      </c>
      <c r="C1016" s="30">
        <v>4.29</v>
      </c>
      <c r="D1016" s="30">
        <v>4.3499999999999996</v>
      </c>
      <c r="E1016" s="30">
        <v>4.3121</v>
      </c>
      <c r="F1016" s="29">
        <v>4.45</v>
      </c>
      <c r="G1016" s="159">
        <f t="shared" si="152"/>
        <v>-2.0000000000000462E-4</v>
      </c>
      <c r="H1016" s="154">
        <f t="shared" si="153"/>
        <v>0</v>
      </c>
      <c r="I1016" s="154">
        <f t="shared" si="154"/>
        <v>9.9999999999997863E-5</v>
      </c>
      <c r="J1016" s="154">
        <f t="shared" si="155"/>
        <v>2.0100000000000228E-4</v>
      </c>
      <c r="K1016" s="160">
        <f t="shared" si="156"/>
        <v>2.0000000000000462E-4</v>
      </c>
      <c r="L1016" s="161">
        <f t="shared" si="157"/>
        <v>-4.761904761904856E-3</v>
      </c>
      <c r="M1016" s="155">
        <f t="shared" si="158"/>
        <v>0</v>
      </c>
      <c r="N1016" s="155">
        <f t="shared" si="159"/>
        <v>2.3041474654377225E-3</v>
      </c>
      <c r="O1016" s="155">
        <f t="shared" si="160"/>
        <v>4.6831314072692809E-3</v>
      </c>
      <c r="P1016" s="162">
        <f t="shared" si="161"/>
        <v>4.5146726862304032E-3</v>
      </c>
    </row>
    <row r="1017" spans="1:16">
      <c r="A1017" s="319">
        <v>45681</v>
      </c>
      <c r="B1017" s="31">
        <v>4.17</v>
      </c>
      <c r="C1017" s="30">
        <v>4.2699999999999996</v>
      </c>
      <c r="D1017" s="30">
        <v>4.33</v>
      </c>
      <c r="E1017" s="30">
        <v>4.3036000000000003</v>
      </c>
      <c r="F1017" s="29">
        <v>4.43</v>
      </c>
      <c r="G1017" s="159">
        <f t="shared" si="152"/>
        <v>-9.9999999999997863E-5</v>
      </c>
      <c r="H1017" s="154">
        <f t="shared" si="153"/>
        <v>-2.0000000000000462E-4</v>
      </c>
      <c r="I1017" s="154">
        <f t="shared" si="154"/>
        <v>-1.9999999999999573E-4</v>
      </c>
      <c r="J1017" s="154">
        <f t="shared" si="155"/>
        <v>-8.4999999999997296E-5</v>
      </c>
      <c r="K1017" s="160">
        <f t="shared" si="156"/>
        <v>-2.0000000000000462E-4</v>
      </c>
      <c r="L1017" s="161">
        <f t="shared" si="157"/>
        <v>-2.3923444976076125E-3</v>
      </c>
      <c r="M1017" s="155">
        <f t="shared" si="158"/>
        <v>-4.6620046620047262E-3</v>
      </c>
      <c r="N1017" s="155">
        <f t="shared" si="159"/>
        <v>-4.5977011494251485E-3</v>
      </c>
      <c r="O1017" s="155">
        <f t="shared" si="160"/>
        <v>-1.9711973284477491E-3</v>
      </c>
      <c r="P1017" s="162">
        <f t="shared" si="161"/>
        <v>-4.4943820224719877E-3</v>
      </c>
    </row>
    <row r="1018" spans="1:16">
      <c r="A1018" s="319">
        <v>45684</v>
      </c>
      <c r="B1018" s="31">
        <v>4.13</v>
      </c>
      <c r="C1018" s="30">
        <v>4.17</v>
      </c>
      <c r="D1018" s="30">
        <v>4.24</v>
      </c>
      <c r="E1018" s="30">
        <v>4.2321999999999997</v>
      </c>
      <c r="F1018" s="29">
        <v>4.32</v>
      </c>
      <c r="G1018" s="159">
        <f t="shared" si="152"/>
        <v>-4.0000000000000034E-4</v>
      </c>
      <c r="H1018" s="154">
        <f t="shared" si="153"/>
        <v>-9.9999999999999655E-4</v>
      </c>
      <c r="I1018" s="154">
        <f t="shared" si="154"/>
        <v>-8.9999999999999857E-4</v>
      </c>
      <c r="J1018" s="154">
        <f t="shared" si="155"/>
        <v>-7.1400000000000575E-4</v>
      </c>
      <c r="K1018" s="160">
        <f t="shared" si="156"/>
        <v>-1.0999999999999942E-3</v>
      </c>
      <c r="L1018" s="161">
        <f t="shared" si="157"/>
        <v>-9.5923261390887804E-3</v>
      </c>
      <c r="M1018" s="155">
        <f t="shared" si="158"/>
        <v>-2.3419203747072515E-2</v>
      </c>
      <c r="N1018" s="155">
        <f t="shared" si="159"/>
        <v>-2.0785219399538035E-2</v>
      </c>
      <c r="O1018" s="155">
        <f t="shared" si="160"/>
        <v>-1.6590761223162165E-2</v>
      </c>
      <c r="P1018" s="162">
        <f t="shared" si="161"/>
        <v>-2.4830699774266218E-2</v>
      </c>
    </row>
    <row r="1019" spans="1:16">
      <c r="A1019" s="319">
        <v>45685</v>
      </c>
      <c r="B1019" s="31">
        <v>4.1399999999999997</v>
      </c>
      <c r="C1019" s="30">
        <v>4.1900000000000004</v>
      </c>
      <c r="D1019" s="30">
        <v>4.25</v>
      </c>
      <c r="E1019" s="30">
        <v>4.2222999999999997</v>
      </c>
      <c r="F1019" s="29">
        <v>4.33</v>
      </c>
      <c r="G1019" s="159">
        <f t="shared" si="152"/>
        <v>9.9999999999997863E-5</v>
      </c>
      <c r="H1019" s="154">
        <f t="shared" si="153"/>
        <v>2.0000000000000462E-4</v>
      </c>
      <c r="I1019" s="154">
        <f t="shared" si="154"/>
        <v>9.9999999999997863E-5</v>
      </c>
      <c r="J1019" s="154">
        <f t="shared" si="155"/>
        <v>-9.9000000000000197E-5</v>
      </c>
      <c r="K1019" s="160">
        <f t="shared" si="156"/>
        <v>9.9999999999997863E-5</v>
      </c>
      <c r="L1019" s="161">
        <f t="shared" si="157"/>
        <v>2.421307506053294E-3</v>
      </c>
      <c r="M1019" s="155">
        <f t="shared" si="158"/>
        <v>4.7961630695445567E-3</v>
      </c>
      <c r="N1019" s="155">
        <f t="shared" si="159"/>
        <v>2.3584905660376521E-3</v>
      </c>
      <c r="O1019" s="155">
        <f t="shared" si="160"/>
        <v>-2.3392089220736212E-3</v>
      </c>
      <c r="P1019" s="162">
        <f t="shared" si="161"/>
        <v>2.3148148148146586E-3</v>
      </c>
    </row>
    <row r="1020" spans="1:16">
      <c r="A1020" s="319">
        <v>45686</v>
      </c>
      <c r="B1020" s="31">
        <v>4.17</v>
      </c>
      <c r="C1020" s="30">
        <v>4.21</v>
      </c>
      <c r="D1020" s="30">
        <v>4.2699999999999996</v>
      </c>
      <c r="E1020" s="30">
        <v>4.2366000000000001</v>
      </c>
      <c r="F1020" s="29">
        <v>4.3499999999999996</v>
      </c>
      <c r="G1020" s="159">
        <f t="shared" si="152"/>
        <v>3.0000000000000247E-4</v>
      </c>
      <c r="H1020" s="154">
        <f t="shared" si="153"/>
        <v>1.9999999999999573E-4</v>
      </c>
      <c r="I1020" s="154">
        <f t="shared" si="154"/>
        <v>1.9999999999999573E-4</v>
      </c>
      <c r="J1020" s="154">
        <f t="shared" si="155"/>
        <v>1.4300000000000423E-4</v>
      </c>
      <c r="K1020" s="160">
        <f t="shared" si="156"/>
        <v>1.9999999999999573E-4</v>
      </c>
      <c r="L1020" s="161">
        <f t="shared" si="157"/>
        <v>7.2463768115942351E-3</v>
      </c>
      <c r="M1020" s="155">
        <f t="shared" si="158"/>
        <v>4.7732696897373472E-3</v>
      </c>
      <c r="N1020" s="155">
        <f t="shared" si="159"/>
        <v>4.7058823529411153E-3</v>
      </c>
      <c r="O1020" s="155">
        <f t="shared" si="160"/>
        <v>3.3867797172157932E-3</v>
      </c>
      <c r="P1020" s="162">
        <f t="shared" si="161"/>
        <v>4.6189376443417363E-3</v>
      </c>
    </row>
    <row r="1021" spans="1:16">
      <c r="A1021" s="319">
        <v>45687</v>
      </c>
      <c r="B1021" s="31">
        <v>4.16</v>
      </c>
      <c r="C1021" s="30">
        <v>4.18</v>
      </c>
      <c r="D1021" s="30">
        <v>4.24</v>
      </c>
      <c r="E1021" s="30">
        <v>4.2084000000000001</v>
      </c>
      <c r="F1021" s="29">
        <v>4.3099999999999996</v>
      </c>
      <c r="G1021" s="159">
        <f t="shared" si="152"/>
        <v>-9.9999999999997863E-5</v>
      </c>
      <c r="H1021" s="154">
        <f t="shared" si="153"/>
        <v>-3.0000000000000247E-4</v>
      </c>
      <c r="I1021" s="154">
        <f t="shared" si="154"/>
        <v>-2.9999999999999363E-4</v>
      </c>
      <c r="J1021" s="154">
        <f t="shared" si="155"/>
        <v>-2.8200000000000002E-4</v>
      </c>
      <c r="K1021" s="160">
        <f t="shared" si="156"/>
        <v>-4.0000000000000034E-4</v>
      </c>
      <c r="L1021" s="161">
        <f t="shared" si="157"/>
        <v>-2.3980815347721673E-3</v>
      </c>
      <c r="M1021" s="155">
        <f t="shared" si="158"/>
        <v>-7.1258907363420665E-3</v>
      </c>
      <c r="N1021" s="155">
        <f t="shared" si="159"/>
        <v>-7.0257611241216766E-3</v>
      </c>
      <c r="O1021" s="155">
        <f t="shared" si="160"/>
        <v>-6.6562809800311262E-3</v>
      </c>
      <c r="P1021" s="162">
        <f t="shared" si="161"/>
        <v>-9.1954022988506301E-3</v>
      </c>
    </row>
    <row r="1022" spans="1:16">
      <c r="A1022" s="319">
        <v>45688</v>
      </c>
      <c r="B1022" s="31">
        <v>4.17</v>
      </c>
      <c r="C1022" s="30">
        <v>4.22</v>
      </c>
      <c r="D1022" s="30">
        <v>4.2699999999999996</v>
      </c>
      <c r="E1022" s="30">
        <v>4.2423000000000002</v>
      </c>
      <c r="F1022" s="29">
        <v>4.3600000000000003</v>
      </c>
      <c r="G1022" s="159">
        <f t="shared" si="152"/>
        <v>9.9999999999997863E-5</v>
      </c>
      <c r="H1022" s="154">
        <f t="shared" si="153"/>
        <v>4.0000000000000034E-4</v>
      </c>
      <c r="I1022" s="154">
        <f t="shared" si="154"/>
        <v>2.9999999999999363E-4</v>
      </c>
      <c r="J1022" s="154">
        <f t="shared" si="155"/>
        <v>3.3900000000000043E-4</v>
      </c>
      <c r="K1022" s="160">
        <f t="shared" si="156"/>
        <v>5.0000000000000706E-4</v>
      </c>
      <c r="L1022" s="161">
        <f t="shared" si="157"/>
        <v>2.4038461538460343E-3</v>
      </c>
      <c r="M1022" s="155">
        <f t="shared" si="158"/>
        <v>9.5693779904306719E-3</v>
      </c>
      <c r="N1022" s="155">
        <f t="shared" si="159"/>
        <v>7.0754716981129562E-3</v>
      </c>
      <c r="O1022" s="155">
        <f t="shared" si="160"/>
        <v>8.0553179355573601E-3</v>
      </c>
      <c r="P1022" s="162">
        <f t="shared" si="161"/>
        <v>1.1600928074246175E-2</v>
      </c>
    </row>
    <row r="1023" spans="1:16">
      <c r="A1023" s="319">
        <v>45691</v>
      </c>
      <c r="B1023" s="31">
        <v>4.2</v>
      </c>
      <c r="C1023" s="30">
        <v>4.26</v>
      </c>
      <c r="D1023" s="30">
        <v>4.28</v>
      </c>
      <c r="E1023" s="30">
        <v>4.2408000000000001</v>
      </c>
      <c r="F1023" s="29">
        <v>4.3499999999999996</v>
      </c>
      <c r="G1023" s="159">
        <f t="shared" si="152"/>
        <v>3.0000000000000247E-4</v>
      </c>
      <c r="H1023" s="154">
        <f t="shared" si="153"/>
        <v>4.0000000000000034E-4</v>
      </c>
      <c r="I1023" s="154">
        <f t="shared" si="154"/>
        <v>1.0000000000000675E-4</v>
      </c>
      <c r="J1023" s="154">
        <f t="shared" si="155"/>
        <v>-1.5000000000000568E-5</v>
      </c>
      <c r="K1023" s="160">
        <f t="shared" si="156"/>
        <v>-1.0000000000000675E-4</v>
      </c>
      <c r="L1023" s="161">
        <f t="shared" si="157"/>
        <v>7.194244604316502E-3</v>
      </c>
      <c r="M1023" s="155">
        <f t="shared" si="158"/>
        <v>9.4786729857820884E-3</v>
      </c>
      <c r="N1023" s="155">
        <f t="shared" si="159"/>
        <v>2.3419203747074846E-3</v>
      </c>
      <c r="O1023" s="155">
        <f t="shared" si="160"/>
        <v>-3.5358178346656111E-4</v>
      </c>
      <c r="P1023" s="162">
        <f t="shared" si="161"/>
        <v>-2.2935779816515289E-3</v>
      </c>
    </row>
    <row r="1024" spans="1:16">
      <c r="A1024" s="319">
        <v>45692</v>
      </c>
      <c r="B1024" s="31">
        <v>4.18</v>
      </c>
      <c r="C1024" s="30">
        <v>4.21</v>
      </c>
      <c r="D1024" s="30">
        <v>4.25</v>
      </c>
      <c r="E1024" s="30">
        <v>4.2168000000000001</v>
      </c>
      <c r="F1024" s="29">
        <v>4.3099999999999996</v>
      </c>
      <c r="G1024" s="159">
        <f t="shared" si="152"/>
        <v>-2.0000000000000462E-4</v>
      </c>
      <c r="H1024" s="154">
        <f t="shared" si="153"/>
        <v>-4.9999999999999828E-4</v>
      </c>
      <c r="I1024" s="154">
        <f t="shared" si="154"/>
        <v>-3.0000000000000247E-4</v>
      </c>
      <c r="J1024" s="154">
        <f t="shared" si="155"/>
        <v>-2.4000000000000022E-4</v>
      </c>
      <c r="K1024" s="160">
        <f t="shared" si="156"/>
        <v>-4.0000000000000034E-4</v>
      </c>
      <c r="L1024" s="161">
        <f t="shared" si="157"/>
        <v>-4.761904761904856E-3</v>
      </c>
      <c r="M1024" s="155">
        <f t="shared" si="158"/>
        <v>-1.1737089201877882E-2</v>
      </c>
      <c r="N1024" s="155">
        <f t="shared" si="159"/>
        <v>-7.0093457943926074E-3</v>
      </c>
      <c r="O1024" s="155">
        <f t="shared" si="160"/>
        <v>-5.659309564233217E-3</v>
      </c>
      <c r="P1024" s="162">
        <f t="shared" si="161"/>
        <v>-9.1954022988506301E-3</v>
      </c>
    </row>
    <row r="1025" spans="1:16">
      <c r="A1025" s="319">
        <v>45693</v>
      </c>
      <c r="B1025" s="31">
        <v>4.17</v>
      </c>
      <c r="C1025" s="30">
        <v>4.17</v>
      </c>
      <c r="D1025" s="30">
        <v>4.1900000000000004</v>
      </c>
      <c r="E1025" s="30">
        <v>4.1578999999999997</v>
      </c>
      <c r="F1025" s="29">
        <v>4.24</v>
      </c>
      <c r="G1025" s="159">
        <f t="shared" si="152"/>
        <v>-9.9999999999997863E-5</v>
      </c>
      <c r="H1025" s="154">
        <f t="shared" si="153"/>
        <v>-4.0000000000000034E-4</v>
      </c>
      <c r="I1025" s="154">
        <f t="shared" si="154"/>
        <v>-5.9999999999999604E-4</v>
      </c>
      <c r="J1025" s="154">
        <f t="shared" si="155"/>
        <v>-5.8900000000000402E-4</v>
      </c>
      <c r="K1025" s="160">
        <f t="shared" si="156"/>
        <v>-6.9999999999999392E-4</v>
      </c>
      <c r="L1025" s="161">
        <f t="shared" si="157"/>
        <v>-2.3923444976076125E-3</v>
      </c>
      <c r="M1025" s="155">
        <f t="shared" si="158"/>
        <v>-9.5011876484560887E-3</v>
      </c>
      <c r="N1025" s="155">
        <f t="shared" si="159"/>
        <v>-1.4117647058823457E-2</v>
      </c>
      <c r="O1025" s="155">
        <f t="shared" si="160"/>
        <v>-1.3967937772718764E-2</v>
      </c>
      <c r="P1025" s="162">
        <f t="shared" si="161"/>
        <v>-1.6241299303944134E-2</v>
      </c>
    </row>
    <row r="1026" spans="1:16">
      <c r="A1026" s="319">
        <v>45694</v>
      </c>
      <c r="B1026" s="31">
        <v>4.1900000000000004</v>
      </c>
      <c r="C1026" s="30">
        <v>4.21</v>
      </c>
      <c r="D1026" s="30">
        <v>4.2300000000000004</v>
      </c>
      <c r="E1026" s="30">
        <v>4.1673999999999998</v>
      </c>
      <c r="F1026" s="29">
        <v>4.28</v>
      </c>
      <c r="G1026" s="159">
        <f t="shared" si="152"/>
        <v>2.0000000000000462E-4</v>
      </c>
      <c r="H1026" s="154">
        <f t="shared" si="153"/>
        <v>4.0000000000000034E-4</v>
      </c>
      <c r="I1026" s="154">
        <f t="shared" si="154"/>
        <v>4.0000000000000034E-4</v>
      </c>
      <c r="J1026" s="154">
        <f t="shared" si="155"/>
        <v>9.5000000000000642E-5</v>
      </c>
      <c r="K1026" s="160">
        <f t="shared" si="156"/>
        <v>4.0000000000000034E-4</v>
      </c>
      <c r="L1026" s="161">
        <f t="shared" si="157"/>
        <v>4.7961630695445567E-3</v>
      </c>
      <c r="M1026" s="155">
        <f t="shared" si="158"/>
        <v>9.5923261390886694E-3</v>
      </c>
      <c r="N1026" s="155">
        <f t="shared" si="159"/>
        <v>9.5465393794749165E-3</v>
      </c>
      <c r="O1026" s="155">
        <f t="shared" si="160"/>
        <v>2.28480723442126E-3</v>
      </c>
      <c r="P1026" s="162">
        <f t="shared" si="161"/>
        <v>9.4339622641510523E-3</v>
      </c>
    </row>
    <row r="1027" spans="1:16">
      <c r="A1027" s="319">
        <v>45695</v>
      </c>
      <c r="B1027" s="31">
        <v>4.25</v>
      </c>
      <c r="C1027" s="30">
        <v>4.29</v>
      </c>
      <c r="D1027" s="30">
        <v>4.3099999999999996</v>
      </c>
      <c r="E1027" s="30">
        <v>4.2191000000000001</v>
      </c>
      <c r="F1027" s="29">
        <v>4.34</v>
      </c>
      <c r="G1027" s="159">
        <f t="shared" si="152"/>
        <v>5.9999999999999604E-4</v>
      </c>
      <c r="H1027" s="154">
        <f t="shared" si="153"/>
        <v>8.0000000000000069E-4</v>
      </c>
      <c r="I1027" s="154">
        <f t="shared" si="154"/>
        <v>7.999999999999918E-4</v>
      </c>
      <c r="J1027" s="154">
        <f t="shared" si="155"/>
        <v>5.1700000000000303E-4</v>
      </c>
      <c r="K1027" s="160">
        <f t="shared" si="156"/>
        <v>5.9999999999999604E-4</v>
      </c>
      <c r="L1027" s="161">
        <f t="shared" si="157"/>
        <v>1.4319809069212264E-2</v>
      </c>
      <c r="M1027" s="155">
        <f t="shared" si="158"/>
        <v>1.9002375296912177E-2</v>
      </c>
      <c r="N1027" s="155">
        <f t="shared" si="159"/>
        <v>1.8912529550827228E-2</v>
      </c>
      <c r="O1027" s="155">
        <f t="shared" si="160"/>
        <v>1.2405816576282591E-2</v>
      </c>
      <c r="P1027" s="162">
        <f t="shared" si="161"/>
        <v>1.4018691588784993E-2</v>
      </c>
    </row>
    <row r="1028" spans="1:16">
      <c r="A1028" s="319">
        <v>45698</v>
      </c>
      <c r="B1028" s="31">
        <v>4.24</v>
      </c>
      <c r="C1028" s="30">
        <v>4.28</v>
      </c>
      <c r="D1028" s="30">
        <v>4.3</v>
      </c>
      <c r="E1028" s="30">
        <v>4.2305000000000001</v>
      </c>
      <c r="F1028" s="29">
        <v>4.34</v>
      </c>
      <c r="G1028" s="159">
        <f t="shared" ref="G1028:G1080" si="162">(B1028-B1027)/100</f>
        <v>-9.9999999999997863E-5</v>
      </c>
      <c r="H1028" s="154">
        <f t="shared" ref="H1028:H1080" si="163">(C1028-C1027)/100</f>
        <v>-9.9999999999997863E-5</v>
      </c>
      <c r="I1028" s="154">
        <f t="shared" ref="I1028:I1080" si="164">(D1028-D1027)/100</f>
        <v>-9.9999999999997863E-5</v>
      </c>
      <c r="J1028" s="154">
        <f t="shared" ref="J1028:J1080" si="165">(E1028-E1027)/100</f>
        <v>1.1400000000000077E-4</v>
      </c>
      <c r="K1028" s="160">
        <f t="shared" ref="K1028:K1080" si="166">(F1028-F1027)/100</f>
        <v>0</v>
      </c>
      <c r="L1028" s="161">
        <f t="shared" ref="L1028:L1080" si="167">(B1028/B1027)-1</f>
        <v>-2.3529411764705577E-3</v>
      </c>
      <c r="M1028" s="155">
        <f t="shared" ref="M1028:M1080" si="168">(C1028/C1027)-1</f>
        <v>-2.3310023310022521E-3</v>
      </c>
      <c r="N1028" s="155">
        <f t="shared" ref="N1028:N1080" si="169">(D1028/D1027)-1</f>
        <v>-2.3201856148491462E-3</v>
      </c>
      <c r="O1028" s="155">
        <f t="shared" ref="O1028:O1080" si="170">(E1028/E1027)-1</f>
        <v>2.7019980564575441E-3</v>
      </c>
      <c r="P1028" s="162">
        <f t="shared" ref="P1028:P1080" si="171">(F1028/F1027)-1</f>
        <v>0</v>
      </c>
    </row>
    <row r="1029" spans="1:16">
      <c r="A1029" s="319">
        <v>45699</v>
      </c>
      <c r="B1029" s="31">
        <v>4.25</v>
      </c>
      <c r="C1029" s="30">
        <v>4.29</v>
      </c>
      <c r="D1029" s="30">
        <v>4.28</v>
      </c>
      <c r="E1029" s="30">
        <v>4.2544000000000004</v>
      </c>
      <c r="F1029" s="29">
        <v>4.37</v>
      </c>
      <c r="G1029" s="159">
        <f t="shared" si="162"/>
        <v>9.9999999999997863E-5</v>
      </c>
      <c r="H1029" s="154">
        <f t="shared" si="163"/>
        <v>9.9999999999997863E-5</v>
      </c>
      <c r="I1029" s="154">
        <f t="shared" si="164"/>
        <v>-1.9999999999999573E-4</v>
      </c>
      <c r="J1029" s="154">
        <f t="shared" si="165"/>
        <v>2.3900000000000256E-4</v>
      </c>
      <c r="K1029" s="160">
        <f t="shared" si="166"/>
        <v>3.0000000000000247E-4</v>
      </c>
      <c r="L1029" s="161">
        <f t="shared" si="167"/>
        <v>2.3584905660376521E-3</v>
      </c>
      <c r="M1029" s="155">
        <f t="shared" si="168"/>
        <v>2.3364485981307581E-3</v>
      </c>
      <c r="N1029" s="155">
        <f t="shared" si="169"/>
        <v>-4.6511627906975495E-3</v>
      </c>
      <c r="O1029" s="155">
        <f t="shared" si="170"/>
        <v>5.6494504195723216E-3</v>
      </c>
      <c r="P1029" s="162">
        <f t="shared" si="171"/>
        <v>6.9124423963133896E-3</v>
      </c>
    </row>
    <row r="1030" spans="1:16">
      <c r="A1030" s="319">
        <v>45700</v>
      </c>
      <c r="B1030" s="31">
        <v>4.3</v>
      </c>
      <c r="C1030" s="30">
        <v>4.3600000000000003</v>
      </c>
      <c r="D1030" s="30">
        <v>4.37</v>
      </c>
      <c r="E1030" s="30">
        <v>4.3385999999999996</v>
      </c>
      <c r="F1030" s="29">
        <v>4.4800000000000004</v>
      </c>
      <c r="G1030" s="159">
        <f t="shared" si="162"/>
        <v>4.9999999999999828E-4</v>
      </c>
      <c r="H1030" s="154">
        <f t="shared" si="163"/>
        <v>7.0000000000000281E-4</v>
      </c>
      <c r="I1030" s="154">
        <f t="shared" si="164"/>
        <v>8.9999999999999857E-4</v>
      </c>
      <c r="J1030" s="154">
        <f t="shared" si="165"/>
        <v>8.4199999999999163E-4</v>
      </c>
      <c r="K1030" s="160">
        <f t="shared" si="166"/>
        <v>1.1000000000000031E-3</v>
      </c>
      <c r="L1030" s="161">
        <f t="shared" si="167"/>
        <v>1.1764705882352899E-2</v>
      </c>
      <c r="M1030" s="155">
        <f t="shared" si="168"/>
        <v>1.631701631701632E-2</v>
      </c>
      <c r="N1030" s="155">
        <f t="shared" si="169"/>
        <v>2.1028037383177489E-2</v>
      </c>
      <c r="O1030" s="155">
        <f t="shared" si="170"/>
        <v>1.9791274915381463E-2</v>
      </c>
      <c r="P1030" s="162">
        <f t="shared" si="171"/>
        <v>2.517162471395884E-2</v>
      </c>
    </row>
    <row r="1031" spans="1:16">
      <c r="A1031" s="319">
        <v>45701</v>
      </c>
      <c r="B1031" s="31">
        <v>4.2699999999999996</v>
      </c>
      <c r="C1031" s="30">
        <v>4.3099999999999996</v>
      </c>
      <c r="D1031" s="30">
        <v>4.3099999999999996</v>
      </c>
      <c r="E1031" s="30">
        <v>4.2907000000000002</v>
      </c>
      <c r="F1031" s="29">
        <v>4.3899999999999997</v>
      </c>
      <c r="G1031" s="159">
        <f t="shared" si="162"/>
        <v>-3.0000000000000247E-4</v>
      </c>
      <c r="H1031" s="154">
        <f t="shared" si="163"/>
        <v>-5.0000000000000706E-4</v>
      </c>
      <c r="I1031" s="154">
        <f t="shared" si="164"/>
        <v>-6.0000000000000493E-4</v>
      </c>
      <c r="J1031" s="154">
        <f t="shared" si="165"/>
        <v>-4.7899999999999386E-4</v>
      </c>
      <c r="K1031" s="160">
        <f t="shared" si="166"/>
        <v>-9.0000000000000746E-4</v>
      </c>
      <c r="L1031" s="161">
        <f t="shared" si="167"/>
        <v>-6.9767441860465462E-3</v>
      </c>
      <c r="M1031" s="155">
        <f t="shared" si="168"/>
        <v>-1.146788990825709E-2</v>
      </c>
      <c r="N1031" s="155">
        <f t="shared" si="169"/>
        <v>-1.3729977116704872E-2</v>
      </c>
      <c r="O1031" s="155">
        <f t="shared" si="170"/>
        <v>-1.1040427787765483E-2</v>
      </c>
      <c r="P1031" s="162">
        <f t="shared" si="171"/>
        <v>-2.008928571428592E-2</v>
      </c>
    </row>
    <row r="1032" spans="1:16">
      <c r="A1032" s="319">
        <v>45702</v>
      </c>
      <c r="B1032" s="31">
        <v>4.2300000000000004</v>
      </c>
      <c r="C1032" s="30">
        <v>4.26</v>
      </c>
      <c r="D1032" s="30">
        <v>4.26</v>
      </c>
      <c r="E1032" s="30">
        <v>4.2393999999999998</v>
      </c>
      <c r="F1032" s="29">
        <v>4.33</v>
      </c>
      <c r="G1032" s="159">
        <f t="shared" si="162"/>
        <v>-3.9999999999999145E-4</v>
      </c>
      <c r="H1032" s="154">
        <f t="shared" si="163"/>
        <v>-4.9999999999999828E-4</v>
      </c>
      <c r="I1032" s="154">
        <f t="shared" si="164"/>
        <v>-4.9999999999999828E-4</v>
      </c>
      <c r="J1032" s="154">
        <f t="shared" si="165"/>
        <v>-5.1300000000000347E-4</v>
      </c>
      <c r="K1032" s="160">
        <f t="shared" si="166"/>
        <v>-5.9999999999999604E-4</v>
      </c>
      <c r="L1032" s="161">
        <f t="shared" si="167"/>
        <v>-9.3676814988288282E-3</v>
      </c>
      <c r="M1032" s="155">
        <f t="shared" si="168"/>
        <v>-1.1600928074245953E-2</v>
      </c>
      <c r="N1032" s="155">
        <f t="shared" si="169"/>
        <v>-1.1600928074245953E-2</v>
      </c>
      <c r="O1032" s="155">
        <f t="shared" si="170"/>
        <v>-1.1956091080709497E-2</v>
      </c>
      <c r="P1032" s="162">
        <f t="shared" si="171"/>
        <v>-1.3667425968109215E-2</v>
      </c>
    </row>
    <row r="1033" spans="1:16">
      <c r="A1033" s="319">
        <v>45706</v>
      </c>
      <c r="B1033" s="31">
        <v>4.24</v>
      </c>
      <c r="C1033" s="30">
        <v>4.29</v>
      </c>
      <c r="D1033" s="30">
        <v>4.33</v>
      </c>
      <c r="E1033" s="30">
        <v>4.2788000000000004</v>
      </c>
      <c r="F1033" s="29">
        <v>4.4000000000000004</v>
      </c>
      <c r="G1033" s="159">
        <f t="shared" si="162"/>
        <v>9.9999999999997863E-5</v>
      </c>
      <c r="H1033" s="154">
        <f t="shared" si="163"/>
        <v>3.0000000000000247E-4</v>
      </c>
      <c r="I1033" s="154">
        <f t="shared" si="164"/>
        <v>7.0000000000000281E-4</v>
      </c>
      <c r="J1033" s="154">
        <f t="shared" si="165"/>
        <v>3.9400000000000546E-4</v>
      </c>
      <c r="K1033" s="160">
        <f t="shared" si="166"/>
        <v>7.0000000000000281E-4</v>
      </c>
      <c r="L1033" s="161">
        <f t="shared" si="167"/>
        <v>2.3640661938533203E-3</v>
      </c>
      <c r="M1033" s="155">
        <f t="shared" si="168"/>
        <v>7.0422535211267512E-3</v>
      </c>
      <c r="N1033" s="155">
        <f t="shared" si="169"/>
        <v>1.6431924882629234E-2</v>
      </c>
      <c r="O1033" s="155">
        <f t="shared" si="170"/>
        <v>9.2937679860358724E-3</v>
      </c>
      <c r="P1033" s="162">
        <f t="shared" si="171"/>
        <v>1.616628175519641E-2</v>
      </c>
    </row>
    <row r="1034" spans="1:16">
      <c r="A1034" s="319">
        <v>45707</v>
      </c>
      <c r="B1034" s="31">
        <v>4.22</v>
      </c>
      <c r="C1034" s="30">
        <v>4.28</v>
      </c>
      <c r="D1034" s="30">
        <v>4.3</v>
      </c>
      <c r="E1034" s="30">
        <v>4.2596999999999996</v>
      </c>
      <c r="F1034" s="29">
        <v>4.37</v>
      </c>
      <c r="G1034" s="159">
        <f t="shared" si="162"/>
        <v>-2.0000000000000462E-4</v>
      </c>
      <c r="H1034" s="154">
        <f t="shared" si="163"/>
        <v>-9.9999999999997863E-5</v>
      </c>
      <c r="I1034" s="154">
        <f t="shared" si="164"/>
        <v>-3.0000000000000247E-4</v>
      </c>
      <c r="J1034" s="154">
        <f t="shared" si="165"/>
        <v>-1.9100000000000784E-4</v>
      </c>
      <c r="K1034" s="160">
        <f t="shared" si="166"/>
        <v>-3.0000000000000247E-4</v>
      </c>
      <c r="L1034" s="161">
        <f t="shared" si="167"/>
        <v>-4.7169811320755262E-3</v>
      </c>
      <c r="M1034" s="155">
        <f t="shared" si="168"/>
        <v>-2.3310023310022521E-3</v>
      </c>
      <c r="N1034" s="155">
        <f t="shared" si="169"/>
        <v>-6.9284064665127154E-3</v>
      </c>
      <c r="O1034" s="155">
        <f t="shared" si="170"/>
        <v>-4.4638683743107865E-3</v>
      </c>
      <c r="P1034" s="162">
        <f t="shared" si="171"/>
        <v>-6.8181818181818343E-3</v>
      </c>
    </row>
    <row r="1035" spans="1:16">
      <c r="A1035" s="319">
        <v>45708</v>
      </c>
      <c r="B1035" s="31">
        <v>4.2</v>
      </c>
      <c r="C1035" s="30">
        <v>4.28</v>
      </c>
      <c r="D1035" s="30">
        <v>4.2699999999999996</v>
      </c>
      <c r="E1035" s="30">
        <v>4.2419000000000002</v>
      </c>
      <c r="F1035" s="29">
        <v>4.34</v>
      </c>
      <c r="G1035" s="159">
        <f t="shared" si="162"/>
        <v>-1.9999999999999573E-4</v>
      </c>
      <c r="H1035" s="154">
        <f t="shared" si="163"/>
        <v>0</v>
      </c>
      <c r="I1035" s="154">
        <f t="shared" si="164"/>
        <v>-3.0000000000000247E-4</v>
      </c>
      <c r="J1035" s="154">
        <f t="shared" si="165"/>
        <v>-1.7799999999999373E-4</v>
      </c>
      <c r="K1035" s="160">
        <f t="shared" si="166"/>
        <v>-3.0000000000000247E-4</v>
      </c>
      <c r="L1035" s="161">
        <f t="shared" si="167"/>
        <v>-4.7393364928909332E-3</v>
      </c>
      <c r="M1035" s="155">
        <f t="shared" si="168"/>
        <v>0</v>
      </c>
      <c r="N1035" s="155">
        <f t="shared" si="169"/>
        <v>-6.9767441860465462E-3</v>
      </c>
      <c r="O1035" s="155">
        <f t="shared" si="170"/>
        <v>-4.1786980303776255E-3</v>
      </c>
      <c r="P1035" s="162">
        <f t="shared" si="171"/>
        <v>-6.8649885583524917E-3</v>
      </c>
    </row>
    <row r="1036" spans="1:16">
      <c r="A1036" s="319">
        <v>45709</v>
      </c>
      <c r="B1036" s="31">
        <v>4.1500000000000004</v>
      </c>
      <c r="C1036" s="30">
        <v>4.1900000000000004</v>
      </c>
      <c r="D1036" s="30">
        <v>4.1900000000000004</v>
      </c>
      <c r="E1036" s="30">
        <v>4.1761999999999997</v>
      </c>
      <c r="F1036" s="29">
        <v>4.26</v>
      </c>
      <c r="G1036" s="159">
        <f t="shared" si="162"/>
        <v>-4.9999999999999828E-4</v>
      </c>
      <c r="H1036" s="154">
        <f t="shared" si="163"/>
        <v>-8.9999999999999857E-4</v>
      </c>
      <c r="I1036" s="154">
        <f t="shared" si="164"/>
        <v>-7.999999999999918E-4</v>
      </c>
      <c r="J1036" s="154">
        <f t="shared" si="165"/>
        <v>-6.5700000000000534E-4</v>
      </c>
      <c r="K1036" s="160">
        <f t="shared" si="166"/>
        <v>-8.0000000000000069E-4</v>
      </c>
      <c r="L1036" s="161">
        <f t="shared" si="167"/>
        <v>-1.1904761904761862E-2</v>
      </c>
      <c r="M1036" s="155">
        <f t="shared" si="168"/>
        <v>-2.1028037383177489E-2</v>
      </c>
      <c r="N1036" s="155">
        <f t="shared" si="169"/>
        <v>-1.8735362997657878E-2</v>
      </c>
      <c r="O1036" s="155">
        <f t="shared" si="170"/>
        <v>-1.54883424880361E-2</v>
      </c>
      <c r="P1036" s="162">
        <f t="shared" si="171"/>
        <v>-1.8433179723502335E-2</v>
      </c>
    </row>
    <row r="1037" spans="1:16">
      <c r="A1037" s="319">
        <v>45712</v>
      </c>
      <c r="B1037" s="31">
        <v>4.1500000000000004</v>
      </c>
      <c r="C1037" s="30">
        <v>4.13</v>
      </c>
      <c r="D1037" s="30">
        <v>4.17</v>
      </c>
      <c r="E1037" s="30">
        <v>4.1436999999999999</v>
      </c>
      <c r="F1037" s="29">
        <v>4.2300000000000004</v>
      </c>
      <c r="G1037" s="159">
        <f t="shared" si="162"/>
        <v>0</v>
      </c>
      <c r="H1037" s="154">
        <f t="shared" si="163"/>
        <v>-6.0000000000000493E-4</v>
      </c>
      <c r="I1037" s="154">
        <f t="shared" si="164"/>
        <v>-2.0000000000000462E-4</v>
      </c>
      <c r="J1037" s="154">
        <f t="shared" si="165"/>
        <v>-3.2499999999999749E-4</v>
      </c>
      <c r="K1037" s="160">
        <f t="shared" si="166"/>
        <v>-2.9999999999999363E-4</v>
      </c>
      <c r="L1037" s="161">
        <f t="shared" si="167"/>
        <v>0</v>
      </c>
      <c r="M1037" s="155">
        <f t="shared" si="168"/>
        <v>-1.4319809069212486E-2</v>
      </c>
      <c r="N1037" s="155">
        <f t="shared" si="169"/>
        <v>-4.7732696897375693E-3</v>
      </c>
      <c r="O1037" s="155">
        <f t="shared" si="170"/>
        <v>-7.7821943393514559E-3</v>
      </c>
      <c r="P1037" s="162">
        <f t="shared" si="171"/>
        <v>-7.0422535211266402E-3</v>
      </c>
    </row>
    <row r="1038" spans="1:16">
      <c r="A1038" s="319">
        <v>45713</v>
      </c>
      <c r="B1038" s="31">
        <v>4.12</v>
      </c>
      <c r="C1038" s="30">
        <v>4.07</v>
      </c>
      <c r="D1038" s="30">
        <v>4.08</v>
      </c>
      <c r="E1038" s="30">
        <v>4.0624000000000002</v>
      </c>
      <c r="F1038" s="29">
        <v>4.12</v>
      </c>
      <c r="G1038" s="159">
        <f t="shared" si="162"/>
        <v>-3.0000000000000247E-4</v>
      </c>
      <c r="H1038" s="154">
        <f t="shared" si="163"/>
        <v>-5.9999999999999604E-4</v>
      </c>
      <c r="I1038" s="154">
        <f t="shared" si="164"/>
        <v>-8.9999999999999857E-4</v>
      </c>
      <c r="J1038" s="154">
        <f t="shared" si="165"/>
        <v>-8.129999999999971E-4</v>
      </c>
      <c r="K1038" s="160">
        <f t="shared" si="166"/>
        <v>-1.1000000000000031E-3</v>
      </c>
      <c r="L1038" s="161">
        <f t="shared" si="167"/>
        <v>-7.2289156626507145E-3</v>
      </c>
      <c r="M1038" s="155">
        <f t="shared" si="168"/>
        <v>-1.4527845036319542E-2</v>
      </c>
      <c r="N1038" s="155">
        <f t="shared" si="169"/>
        <v>-2.1582733812949617E-2</v>
      </c>
      <c r="O1038" s="155">
        <f t="shared" si="170"/>
        <v>-1.9620146246108527E-2</v>
      </c>
      <c r="P1038" s="162">
        <f t="shared" si="171"/>
        <v>-2.6004728132387744E-2</v>
      </c>
    </row>
    <row r="1039" spans="1:16">
      <c r="A1039" s="319">
        <v>45714</v>
      </c>
      <c r="B1039" s="31">
        <v>4.12</v>
      </c>
      <c r="C1039" s="30">
        <v>4.05</v>
      </c>
      <c r="D1039" s="30">
        <v>4.04</v>
      </c>
      <c r="E1039" s="30">
        <v>4.0114999999999998</v>
      </c>
      <c r="F1039" s="29">
        <v>4.0599999999999996</v>
      </c>
      <c r="G1039" s="159">
        <f t="shared" si="162"/>
        <v>0</v>
      </c>
      <c r="H1039" s="154">
        <f t="shared" si="163"/>
        <v>-2.0000000000000462E-4</v>
      </c>
      <c r="I1039" s="154">
        <f t="shared" si="164"/>
        <v>-4.0000000000000034E-4</v>
      </c>
      <c r="J1039" s="154">
        <f t="shared" si="165"/>
        <v>-5.0900000000000392E-4</v>
      </c>
      <c r="K1039" s="160">
        <f t="shared" si="166"/>
        <v>-6.0000000000000493E-4</v>
      </c>
      <c r="L1039" s="161">
        <f t="shared" si="167"/>
        <v>0</v>
      </c>
      <c r="M1039" s="155">
        <f t="shared" si="168"/>
        <v>-4.9140049140050657E-3</v>
      </c>
      <c r="N1039" s="155">
        <f t="shared" si="169"/>
        <v>-9.8039215686274161E-3</v>
      </c>
      <c r="O1039" s="155">
        <f t="shared" si="170"/>
        <v>-1.2529539188657068E-2</v>
      </c>
      <c r="P1039" s="162">
        <f t="shared" si="171"/>
        <v>-1.4563106796116609E-2</v>
      </c>
    </row>
    <row r="1040" spans="1:16">
      <c r="A1040" s="319">
        <v>45715</v>
      </c>
      <c r="B1040" s="31">
        <v>4.13</v>
      </c>
      <c r="C1040" s="30">
        <v>4.07</v>
      </c>
      <c r="D1040" s="30">
        <v>4.05</v>
      </c>
      <c r="E1040" s="30">
        <v>4.0164</v>
      </c>
      <c r="F1040" s="29">
        <v>4.09</v>
      </c>
      <c r="G1040" s="159">
        <f t="shared" si="162"/>
        <v>9.9999999999997863E-5</v>
      </c>
      <c r="H1040" s="154">
        <f t="shared" si="163"/>
        <v>2.0000000000000462E-4</v>
      </c>
      <c r="I1040" s="154">
        <f t="shared" si="164"/>
        <v>9.9999999999997863E-5</v>
      </c>
      <c r="J1040" s="154">
        <f t="shared" si="165"/>
        <v>4.9000000000001266E-5</v>
      </c>
      <c r="K1040" s="160">
        <f t="shared" si="166"/>
        <v>3.0000000000000247E-4</v>
      </c>
      <c r="L1040" s="161">
        <f t="shared" si="167"/>
        <v>2.4271844660193054E-3</v>
      </c>
      <c r="M1040" s="155">
        <f t="shared" si="168"/>
        <v>4.9382716049384268E-3</v>
      </c>
      <c r="N1040" s="155">
        <f t="shared" si="169"/>
        <v>2.4752475247524774E-3</v>
      </c>
      <c r="O1040" s="155">
        <f t="shared" si="170"/>
        <v>1.2214882213636979E-3</v>
      </c>
      <c r="P1040" s="162">
        <f t="shared" si="171"/>
        <v>7.3891625615765122E-3</v>
      </c>
    </row>
    <row r="1041" spans="1:16">
      <c r="A1041" s="319">
        <v>45716</v>
      </c>
      <c r="B1041" s="31">
        <v>4.08</v>
      </c>
      <c r="C1041" s="30">
        <v>3.99</v>
      </c>
      <c r="D1041" s="30">
        <v>3.99</v>
      </c>
      <c r="E1041" s="30">
        <v>3.9651000000000001</v>
      </c>
      <c r="F1041" s="29">
        <v>4.03</v>
      </c>
      <c r="G1041" s="159">
        <f t="shared" si="162"/>
        <v>-4.9999999999999828E-4</v>
      </c>
      <c r="H1041" s="154">
        <f t="shared" si="163"/>
        <v>-8.0000000000000069E-4</v>
      </c>
      <c r="I1041" s="154">
        <f t="shared" si="164"/>
        <v>-5.9999999999999604E-4</v>
      </c>
      <c r="J1041" s="154">
        <f t="shared" si="165"/>
        <v>-5.1299999999999903E-4</v>
      </c>
      <c r="K1041" s="160">
        <f t="shared" si="166"/>
        <v>-5.9999999999999604E-4</v>
      </c>
      <c r="L1041" s="161">
        <f t="shared" si="167"/>
        <v>-1.2106537530266248E-2</v>
      </c>
      <c r="M1041" s="155">
        <f t="shared" si="168"/>
        <v>-1.9656019656019708E-2</v>
      </c>
      <c r="N1041" s="155">
        <f t="shared" si="169"/>
        <v>-1.4814814814814725E-2</v>
      </c>
      <c r="O1041" s="155">
        <f t="shared" si="170"/>
        <v>-1.2772632207947443E-2</v>
      </c>
      <c r="P1041" s="162">
        <f t="shared" si="171"/>
        <v>-1.4669926650366705E-2</v>
      </c>
    </row>
    <row r="1042" spans="1:16">
      <c r="A1042" s="319">
        <v>45719</v>
      </c>
      <c r="B1042" s="31">
        <v>4.0599999999999996</v>
      </c>
      <c r="C1042" s="30">
        <v>3.96</v>
      </c>
      <c r="D1042" s="30">
        <v>3.93</v>
      </c>
      <c r="E1042" s="30">
        <v>3.9056999999999999</v>
      </c>
      <c r="F1042" s="29">
        <v>3.97</v>
      </c>
      <c r="G1042" s="159">
        <f t="shared" si="162"/>
        <v>-2.0000000000000462E-4</v>
      </c>
      <c r="H1042" s="154">
        <f t="shared" si="163"/>
        <v>-3.0000000000000247E-4</v>
      </c>
      <c r="I1042" s="154">
        <f t="shared" si="164"/>
        <v>-6.0000000000000049E-4</v>
      </c>
      <c r="J1042" s="154">
        <f t="shared" si="165"/>
        <v>-5.9400000000000121E-4</v>
      </c>
      <c r="K1042" s="160">
        <f t="shared" si="166"/>
        <v>-6.0000000000000049E-4</v>
      </c>
      <c r="L1042" s="161">
        <f t="shared" si="167"/>
        <v>-4.9019607843138191E-3</v>
      </c>
      <c r="M1042" s="155">
        <f t="shared" si="168"/>
        <v>-7.5187969924812581E-3</v>
      </c>
      <c r="N1042" s="155">
        <f t="shared" si="169"/>
        <v>-1.5037593984962405E-2</v>
      </c>
      <c r="O1042" s="155">
        <f t="shared" si="170"/>
        <v>-1.4980706665657872E-2</v>
      </c>
      <c r="P1042" s="162">
        <f t="shared" si="171"/>
        <v>-1.488833746898266E-2</v>
      </c>
    </row>
    <row r="1043" spans="1:16">
      <c r="A1043" s="319">
        <v>45720</v>
      </c>
      <c r="B1043" s="31">
        <v>4.04</v>
      </c>
      <c r="C1043" s="30">
        <v>3.96</v>
      </c>
      <c r="D1043" s="30">
        <v>3.94</v>
      </c>
      <c r="E1043" s="30">
        <v>3.9135</v>
      </c>
      <c r="F1043" s="29">
        <v>4.01</v>
      </c>
      <c r="G1043" s="159">
        <f t="shared" si="162"/>
        <v>-1.9999999999999573E-4</v>
      </c>
      <c r="H1043" s="154">
        <f t="shared" si="163"/>
        <v>0</v>
      </c>
      <c r="I1043" s="154">
        <f t="shared" si="164"/>
        <v>9.9999999999997863E-5</v>
      </c>
      <c r="J1043" s="154">
        <f t="shared" si="165"/>
        <v>7.8000000000000297E-5</v>
      </c>
      <c r="K1043" s="160">
        <f t="shared" si="166"/>
        <v>3.999999999999959E-4</v>
      </c>
      <c r="L1043" s="161">
        <f t="shared" si="167"/>
        <v>-4.9261083743841194E-3</v>
      </c>
      <c r="M1043" s="155">
        <f t="shared" si="168"/>
        <v>0</v>
      </c>
      <c r="N1043" s="155">
        <f t="shared" si="169"/>
        <v>2.5445292620864812E-3</v>
      </c>
      <c r="O1043" s="155">
        <f t="shared" si="170"/>
        <v>1.9970811890315243E-3</v>
      </c>
      <c r="P1043" s="162">
        <f t="shared" si="171"/>
        <v>1.0075566750629594E-2</v>
      </c>
    </row>
    <row r="1044" spans="1:16">
      <c r="A1044" s="319">
        <v>45721</v>
      </c>
      <c r="B1044" s="31">
        <v>4.0599999999999996</v>
      </c>
      <c r="C1044" s="30">
        <v>3.99</v>
      </c>
      <c r="D1044" s="30">
        <v>4.01</v>
      </c>
      <c r="E1044" s="30">
        <v>3.9609000000000001</v>
      </c>
      <c r="F1044" s="29">
        <v>4.08</v>
      </c>
      <c r="G1044" s="159">
        <f t="shared" si="162"/>
        <v>1.9999999999999573E-4</v>
      </c>
      <c r="H1044" s="154">
        <f t="shared" si="163"/>
        <v>3.0000000000000247E-4</v>
      </c>
      <c r="I1044" s="154">
        <f t="shared" si="164"/>
        <v>6.9999999999999837E-4</v>
      </c>
      <c r="J1044" s="154">
        <f t="shared" si="165"/>
        <v>4.7400000000000111E-4</v>
      </c>
      <c r="K1044" s="160">
        <f t="shared" si="166"/>
        <v>7.0000000000000281E-4</v>
      </c>
      <c r="L1044" s="161">
        <f t="shared" si="167"/>
        <v>4.9504950495049549E-3</v>
      </c>
      <c r="M1044" s="155">
        <f t="shared" si="168"/>
        <v>7.575757575757569E-3</v>
      </c>
      <c r="N1044" s="155">
        <f t="shared" si="169"/>
        <v>1.7766497461928932E-2</v>
      </c>
      <c r="O1044" s="155">
        <f t="shared" si="170"/>
        <v>1.2111920275967858E-2</v>
      </c>
      <c r="P1044" s="162">
        <f t="shared" si="171"/>
        <v>1.7456359102244523E-2</v>
      </c>
    </row>
    <row r="1045" spans="1:16">
      <c r="A1045" s="319">
        <v>45722</v>
      </c>
      <c r="B1045" s="31">
        <v>4.0199999999999996</v>
      </c>
      <c r="C1045" s="30">
        <v>3.96</v>
      </c>
      <c r="D1045" s="30">
        <v>3.98</v>
      </c>
      <c r="E1045" s="30">
        <v>3.9582999999999999</v>
      </c>
      <c r="F1045" s="29">
        <v>4.0599999999999996</v>
      </c>
      <c r="G1045" s="159">
        <f t="shared" si="162"/>
        <v>-4.0000000000000034E-4</v>
      </c>
      <c r="H1045" s="154">
        <f t="shared" si="163"/>
        <v>-3.0000000000000247E-4</v>
      </c>
      <c r="I1045" s="154">
        <f t="shared" si="164"/>
        <v>-2.9999999999999802E-4</v>
      </c>
      <c r="J1045" s="154">
        <f t="shared" si="165"/>
        <v>-2.6000000000001577E-5</v>
      </c>
      <c r="K1045" s="160">
        <f t="shared" si="166"/>
        <v>-2.0000000000000462E-4</v>
      </c>
      <c r="L1045" s="161">
        <f t="shared" si="167"/>
        <v>-9.8522167487684609E-3</v>
      </c>
      <c r="M1045" s="155">
        <f t="shared" si="168"/>
        <v>-7.5187969924812581E-3</v>
      </c>
      <c r="N1045" s="155">
        <f t="shared" si="169"/>
        <v>-7.4812967581047163E-3</v>
      </c>
      <c r="O1045" s="155">
        <f t="shared" si="170"/>
        <v>-6.564164710041176E-4</v>
      </c>
      <c r="P1045" s="162">
        <f t="shared" si="171"/>
        <v>-4.9019607843138191E-3</v>
      </c>
    </row>
    <row r="1046" spans="1:16">
      <c r="A1046" s="319">
        <v>45723</v>
      </c>
      <c r="B1046" s="31">
        <v>4.05</v>
      </c>
      <c r="C1046" s="30">
        <v>3.99</v>
      </c>
      <c r="D1046" s="30">
        <v>4.01</v>
      </c>
      <c r="E1046" s="30">
        <v>3.9788000000000001</v>
      </c>
      <c r="F1046" s="29">
        <v>4.09</v>
      </c>
      <c r="G1046" s="159">
        <f t="shared" si="162"/>
        <v>3.0000000000000247E-4</v>
      </c>
      <c r="H1046" s="154">
        <f t="shared" si="163"/>
        <v>3.0000000000000247E-4</v>
      </c>
      <c r="I1046" s="154">
        <f t="shared" si="164"/>
        <v>2.9999999999999802E-4</v>
      </c>
      <c r="J1046" s="154">
        <f t="shared" si="165"/>
        <v>2.0500000000000184E-4</v>
      </c>
      <c r="K1046" s="160">
        <f t="shared" si="166"/>
        <v>3.0000000000000247E-4</v>
      </c>
      <c r="L1046" s="161">
        <f t="shared" si="167"/>
        <v>7.4626865671643117E-3</v>
      </c>
      <c r="M1046" s="155">
        <f t="shared" si="168"/>
        <v>7.575757575757569E-3</v>
      </c>
      <c r="N1046" s="155">
        <f t="shared" si="169"/>
        <v>7.5376884422109214E-3</v>
      </c>
      <c r="O1046" s="155">
        <f t="shared" si="170"/>
        <v>5.1789909809767387E-3</v>
      </c>
      <c r="P1046" s="162">
        <f t="shared" si="171"/>
        <v>7.3891625615765122E-3</v>
      </c>
    </row>
    <row r="1047" spans="1:16">
      <c r="A1047" s="319">
        <v>45726</v>
      </c>
      <c r="B1047" s="31">
        <v>3.98</v>
      </c>
      <c r="C1047" s="30">
        <v>3.89</v>
      </c>
      <c r="D1047" s="30">
        <v>3.91</v>
      </c>
      <c r="E1047" s="30">
        <v>3.8986000000000001</v>
      </c>
      <c r="F1047" s="29">
        <v>3.98</v>
      </c>
      <c r="G1047" s="159">
        <f t="shared" si="162"/>
        <v>-6.9999999999999837E-4</v>
      </c>
      <c r="H1047" s="154">
        <f t="shared" si="163"/>
        <v>-1.0000000000000009E-3</v>
      </c>
      <c r="I1047" s="154">
        <f t="shared" si="164"/>
        <v>-9.9999999999999655E-4</v>
      </c>
      <c r="J1047" s="154">
        <f t="shared" si="165"/>
        <v>-8.0200000000000052E-4</v>
      </c>
      <c r="K1047" s="160">
        <f t="shared" si="166"/>
        <v>-1.0999999999999988E-3</v>
      </c>
      <c r="L1047" s="161">
        <f t="shared" si="167"/>
        <v>-1.7283950617283939E-2</v>
      </c>
      <c r="M1047" s="155">
        <f t="shared" si="168"/>
        <v>-2.5062656641604009E-2</v>
      </c>
      <c r="N1047" s="155">
        <f t="shared" si="169"/>
        <v>-2.4937655860349017E-2</v>
      </c>
      <c r="O1047" s="155">
        <f t="shared" si="170"/>
        <v>-2.0156831205388581E-2</v>
      </c>
      <c r="P1047" s="162">
        <f t="shared" si="171"/>
        <v>-2.6894865525672329E-2</v>
      </c>
    </row>
    <row r="1048" spans="1:16">
      <c r="A1048" s="319">
        <v>45727</v>
      </c>
      <c r="B1048" s="31">
        <v>4.03</v>
      </c>
      <c r="C1048" s="30">
        <v>3.94</v>
      </c>
      <c r="D1048" s="30">
        <v>3.92</v>
      </c>
      <c r="E1048" s="30">
        <v>3.9192999999999998</v>
      </c>
      <c r="F1048" s="29">
        <v>4.03</v>
      </c>
      <c r="G1048" s="159">
        <f t="shared" si="162"/>
        <v>5.0000000000000261E-4</v>
      </c>
      <c r="H1048" s="154">
        <f t="shared" si="163"/>
        <v>4.9999999999999828E-4</v>
      </c>
      <c r="I1048" s="154">
        <f t="shared" si="164"/>
        <v>9.9999999999997863E-5</v>
      </c>
      <c r="J1048" s="154">
        <f t="shared" si="165"/>
        <v>2.069999999999972E-4</v>
      </c>
      <c r="K1048" s="160">
        <f t="shared" si="166"/>
        <v>5.0000000000000261E-4</v>
      </c>
      <c r="L1048" s="161">
        <f t="shared" si="167"/>
        <v>1.2562814070351758E-2</v>
      </c>
      <c r="M1048" s="155">
        <f t="shared" si="168"/>
        <v>1.2853470437018011E-2</v>
      </c>
      <c r="N1048" s="155">
        <f t="shared" si="169"/>
        <v>2.5575447570331811E-3</v>
      </c>
      <c r="O1048" s="155">
        <f t="shared" si="170"/>
        <v>5.309598317344566E-3</v>
      </c>
      <c r="P1048" s="162">
        <f t="shared" si="171"/>
        <v>1.2562814070351758E-2</v>
      </c>
    </row>
    <row r="1049" spans="1:16">
      <c r="A1049" s="319">
        <v>45728</v>
      </c>
      <c r="B1049" s="31">
        <v>4.07</v>
      </c>
      <c r="C1049" s="30">
        <v>4.01</v>
      </c>
      <c r="D1049" s="30">
        <v>3.98</v>
      </c>
      <c r="E1049" s="30">
        <v>3.9634</v>
      </c>
      <c r="F1049" s="29">
        <v>4.09</v>
      </c>
      <c r="G1049" s="159">
        <f t="shared" si="162"/>
        <v>4.0000000000000034E-4</v>
      </c>
      <c r="H1049" s="154">
        <f t="shared" si="163"/>
        <v>6.9999999999999837E-4</v>
      </c>
      <c r="I1049" s="154">
        <f t="shared" si="164"/>
        <v>6.0000000000000049E-4</v>
      </c>
      <c r="J1049" s="154">
        <f t="shared" si="165"/>
        <v>4.4100000000000248E-4</v>
      </c>
      <c r="K1049" s="160">
        <f t="shared" si="166"/>
        <v>5.9999999999999604E-4</v>
      </c>
      <c r="L1049" s="161">
        <f t="shared" si="167"/>
        <v>9.9255583126551805E-3</v>
      </c>
      <c r="M1049" s="155">
        <f t="shared" si="168"/>
        <v>1.7766497461928932E-2</v>
      </c>
      <c r="N1049" s="155">
        <f t="shared" si="169"/>
        <v>1.5306122448979664E-2</v>
      </c>
      <c r="O1049" s="155">
        <f t="shared" si="170"/>
        <v>1.1252009287372911E-2</v>
      </c>
      <c r="P1049" s="162">
        <f t="shared" si="171"/>
        <v>1.4888337468982549E-2</v>
      </c>
    </row>
    <row r="1050" spans="1:16">
      <c r="A1050" s="319">
        <v>45729</v>
      </c>
      <c r="B1050" s="31">
        <v>4.03</v>
      </c>
      <c r="C1050" s="30">
        <v>3.94</v>
      </c>
      <c r="D1050" s="30">
        <v>3.93</v>
      </c>
      <c r="E1050" s="30">
        <v>3.9291</v>
      </c>
      <c r="F1050" s="29">
        <v>4.0199999999999996</v>
      </c>
      <c r="G1050" s="159">
        <f t="shared" si="162"/>
        <v>-4.0000000000000034E-4</v>
      </c>
      <c r="H1050" s="154">
        <f t="shared" si="163"/>
        <v>-6.9999999999999837E-4</v>
      </c>
      <c r="I1050" s="154">
        <f t="shared" si="164"/>
        <v>-4.9999999999999828E-4</v>
      </c>
      <c r="J1050" s="154">
        <f t="shared" si="165"/>
        <v>-3.4299999999999999E-4</v>
      </c>
      <c r="K1050" s="160">
        <f t="shared" si="166"/>
        <v>-7.0000000000000281E-4</v>
      </c>
      <c r="L1050" s="161">
        <f t="shared" si="167"/>
        <v>-9.8280098280097983E-3</v>
      </c>
      <c r="M1050" s="155">
        <f t="shared" si="168"/>
        <v>-1.7456359102244301E-2</v>
      </c>
      <c r="N1050" s="155">
        <f t="shared" si="169"/>
        <v>-1.2562814070351758E-2</v>
      </c>
      <c r="O1050" s="155">
        <f t="shared" si="170"/>
        <v>-8.6541858000706018E-3</v>
      </c>
      <c r="P1050" s="162">
        <f t="shared" si="171"/>
        <v>-1.7114914425427896E-2</v>
      </c>
    </row>
    <row r="1051" spans="1:16">
      <c r="A1051" s="319">
        <v>45730</v>
      </c>
      <c r="B1051" s="31">
        <v>4.09</v>
      </c>
      <c r="C1051" s="30">
        <v>4.0199999999999996</v>
      </c>
      <c r="D1051" s="30">
        <v>4</v>
      </c>
      <c r="E1051" s="30">
        <v>3.9702000000000002</v>
      </c>
      <c r="F1051" s="29">
        <v>4.09</v>
      </c>
      <c r="G1051" s="159">
        <f t="shared" si="162"/>
        <v>5.9999999999999604E-4</v>
      </c>
      <c r="H1051" s="154">
        <f t="shared" si="163"/>
        <v>7.9999999999999624E-4</v>
      </c>
      <c r="I1051" s="154">
        <f t="shared" si="164"/>
        <v>6.9999999999999837E-4</v>
      </c>
      <c r="J1051" s="154">
        <f t="shared" si="165"/>
        <v>4.1100000000000137E-4</v>
      </c>
      <c r="K1051" s="160">
        <f t="shared" si="166"/>
        <v>7.0000000000000281E-4</v>
      </c>
      <c r="L1051" s="161">
        <f t="shared" si="167"/>
        <v>1.4888337468982549E-2</v>
      </c>
      <c r="M1051" s="155">
        <f t="shared" si="168"/>
        <v>2.0304568527918621E-2</v>
      </c>
      <c r="N1051" s="155">
        <f t="shared" si="169"/>
        <v>1.7811704834605591E-2</v>
      </c>
      <c r="O1051" s="155">
        <f t="shared" si="170"/>
        <v>1.0460410781094831E-2</v>
      </c>
      <c r="P1051" s="162">
        <f t="shared" si="171"/>
        <v>1.7412935323383172E-2</v>
      </c>
    </row>
    <row r="1052" spans="1:16">
      <c r="A1052" s="319">
        <v>45733</v>
      </c>
      <c r="B1052" s="31">
        <v>4.1100000000000003</v>
      </c>
      <c r="C1052" s="30">
        <v>4.0599999999999996</v>
      </c>
      <c r="D1052" s="30">
        <v>4.03</v>
      </c>
      <c r="E1052" s="30">
        <v>3.9925999999999999</v>
      </c>
      <c r="F1052" s="29">
        <v>4.1100000000000003</v>
      </c>
      <c r="G1052" s="159">
        <f t="shared" si="162"/>
        <v>2.0000000000000462E-4</v>
      </c>
      <c r="H1052" s="154">
        <f t="shared" si="163"/>
        <v>4.0000000000000034E-4</v>
      </c>
      <c r="I1052" s="154">
        <f t="shared" si="164"/>
        <v>3.0000000000000247E-4</v>
      </c>
      <c r="J1052" s="154">
        <f t="shared" si="165"/>
        <v>2.2399999999999753E-4</v>
      </c>
      <c r="K1052" s="160">
        <f t="shared" si="166"/>
        <v>2.0000000000000462E-4</v>
      </c>
      <c r="L1052" s="161">
        <f t="shared" si="167"/>
        <v>4.8899755501223829E-3</v>
      </c>
      <c r="M1052" s="155">
        <f t="shared" si="168"/>
        <v>9.9502487562188602E-3</v>
      </c>
      <c r="N1052" s="155">
        <f t="shared" si="169"/>
        <v>7.5000000000000622E-3</v>
      </c>
      <c r="O1052" s="155">
        <f t="shared" si="170"/>
        <v>5.6420331469446694E-3</v>
      </c>
      <c r="P1052" s="162">
        <f t="shared" si="171"/>
        <v>4.8899755501223829E-3</v>
      </c>
    </row>
    <row r="1053" spans="1:16">
      <c r="A1053" s="319">
        <v>45734</v>
      </c>
      <c r="B1053" s="31">
        <v>4.13</v>
      </c>
      <c r="C1053" s="30">
        <v>4.04</v>
      </c>
      <c r="D1053" s="30">
        <v>4.01</v>
      </c>
      <c r="E1053" s="30">
        <v>3.9796</v>
      </c>
      <c r="F1053" s="29">
        <v>4.07</v>
      </c>
      <c r="G1053" s="159">
        <f t="shared" si="162"/>
        <v>1.9999999999999573E-4</v>
      </c>
      <c r="H1053" s="154">
        <f t="shared" si="163"/>
        <v>-1.9999999999999573E-4</v>
      </c>
      <c r="I1053" s="154">
        <f t="shared" si="164"/>
        <v>-2.0000000000000462E-4</v>
      </c>
      <c r="J1053" s="154">
        <f t="shared" si="165"/>
        <v>-1.2999999999999901E-4</v>
      </c>
      <c r="K1053" s="160">
        <f t="shared" si="166"/>
        <v>-4.0000000000000034E-4</v>
      </c>
      <c r="L1053" s="161">
        <f t="shared" si="167"/>
        <v>4.8661800486617945E-3</v>
      </c>
      <c r="M1053" s="155">
        <f t="shared" si="168"/>
        <v>-4.9261083743841194E-3</v>
      </c>
      <c r="N1053" s="155">
        <f t="shared" si="169"/>
        <v>-4.9627791563277013E-3</v>
      </c>
      <c r="O1053" s="155">
        <f t="shared" si="170"/>
        <v>-3.2560236437408907E-3</v>
      </c>
      <c r="P1053" s="162">
        <f t="shared" si="171"/>
        <v>-9.7323600973235891E-3</v>
      </c>
    </row>
    <row r="1054" spans="1:16">
      <c r="A1054" s="319">
        <v>45735</v>
      </c>
      <c r="B1054" s="31">
        <v>4.0999999999999996</v>
      </c>
      <c r="C1054" s="30">
        <v>3.99</v>
      </c>
      <c r="D1054" s="30">
        <v>3.95</v>
      </c>
      <c r="E1054" s="30">
        <v>3.9437000000000002</v>
      </c>
      <c r="F1054" s="29">
        <v>4.03</v>
      </c>
      <c r="G1054" s="159">
        <f t="shared" si="162"/>
        <v>-3.0000000000000247E-4</v>
      </c>
      <c r="H1054" s="154">
        <f t="shared" si="163"/>
        <v>-4.9999999999999828E-4</v>
      </c>
      <c r="I1054" s="154">
        <f t="shared" si="164"/>
        <v>-5.9999999999999604E-4</v>
      </c>
      <c r="J1054" s="154">
        <f t="shared" si="165"/>
        <v>-3.5899999999999821E-4</v>
      </c>
      <c r="K1054" s="160">
        <f t="shared" si="166"/>
        <v>-4.0000000000000034E-4</v>
      </c>
      <c r="L1054" s="161">
        <f t="shared" si="167"/>
        <v>-7.2639225181598821E-3</v>
      </c>
      <c r="M1054" s="155">
        <f t="shared" si="168"/>
        <v>-1.2376237623762387E-2</v>
      </c>
      <c r="N1054" s="155">
        <f t="shared" si="169"/>
        <v>-1.4962593516209433E-2</v>
      </c>
      <c r="O1054" s="155">
        <f t="shared" si="170"/>
        <v>-9.0210071363955313E-3</v>
      </c>
      <c r="P1054" s="162">
        <f t="shared" si="171"/>
        <v>-9.8280098280097983E-3</v>
      </c>
    </row>
    <row r="1055" spans="1:16">
      <c r="A1055" s="319">
        <v>45736</v>
      </c>
      <c r="B1055" s="31">
        <v>4.0599999999999996</v>
      </c>
      <c r="C1055" s="30">
        <v>3.95</v>
      </c>
      <c r="D1055" s="30">
        <v>3.93</v>
      </c>
      <c r="E1055" s="30">
        <v>3.9144999999999999</v>
      </c>
      <c r="F1055" s="29">
        <v>4.01</v>
      </c>
      <c r="G1055" s="159">
        <f t="shared" si="162"/>
        <v>-4.0000000000000034E-4</v>
      </c>
      <c r="H1055" s="154">
        <f t="shared" si="163"/>
        <v>-4.0000000000000034E-4</v>
      </c>
      <c r="I1055" s="154">
        <f t="shared" si="164"/>
        <v>-2.0000000000000017E-4</v>
      </c>
      <c r="J1055" s="154">
        <f t="shared" si="165"/>
        <v>-2.9200000000000336E-4</v>
      </c>
      <c r="K1055" s="160">
        <f t="shared" si="166"/>
        <v>-2.0000000000000462E-4</v>
      </c>
      <c r="L1055" s="161">
        <f t="shared" si="167"/>
        <v>-9.7560975609756184E-3</v>
      </c>
      <c r="M1055" s="155">
        <f t="shared" si="168"/>
        <v>-1.0025062656641603E-2</v>
      </c>
      <c r="N1055" s="155">
        <f t="shared" si="169"/>
        <v>-5.0632911392405333E-3</v>
      </c>
      <c r="O1055" s="155">
        <f t="shared" si="170"/>
        <v>-7.4042143165048424E-3</v>
      </c>
      <c r="P1055" s="162">
        <f t="shared" si="171"/>
        <v>-4.9627791563277013E-3</v>
      </c>
    </row>
    <row r="1056" spans="1:16">
      <c r="A1056" s="319">
        <v>45737</v>
      </c>
      <c r="B1056" s="31">
        <v>4.04</v>
      </c>
      <c r="C1056" s="30">
        <v>3.94</v>
      </c>
      <c r="D1056" s="30">
        <v>3.92</v>
      </c>
      <c r="E1056" s="30">
        <v>3.9049999999999998</v>
      </c>
      <c r="F1056" s="29">
        <v>4</v>
      </c>
      <c r="G1056" s="159">
        <f t="shared" si="162"/>
        <v>-1.9999999999999573E-4</v>
      </c>
      <c r="H1056" s="154">
        <f t="shared" si="163"/>
        <v>-1.0000000000000231E-4</v>
      </c>
      <c r="I1056" s="154">
        <f t="shared" si="164"/>
        <v>-1.0000000000000231E-4</v>
      </c>
      <c r="J1056" s="154">
        <f t="shared" si="165"/>
        <v>-9.5000000000000642E-5</v>
      </c>
      <c r="K1056" s="160">
        <f t="shared" si="166"/>
        <v>-9.9999999999997863E-5</v>
      </c>
      <c r="L1056" s="161">
        <f t="shared" si="167"/>
        <v>-4.9261083743841194E-3</v>
      </c>
      <c r="M1056" s="155">
        <f t="shared" si="168"/>
        <v>-2.5316455696202667E-3</v>
      </c>
      <c r="N1056" s="155">
        <f t="shared" si="169"/>
        <v>-2.5445292620865922E-3</v>
      </c>
      <c r="O1056" s="155">
        <f t="shared" si="170"/>
        <v>-2.4268744411802823E-3</v>
      </c>
      <c r="P1056" s="162">
        <f t="shared" si="171"/>
        <v>-2.4937655860348684E-3</v>
      </c>
    </row>
    <row r="1057" spans="1:16">
      <c r="A1057" s="319">
        <v>45740</v>
      </c>
      <c r="B1057" s="31">
        <v>4.1100000000000003</v>
      </c>
      <c r="C1057" s="30">
        <v>4.04</v>
      </c>
      <c r="D1057" s="30">
        <v>4.01</v>
      </c>
      <c r="E1057" s="30">
        <v>3.9733000000000001</v>
      </c>
      <c r="F1057" s="29">
        <v>4.09</v>
      </c>
      <c r="G1057" s="159">
        <f t="shared" si="162"/>
        <v>7.0000000000000281E-4</v>
      </c>
      <c r="H1057" s="154">
        <f t="shared" si="163"/>
        <v>1.0000000000000009E-3</v>
      </c>
      <c r="I1057" s="154">
        <f t="shared" si="164"/>
        <v>8.9999999999999857E-4</v>
      </c>
      <c r="J1057" s="154">
        <f t="shared" si="165"/>
        <v>6.8300000000000251E-4</v>
      </c>
      <c r="K1057" s="160">
        <f t="shared" si="166"/>
        <v>8.9999999999999857E-4</v>
      </c>
      <c r="L1057" s="161">
        <f t="shared" si="167"/>
        <v>1.7326732673267342E-2</v>
      </c>
      <c r="M1057" s="155">
        <f t="shared" si="168"/>
        <v>2.5380710659898442E-2</v>
      </c>
      <c r="N1057" s="155">
        <f t="shared" si="169"/>
        <v>2.2959183673469274E-2</v>
      </c>
      <c r="O1057" s="155">
        <f t="shared" si="170"/>
        <v>1.7490396927016816E-2</v>
      </c>
      <c r="P1057" s="162">
        <f t="shared" si="171"/>
        <v>2.2499999999999964E-2</v>
      </c>
    </row>
    <row r="1058" spans="1:16">
      <c r="A1058" s="319">
        <v>45741</v>
      </c>
      <c r="B1058" s="31">
        <v>4.09</v>
      </c>
      <c r="C1058" s="30">
        <v>3.96</v>
      </c>
      <c r="D1058" s="30">
        <v>3.98</v>
      </c>
      <c r="E1058" s="30">
        <v>3.9655999999999998</v>
      </c>
      <c r="F1058" s="29">
        <v>4.07</v>
      </c>
      <c r="G1058" s="159">
        <f t="shared" si="162"/>
        <v>-2.0000000000000462E-4</v>
      </c>
      <c r="H1058" s="154">
        <f t="shared" si="163"/>
        <v>-8.0000000000000069E-4</v>
      </c>
      <c r="I1058" s="154">
        <f t="shared" si="164"/>
        <v>-2.9999999999999802E-4</v>
      </c>
      <c r="J1058" s="154">
        <f t="shared" si="165"/>
        <v>-7.7000000000002617E-5</v>
      </c>
      <c r="K1058" s="160">
        <f t="shared" si="166"/>
        <v>-1.9999999999999573E-4</v>
      </c>
      <c r="L1058" s="161">
        <f t="shared" si="167"/>
        <v>-4.8661800486619056E-3</v>
      </c>
      <c r="M1058" s="155">
        <f t="shared" si="168"/>
        <v>-1.980198019801982E-2</v>
      </c>
      <c r="N1058" s="155">
        <f t="shared" si="169"/>
        <v>-7.4812967581047163E-3</v>
      </c>
      <c r="O1058" s="155">
        <f t="shared" si="170"/>
        <v>-1.9379357209373671E-3</v>
      </c>
      <c r="P1058" s="162">
        <f t="shared" si="171"/>
        <v>-4.8899755501221609E-3</v>
      </c>
    </row>
    <row r="1059" spans="1:16">
      <c r="A1059" s="319">
        <v>45742</v>
      </c>
      <c r="B1059" s="31">
        <v>4.0999999999999996</v>
      </c>
      <c r="C1059" s="30">
        <v>3.98</v>
      </c>
      <c r="D1059" s="30">
        <v>4.01</v>
      </c>
      <c r="E1059" s="30">
        <v>3.9830999999999999</v>
      </c>
      <c r="F1059" s="29">
        <v>4.08</v>
      </c>
      <c r="G1059" s="159">
        <f t="shared" si="162"/>
        <v>9.9999999999997863E-5</v>
      </c>
      <c r="H1059" s="154">
        <f t="shared" si="163"/>
        <v>2.0000000000000017E-4</v>
      </c>
      <c r="I1059" s="154">
        <f t="shared" si="164"/>
        <v>2.9999999999999802E-4</v>
      </c>
      <c r="J1059" s="154">
        <f t="shared" si="165"/>
        <v>1.750000000000007E-4</v>
      </c>
      <c r="K1059" s="160">
        <f t="shared" si="166"/>
        <v>9.9999999999997863E-5</v>
      </c>
      <c r="L1059" s="161">
        <f t="shared" si="167"/>
        <v>2.4449877750609694E-3</v>
      </c>
      <c r="M1059" s="155">
        <f t="shared" si="168"/>
        <v>5.050505050504972E-3</v>
      </c>
      <c r="N1059" s="155">
        <f t="shared" si="169"/>
        <v>7.5376884422109214E-3</v>
      </c>
      <c r="O1059" s="155">
        <f t="shared" si="170"/>
        <v>4.4129513818842447E-3</v>
      </c>
      <c r="P1059" s="162">
        <f t="shared" si="171"/>
        <v>2.4570024570023108E-3</v>
      </c>
    </row>
    <row r="1060" spans="1:16">
      <c r="A1060" s="319">
        <v>45743</v>
      </c>
      <c r="B1060" s="31">
        <v>4.0999999999999996</v>
      </c>
      <c r="C1060" s="30">
        <v>3.97</v>
      </c>
      <c r="D1060" s="30">
        <v>4</v>
      </c>
      <c r="E1060" s="30">
        <v>3.9937</v>
      </c>
      <c r="F1060" s="29">
        <v>4.09</v>
      </c>
      <c r="G1060" s="159">
        <f t="shared" si="162"/>
        <v>0</v>
      </c>
      <c r="H1060" s="154">
        <f t="shared" si="163"/>
        <v>-9.9999999999997863E-5</v>
      </c>
      <c r="I1060" s="154">
        <f t="shared" si="164"/>
        <v>-9.9999999999997863E-5</v>
      </c>
      <c r="J1060" s="154">
        <f t="shared" si="165"/>
        <v>1.0600000000000165E-4</v>
      </c>
      <c r="K1060" s="160">
        <f t="shared" si="166"/>
        <v>9.9999999999997863E-5</v>
      </c>
      <c r="L1060" s="161">
        <f t="shared" si="167"/>
        <v>0</v>
      </c>
      <c r="M1060" s="155">
        <f t="shared" si="168"/>
        <v>-2.5125628140703071E-3</v>
      </c>
      <c r="N1060" s="155">
        <f t="shared" si="169"/>
        <v>-2.4937655860348684E-3</v>
      </c>
      <c r="O1060" s="155">
        <f t="shared" si="170"/>
        <v>2.6612437548643175E-3</v>
      </c>
      <c r="P1060" s="162">
        <f t="shared" si="171"/>
        <v>2.450980392156854E-3</v>
      </c>
    </row>
    <row r="1061" spans="1:16">
      <c r="A1061" s="319">
        <v>45744</v>
      </c>
      <c r="B1061" s="31">
        <v>4.04</v>
      </c>
      <c r="C1061" s="30">
        <v>3.89</v>
      </c>
      <c r="D1061" s="30">
        <v>3.91</v>
      </c>
      <c r="E1061" s="30">
        <v>3.9106000000000001</v>
      </c>
      <c r="F1061" s="29">
        <v>3.98</v>
      </c>
      <c r="G1061" s="159">
        <f t="shared" si="162"/>
        <v>-5.9999999999999604E-4</v>
      </c>
      <c r="H1061" s="154">
        <f t="shared" si="163"/>
        <v>-8.0000000000000069E-4</v>
      </c>
      <c r="I1061" s="154">
        <f t="shared" si="164"/>
        <v>-8.9999999999999857E-4</v>
      </c>
      <c r="J1061" s="154">
        <f t="shared" si="165"/>
        <v>-8.3099999999999949E-4</v>
      </c>
      <c r="K1061" s="160">
        <f t="shared" si="166"/>
        <v>-1.0999999999999988E-3</v>
      </c>
      <c r="L1061" s="161">
        <f t="shared" si="167"/>
        <v>-1.4634146341463317E-2</v>
      </c>
      <c r="M1061" s="155">
        <f t="shared" si="168"/>
        <v>-2.0151133501259411E-2</v>
      </c>
      <c r="N1061" s="155">
        <f t="shared" si="169"/>
        <v>-2.2499999999999964E-2</v>
      </c>
      <c r="O1061" s="155">
        <f t="shared" si="170"/>
        <v>-2.0807772241280054E-2</v>
      </c>
      <c r="P1061" s="162">
        <f t="shared" si="171"/>
        <v>-2.6894865525672329E-2</v>
      </c>
    </row>
    <row r="1062" spans="1:16">
      <c r="A1062" s="319">
        <v>45747</v>
      </c>
      <c r="B1062" s="31">
        <v>4.03</v>
      </c>
      <c r="C1062" s="30">
        <v>3.89</v>
      </c>
      <c r="D1062" s="30">
        <v>3.89</v>
      </c>
      <c r="E1062" s="30">
        <v>3.8711000000000002</v>
      </c>
      <c r="F1062" s="29">
        <v>3.96</v>
      </c>
      <c r="G1062" s="159">
        <f t="shared" si="162"/>
        <v>-9.9999999999997863E-5</v>
      </c>
      <c r="H1062" s="154">
        <f t="shared" si="163"/>
        <v>0</v>
      </c>
      <c r="I1062" s="154">
        <f t="shared" si="164"/>
        <v>-2.0000000000000017E-4</v>
      </c>
      <c r="J1062" s="154">
        <f t="shared" si="165"/>
        <v>-3.9499999999999871E-4</v>
      </c>
      <c r="K1062" s="160">
        <f t="shared" si="166"/>
        <v>-2.0000000000000017E-4</v>
      </c>
      <c r="L1062" s="161">
        <f t="shared" si="167"/>
        <v>-2.4752475247524774E-3</v>
      </c>
      <c r="M1062" s="155">
        <f t="shared" si="168"/>
        <v>0</v>
      </c>
      <c r="N1062" s="155">
        <f t="shared" si="169"/>
        <v>-5.1150895140664732E-3</v>
      </c>
      <c r="O1062" s="155">
        <f t="shared" si="170"/>
        <v>-1.0100751802792352E-2</v>
      </c>
      <c r="P1062" s="162">
        <f t="shared" si="171"/>
        <v>-5.0251256281407253E-3</v>
      </c>
    </row>
    <row r="1063" spans="1:16">
      <c r="A1063" s="319">
        <v>45748</v>
      </c>
      <c r="B1063" s="31">
        <v>4.01</v>
      </c>
      <c r="C1063" s="30">
        <v>3.87</v>
      </c>
      <c r="D1063" s="30">
        <v>3.85</v>
      </c>
      <c r="E1063" s="30">
        <v>3.8252999999999999</v>
      </c>
      <c r="F1063" s="29">
        <v>3.91</v>
      </c>
      <c r="G1063" s="159">
        <f t="shared" si="162"/>
        <v>-2.0000000000000462E-4</v>
      </c>
      <c r="H1063" s="154">
        <f t="shared" si="163"/>
        <v>-2.0000000000000017E-4</v>
      </c>
      <c r="I1063" s="154">
        <f t="shared" si="164"/>
        <v>-4.0000000000000034E-4</v>
      </c>
      <c r="J1063" s="154">
        <f t="shared" si="165"/>
        <v>-4.5800000000000284E-4</v>
      </c>
      <c r="K1063" s="160">
        <f t="shared" si="166"/>
        <v>-4.9999999999999828E-4</v>
      </c>
      <c r="L1063" s="161">
        <f t="shared" si="167"/>
        <v>-4.9627791563277013E-3</v>
      </c>
      <c r="M1063" s="155">
        <f t="shared" si="168"/>
        <v>-5.1413881748072487E-3</v>
      </c>
      <c r="N1063" s="155">
        <f t="shared" si="169"/>
        <v>-1.0282776349614386E-2</v>
      </c>
      <c r="O1063" s="155">
        <f t="shared" si="170"/>
        <v>-1.183126243186694E-2</v>
      </c>
      <c r="P1063" s="162">
        <f t="shared" si="171"/>
        <v>-1.2626262626262541E-2</v>
      </c>
    </row>
    <row r="1064" spans="1:16">
      <c r="A1064" s="319">
        <v>45749</v>
      </c>
      <c r="B1064" s="31">
        <v>4.04</v>
      </c>
      <c r="C1064" s="30">
        <v>3.91</v>
      </c>
      <c r="D1064" s="30">
        <v>3.89</v>
      </c>
      <c r="E1064" s="30">
        <v>3.8475999999999999</v>
      </c>
      <c r="F1064" s="29">
        <v>3.95</v>
      </c>
      <c r="G1064" s="159">
        <f t="shared" si="162"/>
        <v>3.0000000000000247E-4</v>
      </c>
      <c r="H1064" s="154">
        <f t="shared" si="163"/>
        <v>4.0000000000000034E-4</v>
      </c>
      <c r="I1064" s="154">
        <f t="shared" si="164"/>
        <v>4.0000000000000034E-4</v>
      </c>
      <c r="J1064" s="154">
        <f t="shared" si="165"/>
        <v>2.2299999999999986E-4</v>
      </c>
      <c r="K1064" s="160">
        <f t="shared" si="166"/>
        <v>4.0000000000000034E-4</v>
      </c>
      <c r="L1064" s="161">
        <f t="shared" si="167"/>
        <v>7.4812967581048273E-3</v>
      </c>
      <c r="M1064" s="155">
        <f t="shared" si="168"/>
        <v>1.0335917312661591E-2</v>
      </c>
      <c r="N1064" s="155">
        <f t="shared" si="169"/>
        <v>1.0389610389610393E-2</v>
      </c>
      <c r="O1064" s="155">
        <f t="shared" si="170"/>
        <v>5.8296081353097495E-3</v>
      </c>
      <c r="P1064" s="162">
        <f t="shared" si="171"/>
        <v>1.0230179028132946E-2</v>
      </c>
    </row>
    <row r="1065" spans="1:16">
      <c r="A1065" s="319">
        <v>45750</v>
      </c>
      <c r="B1065" s="31">
        <v>3.92</v>
      </c>
      <c r="C1065" s="30">
        <v>3.71</v>
      </c>
      <c r="D1065" s="30">
        <v>3.68</v>
      </c>
      <c r="E1065" s="30">
        <v>3.7071000000000001</v>
      </c>
      <c r="F1065" s="29">
        <v>3.75</v>
      </c>
      <c r="G1065" s="159">
        <f t="shared" si="162"/>
        <v>-1.200000000000001E-3</v>
      </c>
      <c r="H1065" s="154">
        <f t="shared" si="163"/>
        <v>-2.0000000000000018E-3</v>
      </c>
      <c r="I1065" s="154">
        <f t="shared" si="164"/>
        <v>-2.0999999999999994E-3</v>
      </c>
      <c r="J1065" s="154">
        <f t="shared" si="165"/>
        <v>-1.4049999999999985E-3</v>
      </c>
      <c r="K1065" s="160">
        <f t="shared" si="166"/>
        <v>-2.0000000000000018E-3</v>
      </c>
      <c r="L1065" s="161">
        <f t="shared" si="167"/>
        <v>-2.9702970297029729E-2</v>
      </c>
      <c r="M1065" s="155">
        <f t="shared" si="168"/>
        <v>-5.1150895140664954E-2</v>
      </c>
      <c r="N1065" s="155">
        <f t="shared" si="169"/>
        <v>-5.3984575835475557E-2</v>
      </c>
      <c r="O1065" s="155">
        <f t="shared" si="170"/>
        <v>-3.6516269882524099E-2</v>
      </c>
      <c r="P1065" s="162">
        <f t="shared" si="171"/>
        <v>-5.0632911392405111E-2</v>
      </c>
    </row>
    <row r="1066" spans="1:16">
      <c r="A1066" s="319">
        <v>45751</v>
      </c>
      <c r="B1066" s="31">
        <v>3.86</v>
      </c>
      <c r="C1066" s="30">
        <v>3.68</v>
      </c>
      <c r="D1066" s="30">
        <v>3.66</v>
      </c>
      <c r="E1066" s="30">
        <v>3.6444000000000001</v>
      </c>
      <c r="F1066" s="29">
        <v>3.72</v>
      </c>
      <c r="G1066" s="159">
        <f t="shared" si="162"/>
        <v>-6.0000000000000049E-4</v>
      </c>
      <c r="H1066" s="154">
        <f t="shared" si="163"/>
        <v>-2.9999999999999802E-4</v>
      </c>
      <c r="I1066" s="154">
        <f t="shared" si="164"/>
        <v>-2.0000000000000017E-4</v>
      </c>
      <c r="J1066" s="154">
        <f t="shared" si="165"/>
        <v>-6.2699999999999974E-4</v>
      </c>
      <c r="K1066" s="160">
        <f t="shared" si="166"/>
        <v>-2.9999999999999802E-4</v>
      </c>
      <c r="L1066" s="161">
        <f t="shared" si="167"/>
        <v>-1.5306122448979553E-2</v>
      </c>
      <c r="M1066" s="155">
        <f t="shared" si="168"/>
        <v>-8.0862533692721561E-3</v>
      </c>
      <c r="N1066" s="155">
        <f t="shared" si="169"/>
        <v>-5.4347826086956763E-3</v>
      </c>
      <c r="O1066" s="155">
        <f t="shared" si="170"/>
        <v>-1.6913490329367953E-2</v>
      </c>
      <c r="P1066" s="162">
        <f t="shared" si="171"/>
        <v>-7.9999999999998961E-3</v>
      </c>
    </row>
    <row r="1067" spans="1:16">
      <c r="A1067" s="319">
        <v>45754</v>
      </c>
      <c r="B1067" s="31">
        <v>3.86</v>
      </c>
      <c r="C1067" s="30">
        <v>3.73</v>
      </c>
      <c r="D1067" s="30">
        <v>3.72</v>
      </c>
      <c r="E1067" s="30">
        <v>3.7044999999999999</v>
      </c>
      <c r="F1067" s="29">
        <v>3.82</v>
      </c>
      <c r="G1067" s="159">
        <f t="shared" si="162"/>
        <v>0</v>
      </c>
      <c r="H1067" s="154">
        <f t="shared" si="163"/>
        <v>4.9999999999999828E-4</v>
      </c>
      <c r="I1067" s="154">
        <f t="shared" si="164"/>
        <v>6.0000000000000049E-4</v>
      </c>
      <c r="J1067" s="154">
        <f t="shared" si="165"/>
        <v>6.0099999999999824E-4</v>
      </c>
      <c r="K1067" s="160">
        <f t="shared" si="166"/>
        <v>9.9999999999999655E-4</v>
      </c>
      <c r="L1067" s="161">
        <f t="shared" si="167"/>
        <v>0</v>
      </c>
      <c r="M1067" s="155">
        <f t="shared" si="168"/>
        <v>1.3586956521739024E-2</v>
      </c>
      <c r="N1067" s="155">
        <f t="shared" si="169"/>
        <v>1.6393442622950838E-2</v>
      </c>
      <c r="O1067" s="155">
        <f t="shared" si="170"/>
        <v>1.6491054768960511E-2</v>
      </c>
      <c r="P1067" s="162">
        <f t="shared" si="171"/>
        <v>2.6881720430107503E-2</v>
      </c>
    </row>
    <row r="1068" spans="1:16">
      <c r="A1068" s="319">
        <v>45755</v>
      </c>
      <c r="B1068" s="31">
        <v>3.83</v>
      </c>
      <c r="C1068" s="30">
        <v>3.71</v>
      </c>
      <c r="D1068" s="30">
        <v>3.71</v>
      </c>
      <c r="E1068" s="30">
        <v>3.7576000000000001</v>
      </c>
      <c r="F1068" s="29">
        <v>3.88</v>
      </c>
      <c r="G1068" s="159">
        <f t="shared" si="162"/>
        <v>-2.9999999999999802E-4</v>
      </c>
      <c r="H1068" s="154">
        <f t="shared" si="163"/>
        <v>-2.0000000000000017E-4</v>
      </c>
      <c r="I1068" s="154">
        <f t="shared" si="164"/>
        <v>-1.0000000000000231E-4</v>
      </c>
      <c r="J1068" s="154">
        <f t="shared" si="165"/>
        <v>5.3100000000000152E-4</v>
      </c>
      <c r="K1068" s="160">
        <f t="shared" si="166"/>
        <v>6.0000000000000049E-4</v>
      </c>
      <c r="L1068" s="161">
        <f t="shared" si="167"/>
        <v>-7.7720207253885176E-3</v>
      </c>
      <c r="M1068" s="155">
        <f t="shared" si="168"/>
        <v>-5.3619302949061698E-3</v>
      </c>
      <c r="N1068" s="155">
        <f t="shared" si="169"/>
        <v>-2.6881720430108613E-3</v>
      </c>
      <c r="O1068" s="155">
        <f t="shared" si="170"/>
        <v>1.433391820758545E-2</v>
      </c>
      <c r="P1068" s="162">
        <f t="shared" si="171"/>
        <v>1.5706806282722585E-2</v>
      </c>
    </row>
    <row r="1069" spans="1:16">
      <c r="A1069" s="319">
        <v>45756</v>
      </c>
      <c r="B1069" s="31">
        <v>4.03</v>
      </c>
      <c r="C1069" s="30">
        <v>3.91</v>
      </c>
      <c r="D1069" s="30">
        <v>3.91</v>
      </c>
      <c r="E1069" s="30">
        <v>3.9024000000000001</v>
      </c>
      <c r="F1069" s="29">
        <v>4.0599999999999996</v>
      </c>
      <c r="G1069" s="159">
        <f t="shared" si="162"/>
        <v>2.0000000000000018E-3</v>
      </c>
      <c r="H1069" s="154">
        <f t="shared" si="163"/>
        <v>2.0000000000000018E-3</v>
      </c>
      <c r="I1069" s="154">
        <f t="shared" si="164"/>
        <v>2.0000000000000018E-3</v>
      </c>
      <c r="J1069" s="154">
        <f t="shared" si="165"/>
        <v>1.4480000000000005E-3</v>
      </c>
      <c r="K1069" s="160">
        <f t="shared" si="166"/>
        <v>1.7999999999999971E-3</v>
      </c>
      <c r="L1069" s="161">
        <f t="shared" si="167"/>
        <v>5.2219321148825104E-2</v>
      </c>
      <c r="M1069" s="155">
        <f t="shared" si="168"/>
        <v>5.3908355795148299E-2</v>
      </c>
      <c r="N1069" s="155">
        <f t="shared" si="169"/>
        <v>5.3908355795148299E-2</v>
      </c>
      <c r="O1069" s="155">
        <f t="shared" si="170"/>
        <v>3.8535235256546674E-2</v>
      </c>
      <c r="P1069" s="162">
        <f t="shared" si="171"/>
        <v>4.6391752577319423E-2</v>
      </c>
    </row>
    <row r="1070" spans="1:16">
      <c r="A1070" s="319">
        <v>45757</v>
      </c>
      <c r="B1070" s="31">
        <v>3.97</v>
      </c>
      <c r="C1070" s="30">
        <v>3.84</v>
      </c>
      <c r="D1070" s="30">
        <v>3.85</v>
      </c>
      <c r="E1070" s="30">
        <v>3.9154</v>
      </c>
      <c r="F1070" s="29">
        <v>4.04</v>
      </c>
      <c r="G1070" s="159">
        <f t="shared" si="162"/>
        <v>-6.0000000000000049E-4</v>
      </c>
      <c r="H1070" s="154">
        <f t="shared" si="163"/>
        <v>-7.0000000000000281E-4</v>
      </c>
      <c r="I1070" s="154">
        <f t="shared" si="164"/>
        <v>-6.0000000000000049E-4</v>
      </c>
      <c r="J1070" s="154">
        <f t="shared" si="165"/>
        <v>1.2999999999999901E-4</v>
      </c>
      <c r="K1070" s="160">
        <f t="shared" si="166"/>
        <v>-1.9999999999999573E-4</v>
      </c>
      <c r="L1070" s="161">
        <f t="shared" si="167"/>
        <v>-1.488833746898266E-2</v>
      </c>
      <c r="M1070" s="155">
        <f t="shared" si="168"/>
        <v>-1.7902813299232823E-2</v>
      </c>
      <c r="N1070" s="155">
        <f t="shared" si="169"/>
        <v>-1.5345268542199531E-2</v>
      </c>
      <c r="O1070" s="155">
        <f t="shared" si="170"/>
        <v>3.3312833128331665E-3</v>
      </c>
      <c r="P1070" s="162">
        <f t="shared" si="171"/>
        <v>-4.9261083743841194E-3</v>
      </c>
    </row>
    <row r="1071" spans="1:16">
      <c r="A1071" s="319">
        <v>45758</v>
      </c>
      <c r="B1071" s="31">
        <v>4.04</v>
      </c>
      <c r="C1071" s="30">
        <v>3.96</v>
      </c>
      <c r="D1071" s="30">
        <v>3.98</v>
      </c>
      <c r="E1071" s="30">
        <v>4.0015000000000001</v>
      </c>
      <c r="F1071" s="29">
        <v>4.1500000000000004</v>
      </c>
      <c r="G1071" s="159">
        <f t="shared" si="162"/>
        <v>6.9999999999999837E-4</v>
      </c>
      <c r="H1071" s="154">
        <f t="shared" si="163"/>
        <v>1.200000000000001E-3</v>
      </c>
      <c r="I1071" s="154">
        <f t="shared" si="164"/>
        <v>1.2999999999999989E-3</v>
      </c>
      <c r="J1071" s="154">
        <f t="shared" si="165"/>
        <v>8.6100000000000065E-4</v>
      </c>
      <c r="K1071" s="160">
        <f t="shared" si="166"/>
        <v>1.1000000000000031E-3</v>
      </c>
      <c r="L1071" s="161">
        <f t="shared" si="167"/>
        <v>1.7632241813601901E-2</v>
      </c>
      <c r="M1071" s="155">
        <f t="shared" si="168"/>
        <v>3.125E-2</v>
      </c>
      <c r="N1071" s="155">
        <f t="shared" si="169"/>
        <v>3.3766233766233666E-2</v>
      </c>
      <c r="O1071" s="155">
        <f t="shared" si="170"/>
        <v>2.1990090412218333E-2</v>
      </c>
      <c r="P1071" s="162">
        <f t="shared" si="171"/>
        <v>2.7227722772277252E-2</v>
      </c>
    </row>
    <row r="1072" spans="1:16">
      <c r="A1072" s="319">
        <v>45761</v>
      </c>
      <c r="B1072" s="31">
        <v>3.99</v>
      </c>
      <c r="C1072" s="30">
        <v>3.84</v>
      </c>
      <c r="D1072" s="30">
        <v>3.87</v>
      </c>
      <c r="E1072" s="30">
        <v>3.9215</v>
      </c>
      <c r="F1072" s="29">
        <v>4.0199999999999996</v>
      </c>
      <c r="G1072" s="159">
        <f t="shared" si="162"/>
        <v>-4.9999999999999828E-4</v>
      </c>
      <c r="H1072" s="154">
        <f t="shared" si="163"/>
        <v>-1.200000000000001E-3</v>
      </c>
      <c r="I1072" s="154">
        <f t="shared" si="164"/>
        <v>-1.0999999999999988E-3</v>
      </c>
      <c r="J1072" s="154">
        <f t="shared" si="165"/>
        <v>-8.0000000000000069E-4</v>
      </c>
      <c r="K1072" s="160">
        <f t="shared" si="166"/>
        <v>-1.3000000000000077E-3</v>
      </c>
      <c r="L1072" s="161">
        <f t="shared" si="167"/>
        <v>-1.2376237623762387E-2</v>
      </c>
      <c r="M1072" s="155">
        <f t="shared" si="168"/>
        <v>-3.0303030303030276E-2</v>
      </c>
      <c r="N1072" s="155">
        <f t="shared" si="169"/>
        <v>-2.7638190954773822E-2</v>
      </c>
      <c r="O1072" s="155">
        <f t="shared" si="170"/>
        <v>-1.9992502811445712E-2</v>
      </c>
      <c r="P1072" s="162">
        <f t="shared" si="171"/>
        <v>-3.1325301204819467E-2</v>
      </c>
    </row>
    <row r="1073" spans="1:16">
      <c r="A1073" s="319">
        <v>45762</v>
      </c>
      <c r="B1073" s="31">
        <v>3.99</v>
      </c>
      <c r="C1073" s="30">
        <v>3.84</v>
      </c>
      <c r="D1073" s="30">
        <v>3.85</v>
      </c>
      <c r="E1073" s="30">
        <v>3.8841000000000001</v>
      </c>
      <c r="F1073" s="29">
        <v>3.98</v>
      </c>
      <c r="G1073" s="159">
        <f t="shared" si="162"/>
        <v>0</v>
      </c>
      <c r="H1073" s="154">
        <f t="shared" si="163"/>
        <v>0</v>
      </c>
      <c r="I1073" s="154">
        <f t="shared" si="164"/>
        <v>-2.0000000000000017E-4</v>
      </c>
      <c r="J1073" s="154">
        <f t="shared" si="165"/>
        <v>-3.7399999999999879E-4</v>
      </c>
      <c r="K1073" s="160">
        <f t="shared" si="166"/>
        <v>-3.999999999999959E-4</v>
      </c>
      <c r="L1073" s="161">
        <f t="shared" si="167"/>
        <v>0</v>
      </c>
      <c r="M1073" s="155">
        <f t="shared" si="168"/>
        <v>0</v>
      </c>
      <c r="N1073" s="155">
        <f t="shared" si="169"/>
        <v>-5.1679586563307955E-3</v>
      </c>
      <c r="O1073" s="155">
        <f t="shared" si="170"/>
        <v>-9.5371669004207238E-3</v>
      </c>
      <c r="P1073" s="162">
        <f t="shared" si="171"/>
        <v>-9.9502487562188602E-3</v>
      </c>
    </row>
    <row r="1074" spans="1:16">
      <c r="A1074" s="319">
        <v>45763</v>
      </c>
      <c r="B1074" s="31">
        <v>3.96</v>
      </c>
      <c r="C1074" s="30">
        <v>3.77</v>
      </c>
      <c r="D1074" s="30">
        <v>3.77</v>
      </c>
      <c r="E1074" s="30">
        <v>3.8161</v>
      </c>
      <c r="F1074" s="29">
        <v>3.91</v>
      </c>
      <c r="G1074" s="159">
        <f t="shared" si="162"/>
        <v>-3.0000000000000247E-4</v>
      </c>
      <c r="H1074" s="154">
        <f t="shared" si="163"/>
        <v>-6.9999999999999837E-4</v>
      </c>
      <c r="I1074" s="154">
        <f t="shared" si="164"/>
        <v>-8.0000000000000069E-4</v>
      </c>
      <c r="J1074" s="154">
        <f t="shared" si="165"/>
        <v>-6.8000000000000059E-4</v>
      </c>
      <c r="K1074" s="160">
        <f t="shared" si="166"/>
        <v>-6.9999999999999837E-4</v>
      </c>
      <c r="L1074" s="161">
        <f t="shared" si="167"/>
        <v>-7.5187969924812581E-3</v>
      </c>
      <c r="M1074" s="155">
        <f t="shared" si="168"/>
        <v>-1.822916666666663E-2</v>
      </c>
      <c r="N1074" s="155">
        <f t="shared" si="169"/>
        <v>-2.0779220779220786E-2</v>
      </c>
      <c r="O1074" s="155">
        <f t="shared" si="170"/>
        <v>-1.7507273242192589E-2</v>
      </c>
      <c r="P1074" s="162">
        <f t="shared" si="171"/>
        <v>-1.7587939698492372E-2</v>
      </c>
    </row>
    <row r="1075" spans="1:16">
      <c r="A1075" s="319">
        <v>45764</v>
      </c>
      <c r="B1075" s="31">
        <v>3.99</v>
      </c>
      <c r="C1075" s="30">
        <v>3.81</v>
      </c>
      <c r="D1075" s="30">
        <v>3.82</v>
      </c>
      <c r="E1075" s="30">
        <v>3.8378999999999999</v>
      </c>
      <c r="F1075" s="29">
        <v>3.95</v>
      </c>
      <c r="G1075" s="159">
        <f t="shared" si="162"/>
        <v>3.0000000000000247E-4</v>
      </c>
      <c r="H1075" s="154">
        <f t="shared" si="163"/>
        <v>4.0000000000000034E-4</v>
      </c>
      <c r="I1075" s="154">
        <f t="shared" si="164"/>
        <v>4.9999999999999828E-4</v>
      </c>
      <c r="J1075" s="154">
        <f t="shared" si="165"/>
        <v>2.179999999999982E-4</v>
      </c>
      <c r="K1075" s="160">
        <f t="shared" si="166"/>
        <v>4.0000000000000034E-4</v>
      </c>
      <c r="L1075" s="161">
        <f t="shared" si="167"/>
        <v>7.575757575757569E-3</v>
      </c>
      <c r="M1075" s="155">
        <f t="shared" si="168"/>
        <v>1.0610079575596787E-2</v>
      </c>
      <c r="N1075" s="155">
        <f t="shared" si="169"/>
        <v>1.3262599469495928E-2</v>
      </c>
      <c r="O1075" s="155">
        <f t="shared" si="170"/>
        <v>5.7126385576897754E-3</v>
      </c>
      <c r="P1075" s="162">
        <f t="shared" si="171"/>
        <v>1.0230179028132946E-2</v>
      </c>
    </row>
    <row r="1076" spans="1:16">
      <c r="A1076" s="319">
        <v>45768</v>
      </c>
      <c r="B1076" s="31">
        <v>3.95</v>
      </c>
      <c r="C1076" s="30">
        <v>3.75</v>
      </c>
      <c r="D1076" s="30">
        <v>3.77</v>
      </c>
      <c r="E1076" s="30">
        <v>3.8452000000000002</v>
      </c>
      <c r="F1076" s="29">
        <v>3.97</v>
      </c>
      <c r="G1076" s="159">
        <f t="shared" si="162"/>
        <v>-4.0000000000000034E-4</v>
      </c>
      <c r="H1076" s="154">
        <f t="shared" si="163"/>
        <v>-6.0000000000000049E-4</v>
      </c>
      <c r="I1076" s="154">
        <f t="shared" si="164"/>
        <v>-4.9999999999999828E-4</v>
      </c>
      <c r="J1076" s="154">
        <f t="shared" si="165"/>
        <v>7.3000000000003062E-5</v>
      </c>
      <c r="K1076" s="160">
        <f t="shared" si="166"/>
        <v>2.0000000000000017E-4</v>
      </c>
      <c r="L1076" s="161">
        <f t="shared" si="167"/>
        <v>-1.0025062656641603E-2</v>
      </c>
      <c r="M1076" s="155">
        <f t="shared" si="168"/>
        <v>-1.5748031496062964E-2</v>
      </c>
      <c r="N1076" s="155">
        <f t="shared" si="169"/>
        <v>-1.308900523560208E-2</v>
      </c>
      <c r="O1076" s="155">
        <f t="shared" si="170"/>
        <v>1.9020818676880324E-3</v>
      </c>
      <c r="P1076" s="162">
        <f t="shared" si="171"/>
        <v>5.0632911392405333E-3</v>
      </c>
    </row>
    <row r="1077" spans="1:16">
      <c r="A1077" s="319">
        <v>45769</v>
      </c>
      <c r="B1077" s="31">
        <v>3.98</v>
      </c>
      <c r="C1077" s="30">
        <v>3.76</v>
      </c>
      <c r="D1077" s="30">
        <v>3.82</v>
      </c>
      <c r="E1077" s="30">
        <v>3.8601000000000001</v>
      </c>
      <c r="F1077" s="29">
        <v>3.98</v>
      </c>
      <c r="G1077" s="159">
        <f t="shared" si="162"/>
        <v>2.9999999999999802E-4</v>
      </c>
      <c r="H1077" s="154">
        <f t="shared" si="163"/>
        <v>9.9999999999997863E-5</v>
      </c>
      <c r="I1077" s="154">
        <f t="shared" si="164"/>
        <v>4.9999999999999828E-4</v>
      </c>
      <c r="J1077" s="154">
        <f t="shared" si="165"/>
        <v>1.4899999999999912E-4</v>
      </c>
      <c r="K1077" s="160">
        <f t="shared" si="166"/>
        <v>9.9999999999997863E-5</v>
      </c>
      <c r="L1077" s="161">
        <f t="shared" si="167"/>
        <v>7.5949367088608E-3</v>
      </c>
      <c r="M1077" s="155">
        <f t="shared" si="168"/>
        <v>2.666666666666595E-3</v>
      </c>
      <c r="N1077" s="155">
        <f t="shared" si="169"/>
        <v>1.3262599469495928E-2</v>
      </c>
      <c r="O1077" s="155">
        <f t="shared" si="170"/>
        <v>3.8749609903254711E-3</v>
      </c>
      <c r="P1077" s="162">
        <f t="shared" si="171"/>
        <v>2.5188916876572875E-3</v>
      </c>
    </row>
    <row r="1078" spans="1:16">
      <c r="A1078" s="319">
        <v>45770</v>
      </c>
      <c r="B1078" s="31">
        <v>4.01</v>
      </c>
      <c r="C1078" s="30">
        <v>3.81</v>
      </c>
      <c r="D1078" s="30">
        <v>3.87</v>
      </c>
      <c r="E1078" s="30">
        <v>3.8845000000000001</v>
      </c>
      <c r="F1078" s="29">
        <v>4</v>
      </c>
      <c r="G1078" s="159">
        <f t="shared" si="162"/>
        <v>2.9999999999999802E-4</v>
      </c>
      <c r="H1078" s="154">
        <f t="shared" si="163"/>
        <v>5.0000000000000261E-4</v>
      </c>
      <c r="I1078" s="154">
        <f t="shared" si="164"/>
        <v>5.0000000000000261E-4</v>
      </c>
      <c r="J1078" s="154">
        <f t="shared" si="165"/>
        <v>2.4399999999999978E-4</v>
      </c>
      <c r="K1078" s="160">
        <f t="shared" si="166"/>
        <v>2.0000000000000017E-4</v>
      </c>
      <c r="L1078" s="161">
        <f t="shared" si="167"/>
        <v>7.5376884422109214E-3</v>
      </c>
      <c r="M1078" s="155">
        <f t="shared" si="168"/>
        <v>1.3297872340425565E-2</v>
      </c>
      <c r="N1078" s="155">
        <f t="shared" si="169"/>
        <v>1.308900523560208E-2</v>
      </c>
      <c r="O1078" s="155">
        <f t="shared" si="170"/>
        <v>6.3210797647730299E-3</v>
      </c>
      <c r="P1078" s="162">
        <f t="shared" si="171"/>
        <v>5.0251256281406143E-3</v>
      </c>
    </row>
    <row r="1079" spans="1:16">
      <c r="A1079" s="319">
        <v>45771</v>
      </c>
      <c r="B1079" s="31">
        <v>3.97</v>
      </c>
      <c r="C1079" s="30">
        <v>3.77</v>
      </c>
      <c r="D1079" s="30">
        <v>3.8</v>
      </c>
      <c r="E1079" s="30">
        <v>3.8283</v>
      </c>
      <c r="F1079" s="29">
        <v>3.91</v>
      </c>
      <c r="G1079" s="159">
        <f t="shared" si="162"/>
        <v>-3.999999999999959E-4</v>
      </c>
      <c r="H1079" s="154">
        <f t="shared" si="163"/>
        <v>-4.0000000000000034E-4</v>
      </c>
      <c r="I1079" s="154">
        <f t="shared" si="164"/>
        <v>-7.0000000000000281E-4</v>
      </c>
      <c r="J1079" s="154">
        <f t="shared" si="165"/>
        <v>-5.6200000000000032E-4</v>
      </c>
      <c r="K1079" s="160">
        <f t="shared" si="166"/>
        <v>-8.9999999999999857E-4</v>
      </c>
      <c r="L1079" s="161">
        <f t="shared" si="167"/>
        <v>-9.9750623441395847E-3</v>
      </c>
      <c r="M1079" s="155">
        <f t="shared" si="168"/>
        <v>-1.049868766404205E-2</v>
      </c>
      <c r="N1079" s="155">
        <f t="shared" si="169"/>
        <v>-1.8087855297157729E-2</v>
      </c>
      <c r="O1079" s="155">
        <f t="shared" si="170"/>
        <v>-1.4467756468013904E-2</v>
      </c>
      <c r="P1079" s="162">
        <f t="shared" si="171"/>
        <v>-2.2499999999999964E-2</v>
      </c>
    </row>
    <row r="1080" spans="1:16">
      <c r="A1080" s="319">
        <v>45772</v>
      </c>
      <c r="B1080" s="32">
        <v>3.95</v>
      </c>
      <c r="C1080" s="33">
        <v>3.74</v>
      </c>
      <c r="D1080" s="33">
        <v>3.76</v>
      </c>
      <c r="E1080" s="33">
        <v>3.7865000000000002</v>
      </c>
      <c r="F1080" s="147">
        <v>3.88</v>
      </c>
      <c r="G1080" s="256">
        <f t="shared" si="162"/>
        <v>-2.0000000000000017E-4</v>
      </c>
      <c r="H1080" s="257">
        <f t="shared" si="163"/>
        <v>-2.9999999999999802E-4</v>
      </c>
      <c r="I1080" s="257">
        <f t="shared" si="164"/>
        <v>-4.0000000000000034E-4</v>
      </c>
      <c r="J1080" s="257">
        <f t="shared" si="165"/>
        <v>-4.179999999999984E-4</v>
      </c>
      <c r="K1080" s="258">
        <f t="shared" si="166"/>
        <v>-3.0000000000000247E-4</v>
      </c>
      <c r="L1080" s="163">
        <f t="shared" si="167"/>
        <v>-5.0377833753149082E-3</v>
      </c>
      <c r="M1080" s="164">
        <f t="shared" si="168"/>
        <v>-7.9575596816975347E-3</v>
      </c>
      <c r="N1080" s="164">
        <f t="shared" si="169"/>
        <v>-1.0526315789473717E-2</v>
      </c>
      <c r="O1080" s="164">
        <f t="shared" si="170"/>
        <v>-1.0918684533605005E-2</v>
      </c>
      <c r="P1080" s="165">
        <f t="shared" si="171"/>
        <v>-7.6726342710997653E-3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4EA7-0EF9-824C-8688-8D605E4D8376}">
  <dimension ref="B1:W267"/>
  <sheetViews>
    <sheetView zoomScale="106" workbookViewId="0">
      <selection activeCell="B3" sqref="B3"/>
    </sheetView>
  </sheetViews>
  <sheetFormatPr baseColWidth="10" defaultRowHeight="15"/>
  <cols>
    <col min="3" max="4" width="11.83203125" bestFit="1" customWidth="1"/>
    <col min="6" max="6" width="17.6640625" bestFit="1" customWidth="1"/>
    <col min="7" max="7" width="16" bestFit="1" customWidth="1"/>
    <col min="9" max="9" width="11.83203125" bestFit="1" customWidth="1"/>
    <col min="10" max="10" width="11" customWidth="1"/>
    <col min="13" max="13" width="12.1640625" bestFit="1" customWidth="1"/>
    <col min="15" max="15" width="17.6640625" bestFit="1" customWidth="1"/>
    <col min="16" max="16" width="16" bestFit="1" customWidth="1"/>
    <col min="23" max="23" width="12.5" customWidth="1"/>
  </cols>
  <sheetData>
    <row r="1" spans="2:23" ht="16" thickBot="1"/>
    <row r="2" spans="2:23" ht="16" thickBot="1">
      <c r="B2" s="59" t="s">
        <v>367</v>
      </c>
      <c r="C2" s="274" t="s">
        <v>363</v>
      </c>
      <c r="D2" s="275"/>
    </row>
    <row r="3" spans="2:23">
      <c r="L3" s="94">
        <v>1</v>
      </c>
      <c r="M3" s="96"/>
      <c r="O3" s="109">
        <v>3</v>
      </c>
      <c r="P3" s="106"/>
      <c r="S3" s="271" t="s">
        <v>366</v>
      </c>
      <c r="T3" s="272"/>
      <c r="U3" s="272"/>
      <c r="V3" s="272"/>
      <c r="W3" s="273"/>
    </row>
    <row r="4" spans="2:23" ht="17">
      <c r="B4" s="14" t="s">
        <v>6</v>
      </c>
      <c r="C4" s="66" t="s">
        <v>27</v>
      </c>
      <c r="D4" s="16" t="s">
        <v>20</v>
      </c>
      <c r="E4" s="17">
        <v>7000</v>
      </c>
      <c r="L4" s="95" t="s">
        <v>304</v>
      </c>
      <c r="M4" s="92" cm="1">
        <f t="array" ref="M4">SQRT((MMULT(MMULT(F11:G11,C11:D12),TRANSPOSE(F11:G11))))</f>
        <v>3657708.2892930978</v>
      </c>
      <c r="O4" s="107" t="s">
        <v>313</v>
      </c>
      <c r="P4" s="105">
        <f>_xlfn.PERCENTILE.INC(P18:P267,0.01)</f>
        <v>-0.51498906434485459</v>
      </c>
      <c r="S4" s="230" t="s">
        <v>314</v>
      </c>
      <c r="T4" s="231"/>
      <c r="U4" s="231"/>
      <c r="V4" s="231"/>
      <c r="W4" s="232"/>
    </row>
    <row r="5" spans="2:23">
      <c r="B5" s="15" t="s">
        <v>22</v>
      </c>
      <c r="C5" s="18" t="s">
        <v>28</v>
      </c>
      <c r="D5" s="19" t="s">
        <v>8</v>
      </c>
      <c r="E5" s="20">
        <v>2000</v>
      </c>
      <c r="L5" s="54" t="s">
        <v>305</v>
      </c>
      <c r="M5" s="92">
        <f>_xlfn.NORM.S.INV(0.99)*M4</f>
        <v>8509101.9026585594</v>
      </c>
      <c r="O5" s="54" t="s">
        <v>310</v>
      </c>
      <c r="P5" s="69">
        <f>ABS(P4)*O17</f>
        <v>14536382.702310648</v>
      </c>
      <c r="S5" s="233" t="s">
        <v>315</v>
      </c>
      <c r="T5" s="234"/>
      <c r="U5" s="234"/>
      <c r="V5" s="234"/>
      <c r="W5" s="235"/>
    </row>
    <row r="6" spans="2:23">
      <c r="L6" s="54" t="s">
        <v>306</v>
      </c>
      <c r="M6" s="88">
        <f>M4*EXP(-(_xlfn.NORM.S.INV(0.99)^2)/2)/(SQRT(2*PI())*0.01)</f>
        <v>9748576.1465007029</v>
      </c>
      <c r="O6" s="108" t="s">
        <v>311</v>
      </c>
      <c r="P6" s="105">
        <f>AVERAGEIF(P18:P267,"&lt;-0.514999")</f>
        <v>-0.63109504852371889</v>
      </c>
      <c r="S6" s="233" t="s">
        <v>365</v>
      </c>
      <c r="T6" s="234"/>
      <c r="U6" s="234"/>
      <c r="V6" s="234"/>
      <c r="W6" s="235"/>
    </row>
    <row r="7" spans="2:23">
      <c r="I7" s="81" t="s">
        <v>307</v>
      </c>
      <c r="J7" s="67" t="s">
        <v>308</v>
      </c>
      <c r="O7" s="54" t="s">
        <v>312</v>
      </c>
      <c r="P7" s="69">
        <f>ABS(P6)*O17</f>
        <v>17813658.157080717</v>
      </c>
      <c r="S7" s="233" t="s">
        <v>316</v>
      </c>
      <c r="T7" s="234"/>
      <c r="U7" s="234"/>
      <c r="V7" s="234"/>
      <c r="W7" s="235"/>
    </row>
    <row r="8" spans="2:23">
      <c r="I8" s="85" cm="1">
        <f t="array" ref="I8">MMULT(I11:J11,Underlying_Assets!C3:C4)</f>
        <v>0.84408633605161842</v>
      </c>
      <c r="J8" s="86">
        <f>SQRT(_xlfn.VAR.S(Underlying_Assets!K9:K295))</f>
        <v>4.5202851716910041E-3</v>
      </c>
      <c r="L8" s="89">
        <v>2</v>
      </c>
      <c r="M8" s="90"/>
      <c r="S8" s="233" t="s">
        <v>317</v>
      </c>
      <c r="T8" s="234"/>
      <c r="U8" s="234"/>
      <c r="V8" s="234"/>
      <c r="W8" s="235"/>
    </row>
    <row r="9" spans="2:23" ht="17">
      <c r="L9" s="91" t="s">
        <v>304</v>
      </c>
      <c r="M9" s="92">
        <f>SUM(F11:G11)*I8*J8</f>
        <v>1349876.654331286</v>
      </c>
      <c r="S9" s="233" t="s">
        <v>318</v>
      </c>
      <c r="T9" s="234"/>
      <c r="U9" s="234"/>
      <c r="V9" s="234"/>
      <c r="W9" s="235"/>
    </row>
    <row r="10" spans="2:23">
      <c r="B10" s="42" t="s">
        <v>26</v>
      </c>
      <c r="C10" s="42" t="s">
        <v>20</v>
      </c>
      <c r="D10" s="43" t="s">
        <v>8</v>
      </c>
      <c r="F10" s="68" t="s">
        <v>300</v>
      </c>
      <c r="G10" s="67" t="s">
        <v>301</v>
      </c>
      <c r="I10" s="73" t="s">
        <v>303</v>
      </c>
      <c r="J10" s="72" t="s">
        <v>302</v>
      </c>
      <c r="L10" s="54" t="s">
        <v>305</v>
      </c>
      <c r="M10" s="92">
        <f>_xlfn.NORM.S.INV(0.99)*M9</f>
        <v>3140282.6850209502</v>
      </c>
      <c r="S10" s="236" t="s">
        <v>319</v>
      </c>
      <c r="T10" s="237"/>
      <c r="U10" s="237"/>
      <c r="V10" s="237"/>
      <c r="W10" s="238"/>
    </row>
    <row r="11" spans="2:23">
      <c r="B11" s="40" t="s">
        <v>20</v>
      </c>
      <c r="C11" s="39">
        <f>_xlfn.COVARIANCE.S(Underlying_Assets!H9:H365,Underlying_Assets!H9:H365)</f>
        <v>1.3124840820565123E-4</v>
      </c>
      <c r="D11" s="46">
        <f>_xlfn.COVARIANCE.S(Underlying_Assets!H9:H365,Underlying_Assets!I9:I365)</f>
        <v>4.8345612060606203E-5</v>
      </c>
      <c r="F11" s="69">
        <f>(I17-1)*Option_Portfolio!B4*1000*-1*C17</f>
        <v>258682358.96862727</v>
      </c>
      <c r="G11" s="65">
        <f>(J17-1)*Option_Portfolio!B4*1000*-1*D17</f>
        <v>95104243.286739156</v>
      </c>
      <c r="I11" s="74">
        <f>F11/SUM($F$11:$G$11)</f>
        <v>0.73118189699537561</v>
      </c>
      <c r="J11" s="70">
        <f>G11/SUM($F$11:$G$11)</f>
        <v>0.26881810300462433</v>
      </c>
      <c r="L11" s="54" t="s">
        <v>306</v>
      </c>
      <c r="M11" s="92">
        <f>M9*EXP(-(_xlfn.NORM.S.INV(0.99)^2)/2)/(SQRT(2*PI())*0.01)</f>
        <v>3597710.454836566</v>
      </c>
    </row>
    <row r="12" spans="2:23">
      <c r="B12" s="41" t="s">
        <v>8</v>
      </c>
      <c r="C12" s="48">
        <f>_xlfn.COVARIANCE.S(Underlying_Assets!I10:I366,Underlying_Assets!H10:H366)</f>
        <v>4.8224643400932851E-5</v>
      </c>
      <c r="D12" s="47">
        <f>_xlfn.COVARIANCE.S(Underlying_Assets!I10:I366,Underlying_Assets!I10:I366)</f>
        <v>2.4548162847285083E-4</v>
      </c>
    </row>
    <row r="13" spans="2:23">
      <c r="B13" s="13"/>
    </row>
    <row r="16" spans="2:23">
      <c r="B16" s="49" t="s">
        <v>12</v>
      </c>
      <c r="C16" s="50" t="s">
        <v>43</v>
      </c>
      <c r="D16" s="55" t="s">
        <v>36</v>
      </c>
      <c r="E16" s="50" t="s">
        <v>44</v>
      </c>
      <c r="F16" s="55" t="s">
        <v>37</v>
      </c>
      <c r="G16" s="50" t="s">
        <v>45</v>
      </c>
      <c r="H16" s="55" t="s">
        <v>38</v>
      </c>
      <c r="I16" s="56" t="s">
        <v>46</v>
      </c>
      <c r="J16" s="52" t="s">
        <v>39</v>
      </c>
      <c r="K16" s="56" t="s">
        <v>47</v>
      </c>
      <c r="L16" s="52" t="s">
        <v>40</v>
      </c>
      <c r="M16" s="51" t="s">
        <v>299</v>
      </c>
      <c r="N16" s="52" t="s">
        <v>298</v>
      </c>
      <c r="O16" s="54" t="s">
        <v>41</v>
      </c>
      <c r="P16" s="53" t="s">
        <v>42</v>
      </c>
      <c r="Q16" s="13"/>
      <c r="T16" s="13"/>
    </row>
    <row r="17" spans="2:16">
      <c r="B17" s="34">
        <v>45407</v>
      </c>
      <c r="C17" s="60">
        <v>85.74</v>
      </c>
      <c r="D17" s="111">
        <v>144.80000000000001</v>
      </c>
      <c r="E17" s="60">
        <f>(LN(C17/Option_Portfolio!$E$4)+(Option_Portfolio!$H$4+0.5*Option_Portfolio!$G$4^2)*Option_Portfolio!$F$4)/(Option_Portfolio!$G$4*SQRT(Option_Portfolio!$F$4))</f>
        <v>0.17380854952474384</v>
      </c>
      <c r="F17" s="61">
        <f>(LN(D17/Option_Portfolio!$E$5)+(Option_Portfolio!$H$5+0.5*Option_Portfolio!$G$5^2)*Option_Portfolio!$F$5)/(Option_Portfolio!$G$5*SQRT(Option_Portfolio!$F$5))</f>
        <v>1.317543947603435</v>
      </c>
      <c r="G17" s="60">
        <f>E17-Option_Portfolio!$G$4*SQRT(Option_Portfolio!$F$4)</f>
        <v>5.3600396723030741E-2</v>
      </c>
      <c r="H17" s="61">
        <f>F17-Option_Portfolio!$G$5*SQRT(Option_Portfolio!$F$5)</f>
        <v>1.1619804557423945</v>
      </c>
      <c r="I17" s="113">
        <f>_xlfn.NORM.S.DIST(E17,TRUE)</f>
        <v>0.56899203744105553</v>
      </c>
      <c r="J17" s="114">
        <f>_xlfn.NORM.S.DIST(F17,TRUE)</f>
        <v>0.90617181996178064</v>
      </c>
      <c r="K17" s="113">
        <f>_xlfn.NORM.S.DIST(G17,TRUE)</f>
        <v>0.52137322978555622</v>
      </c>
      <c r="L17" s="114">
        <f>_xlfn.NORM.S.DIST(H17,TRUE)</f>
        <v>0.87737829806466738</v>
      </c>
      <c r="M17" s="60">
        <f>(1-K17)*Option_Portfolio!$E$4*EXP(-Option_Portfolio!$H$4*Option_Portfolio!$F$4)-(1-I17)*C17</f>
        <v>3.5257440755162008</v>
      </c>
      <c r="N17" s="114">
        <f>J17*D17-L17*Option_Portfolio!$E$5*EXP(-Option_Portfolio!$H$5*Option_Portfolio!$F$5)</f>
        <v>26.45339686480412</v>
      </c>
      <c r="O17" s="119">
        <f>M17 * -Option_Portfolio!$B$4 * 1000 + N17 * Option_Portfolio!$B$5 * 1000</f>
        <v>28226585.200994831</v>
      </c>
      <c r="P17" s="122">
        <v>0</v>
      </c>
    </row>
    <row r="18" spans="2:16">
      <c r="B18" s="57" t="s">
        <v>48</v>
      </c>
      <c r="C18" s="62">
        <f>$C$17*(1+Underlying_Assets!H9)</f>
        <v>85.083217270194979</v>
      </c>
      <c r="D18" s="8">
        <f>$D$17*(1+Underlying_Assets!I9)</f>
        <v>143.15585657370519</v>
      </c>
      <c r="E18" s="62">
        <f>(LN(C18/Option_Portfolio!$E$4)+(Option_Portfolio!$H$4+0.5*Option_Portfolio!$G$4^2)*Option_Portfolio!$F$4)/(Option_Portfolio!$G$4*SQRT(Option_Portfolio!$F$4))</f>
        <v>0.10983903725627919</v>
      </c>
      <c r="F18" s="63">
        <f>(LN(D18/Option_Portfolio!$E$5)+(Option_Portfolio!$H$5+0.5*Option_Portfolio!$G$5^2)*Option_Portfolio!$F$5)/(Option_Portfolio!$G$5*SQRT(Option_Portfolio!$F$5))</f>
        <v>1.2441363828739498</v>
      </c>
      <c r="G18" s="62">
        <f>E18-Option_Portfolio!$G$4*SQRT(Option_Portfolio!$F$4)</f>
        <v>-1.0369115545433905E-2</v>
      </c>
      <c r="H18" s="63">
        <f>F18-Option_Portfolio!$G$5*SQRT(Option_Portfolio!$F$5)</f>
        <v>1.0885728910129093</v>
      </c>
      <c r="I18" s="115">
        <f t="shared" ref="I18:I81" si="0">_xlfn.NORM.S.DIST(E18,TRUE)</f>
        <v>0.5437314844604485</v>
      </c>
      <c r="J18" s="116">
        <f t="shared" ref="J18:J81" si="1">_xlfn.NORM.S.DIST(F18,TRUE)</f>
        <v>0.89327531369089364</v>
      </c>
      <c r="K18" s="115">
        <f t="shared" ref="K18:K81" si="2">_xlfn.NORM.S.DIST(G18,TRUE)</f>
        <v>0.49586339552564895</v>
      </c>
      <c r="L18" s="116">
        <f t="shared" ref="L18:L81" si="3">_xlfn.NORM.S.DIST(H18,TRUE)</f>
        <v>0.86182886162793715</v>
      </c>
      <c r="M18" s="62">
        <f>(1-K18)*Option_Portfolio!$E$4*EXP(-Option_Portfolio!$H$4*Option_Portfolio!$F$4)-(1-I18)*C18</f>
        <v>3.817094835732405</v>
      </c>
      <c r="N18" s="116">
        <f>J18*D18-L18*Option_Portfolio!$E$5*EXP(-Option_Portfolio!$H$5*Option_Portfolio!$F$5)</f>
        <v>24.973936017778584</v>
      </c>
      <c r="O18" s="120">
        <f>M18 * -Option_Portfolio!$B$4 * 1000 + N18 * Option_Portfolio!$B$5 * 1000</f>
        <v>23228208.185430337</v>
      </c>
      <c r="P18" s="123">
        <f>(O18/O17)-1</f>
        <v>-0.17708047147652595</v>
      </c>
    </row>
    <row r="19" spans="2:16">
      <c r="B19" s="57" t="s">
        <v>49</v>
      </c>
      <c r="C19" s="62">
        <f>$C$17*(1+Underlying_Assets!H10)</f>
        <v>85.843145864661651</v>
      </c>
      <c r="D19" s="8">
        <f>$D$17*(1+Underlying_Assets!I10)</f>
        <v>144.56659278662099</v>
      </c>
      <c r="E19" s="62">
        <f>(LN(C19/Option_Portfolio!$E$4)+(Option_Portfolio!$H$4+0.5*Option_Portfolio!$G$4^2)*Option_Portfolio!$F$4)/(Option_Portfolio!$G$4*SQRT(Option_Portfolio!$F$4))</f>
        <v>0.18381023790484607</v>
      </c>
      <c r="F19" s="63">
        <f>(LN(D19/Option_Portfolio!$E$5)+(Option_Portfolio!$H$5+0.5*Option_Portfolio!$G$5^2)*Option_Portfolio!$F$5)/(Option_Portfolio!$G$5*SQRT(Option_Portfolio!$F$5))</f>
        <v>1.3071737199616331</v>
      </c>
      <c r="G19" s="62">
        <f>E19-Option_Portfolio!$G$4*SQRT(Option_Portfolio!$F$4)</f>
        <v>6.3602085103132977E-2</v>
      </c>
      <c r="H19" s="63">
        <f>F19-Option_Portfolio!$G$5*SQRT(Option_Portfolio!$F$5)</f>
        <v>1.1516102281005927</v>
      </c>
      <c r="I19" s="115">
        <f t="shared" si="0"/>
        <v>0.57291883785049991</v>
      </c>
      <c r="J19" s="116">
        <f t="shared" si="1"/>
        <v>0.90442314065197638</v>
      </c>
      <c r="K19" s="115">
        <f t="shared" si="2"/>
        <v>0.5253564642831281</v>
      </c>
      <c r="L19" s="116">
        <f t="shared" si="3"/>
        <v>0.87525936174976404</v>
      </c>
      <c r="M19" s="62">
        <f>(1-K19)*Option_Portfolio!$E$4*EXP(-Option_Portfolio!$H$4*Option_Portfolio!$F$4)-(1-I19)*C19</f>
        <v>3.4814900040973882</v>
      </c>
      <c r="N19" s="116">
        <f>J19*D19-L19*Option_Portfolio!$E$5*EXP(-Option_Portfolio!$H$5*Option_Portfolio!$F$5)</f>
        <v>26.242093384882608</v>
      </c>
      <c r="O19" s="120">
        <f>M19 * -Option_Portfolio!$B$4 * 1000 + N19 * Option_Portfolio!$B$5 * 1000</f>
        <v>28113756.741083503</v>
      </c>
      <c r="P19" s="123">
        <f t="shared" ref="P19:P82" si="4">(O19/O18)-1</f>
        <v>0.21032825763622953</v>
      </c>
    </row>
    <row r="20" spans="2:16">
      <c r="B20" s="57" t="s">
        <v>50</v>
      </c>
      <c r="C20" s="62">
        <f>$C$17*(1+Underlying_Assets!H11)</f>
        <v>85.525370982276954</v>
      </c>
      <c r="D20" s="8">
        <f>$D$17*(1+Underlying_Assets!I11)</f>
        <v>144.42010090817359</v>
      </c>
      <c r="E20" s="62">
        <f>(LN(C20/Option_Portfolio!$E$4)+(Option_Portfolio!$H$4+0.5*Option_Portfolio!$G$4^2)*Option_Portfolio!$F$4)/(Option_Portfolio!$G$4*SQRT(Option_Portfolio!$F$4))</f>
        <v>0.15295811175085705</v>
      </c>
      <c r="F20" s="63">
        <f>(LN(D20/Option_Portfolio!$E$5)+(Option_Portfolio!$H$5+0.5*Option_Portfolio!$G$5^2)*Option_Portfolio!$F$5)/(Option_Portfolio!$G$5*SQRT(Option_Portfolio!$F$5))</f>
        <v>1.3006565649399022</v>
      </c>
      <c r="G20" s="62">
        <f>E20-Option_Portfolio!$G$4*SQRT(Option_Portfolio!$F$4)</f>
        <v>3.2749958949143954E-2</v>
      </c>
      <c r="H20" s="63">
        <f>F20-Option_Portfolio!$G$5*SQRT(Option_Portfolio!$F$5)</f>
        <v>1.1450930730788618</v>
      </c>
      <c r="I20" s="115">
        <f t="shared" si="0"/>
        <v>0.56078434576185587</v>
      </c>
      <c r="J20" s="116">
        <f t="shared" si="1"/>
        <v>0.90331198201176277</v>
      </c>
      <c r="K20" s="115">
        <f t="shared" si="2"/>
        <v>0.51306300812157279</v>
      </c>
      <c r="L20" s="116">
        <f t="shared" si="3"/>
        <v>0.87391469769496966</v>
      </c>
      <c r="M20" s="62">
        <f>(1-K20)*Option_Portfolio!$E$4*EXP(-Option_Portfolio!$H$4*Option_Portfolio!$F$4)-(1-I20)*C20</f>
        <v>3.6191308275236125</v>
      </c>
      <c r="N20" s="116">
        <f>J20*D20-L20*Option_Portfolio!$E$5*EXP(-Option_Portfolio!$H$5*Option_Portfolio!$F$5)</f>
        <v>26.109683998933647</v>
      </c>
      <c r="O20" s="120">
        <f>M20 * -Option_Portfolio!$B$4 * 1000 + N20 * Option_Portfolio!$B$5 * 1000</f>
        <v>26885452.205202006</v>
      </c>
      <c r="P20" s="123">
        <f t="shared" si="4"/>
        <v>-4.3690515899162508E-2</v>
      </c>
    </row>
    <row r="21" spans="2:16">
      <c r="B21" s="57" t="s">
        <v>51</v>
      </c>
      <c r="C21" s="62">
        <f>$C$17*(1+Underlying_Assets!H12)</f>
        <v>85.266631198554492</v>
      </c>
      <c r="D21" s="8">
        <f>$D$17*(1+Underlying_Assets!I12)</f>
        <v>144.59490084985836</v>
      </c>
      <c r="E21" s="62">
        <f>(LN(C21/Option_Portfolio!$E$4)+(Option_Portfolio!$H$4+0.5*Option_Portfolio!$G$4^2)*Option_Portfolio!$F$4)/(Option_Portfolio!$G$4*SQRT(Option_Portfolio!$F$4))</f>
        <v>0.12775279930178879</v>
      </c>
      <c r="F21" s="63">
        <f>(LN(D21/Option_Portfolio!$E$5)+(Option_Portfolio!$H$5+0.5*Option_Portfolio!$G$5^2)*Option_Portfolio!$F$5)/(Option_Portfolio!$G$5*SQRT(Option_Portfolio!$F$5))</f>
        <v>1.3084323323779319</v>
      </c>
      <c r="G21" s="62">
        <f>E21-Option_Portfolio!$G$4*SQRT(Option_Portfolio!$F$4)</f>
        <v>7.5446465000756913E-3</v>
      </c>
      <c r="H21" s="63">
        <f>F21-Option_Portfolio!$G$5*SQRT(Option_Portfolio!$F$5)</f>
        <v>1.1528688405168914</v>
      </c>
      <c r="I21" s="115">
        <f t="shared" si="0"/>
        <v>0.55082769770773976</v>
      </c>
      <c r="J21" s="116">
        <f t="shared" si="1"/>
        <v>0.90463664394835519</v>
      </c>
      <c r="K21" s="115">
        <f t="shared" si="2"/>
        <v>0.50300984992524467</v>
      </c>
      <c r="L21" s="116">
        <f t="shared" si="3"/>
        <v>0.87551788836589928</v>
      </c>
      <c r="M21" s="62">
        <f>(1-K21)*Option_Portfolio!$E$4*EXP(-Option_Portfolio!$H$4*Option_Portfolio!$F$4)-(1-I21)*C21</f>
        <v>3.7340600714593819</v>
      </c>
      <c r="N21" s="116">
        <f>J21*D21-L21*Option_Portfolio!$E$5*EXP(-Option_Portfolio!$H$5*Option_Portfolio!$F$5)</f>
        <v>26.267698875201575</v>
      </c>
      <c r="O21" s="120">
        <f>M21 * -Option_Portfolio!$B$4 * 1000 + N21 * Option_Portfolio!$B$5 * 1000</f>
        <v>26396977.250187475</v>
      </c>
      <c r="P21" s="123">
        <f t="shared" si="4"/>
        <v>-1.8168746104259892E-2</v>
      </c>
    </row>
    <row r="22" spans="2:16">
      <c r="B22" s="57" t="s">
        <v>52</v>
      </c>
      <c r="C22" s="62">
        <f>$C$17*(1+Underlying_Assets!H13)</f>
        <v>86.466976885030789</v>
      </c>
      <c r="D22" s="8">
        <f>$D$17*(1+Underlying_Assets!I13)</f>
        <v>144.30119554204663</v>
      </c>
      <c r="E22" s="62">
        <f>(LN(C22/Option_Portfolio!$E$4)+(Option_Portfolio!$H$4+0.5*Option_Portfolio!$G$4^2)*Option_Portfolio!$F$4)/(Option_Portfolio!$G$4*SQRT(Option_Portfolio!$F$4))</f>
        <v>0.24404596323756864</v>
      </c>
      <c r="F22" s="63">
        <f>(LN(D22/Option_Portfolio!$E$5)+(Option_Portfolio!$H$5+0.5*Option_Portfolio!$G$5^2)*Option_Portfolio!$F$5)/(Option_Portfolio!$G$5*SQRT(Option_Portfolio!$F$5))</f>
        <v>1.2953618208707283</v>
      </c>
      <c r="G22" s="62">
        <f>E22-Option_Portfolio!$G$4*SQRT(Option_Portfolio!$F$4)</f>
        <v>0.12383781043585554</v>
      </c>
      <c r="H22" s="63">
        <f>F22-Option_Portfolio!$G$5*SQRT(Option_Portfolio!$F$5)</f>
        <v>1.1397983290096878</v>
      </c>
      <c r="I22" s="115">
        <f t="shared" si="0"/>
        <v>0.59640238881799645</v>
      </c>
      <c r="J22" s="116">
        <f t="shared" si="1"/>
        <v>0.90240227893523339</v>
      </c>
      <c r="K22" s="115">
        <f t="shared" si="2"/>
        <v>0.54927815308746353</v>
      </c>
      <c r="L22" s="116">
        <f t="shared" si="3"/>
        <v>0.87281483496969647</v>
      </c>
      <c r="M22" s="62">
        <f>(1-K22)*Option_Portfolio!$E$4*EXP(-Option_Portfolio!$H$4*Option_Portfolio!$F$4)-(1-I22)*C22</f>
        <v>3.2224129805056023</v>
      </c>
      <c r="N22" s="116">
        <f>J22*D22-L22*Option_Portfolio!$E$5*EXP(-Option_Portfolio!$H$5*Option_Portfolio!$F$5)</f>
        <v>26.002329371899677</v>
      </c>
      <c r="O22" s="120">
        <f>M22 * -Option_Portfolio!$B$4 * 1000 + N22 * Option_Portfolio!$B$5 * 1000</f>
        <v>29447767.880260136</v>
      </c>
      <c r="P22" s="123">
        <f t="shared" si="4"/>
        <v>0.11557348408333357</v>
      </c>
    </row>
    <row r="23" spans="2:16">
      <c r="B23" s="57" t="s">
        <v>53</v>
      </c>
      <c r="C23" s="62">
        <f>$C$17*(1+Underlying_Assets!H14)</f>
        <v>85.285168651786606</v>
      </c>
      <c r="D23" s="8">
        <f>$D$17*(1+Underlying_Assets!I14)</f>
        <v>144.2111427409516</v>
      </c>
      <c r="E23" s="62">
        <f>(LN(C23/Option_Portfolio!$E$4)+(Option_Portfolio!$H$4+0.5*Option_Portfolio!$G$4^2)*Option_Portfolio!$F$4)/(Option_Portfolio!$G$4*SQRT(Option_Portfolio!$F$4))</f>
        <v>0.12956117988479693</v>
      </c>
      <c r="F23" s="63">
        <f>(LN(D23/Option_Portfolio!$E$5)+(Option_Portfolio!$H$5+0.5*Option_Portfolio!$G$5^2)*Option_Portfolio!$F$5)/(Option_Portfolio!$G$5*SQRT(Option_Portfolio!$F$5))</f>
        <v>1.2913489502086419</v>
      </c>
      <c r="G23" s="62">
        <f>E23-Option_Portfolio!$G$4*SQRT(Option_Portfolio!$F$4)</f>
        <v>9.3530270830838314E-3</v>
      </c>
      <c r="H23" s="63">
        <f>F23-Option_Portfolio!$G$5*SQRT(Option_Portfolio!$F$5)</f>
        <v>1.1357854583476015</v>
      </c>
      <c r="I23" s="115">
        <f t="shared" si="0"/>
        <v>0.55154319086870884</v>
      </c>
      <c r="J23" s="116">
        <f t="shared" si="1"/>
        <v>0.90170864803043749</v>
      </c>
      <c r="K23" s="115">
        <f t="shared" si="2"/>
        <v>0.50373126355182984</v>
      </c>
      <c r="L23" s="116">
        <f t="shared" si="3"/>
        <v>0.87197681778439096</v>
      </c>
      <c r="M23" s="62">
        <f>(1-K23)*Option_Portfolio!$E$4*EXP(-Option_Portfolio!$H$4*Option_Portfolio!$F$4)-(1-I23)*C23</f>
        <v>3.7257401931204157</v>
      </c>
      <c r="N23" s="116">
        <f>J23*D23-L23*Option_Portfolio!$E$5*EXP(-Option_Portfolio!$H$5*Option_Portfolio!$F$5)</f>
        <v>25.92109672040479</v>
      </c>
      <c r="O23" s="120">
        <f>M23 * -Option_Portfolio!$B$4 * 1000 + N23 * Option_Portfolio!$B$5 * 1000</f>
        <v>25762012.088966675</v>
      </c>
      <c r="P23" s="123">
        <f t="shared" si="4"/>
        <v>-0.1251624845142898</v>
      </c>
    </row>
    <row r="24" spans="2:16">
      <c r="B24" s="57" t="s">
        <v>54</v>
      </c>
      <c r="C24" s="62">
        <f>$C$17*(1+Underlying_Assets!H15)</f>
        <v>85.325880458844836</v>
      </c>
      <c r="D24" s="8">
        <f>$D$17*(1+Underlying_Assets!I15)</f>
        <v>146.63291139240508</v>
      </c>
      <c r="E24" s="62">
        <f>(LN(C24/Option_Portfolio!$E$4)+(Option_Portfolio!$H$4+0.5*Option_Portfolio!$G$4^2)*Option_Portfolio!$F$4)/(Option_Portfolio!$G$4*SQRT(Option_Portfolio!$F$4))</f>
        <v>0.1335313517418738</v>
      </c>
      <c r="F24" s="63">
        <f>(LN(D24/Option_Portfolio!$E$5)+(Option_Portfolio!$H$5+0.5*Option_Portfolio!$G$5^2)*Option_Portfolio!$F$5)/(Option_Portfolio!$G$5*SQRT(Option_Portfolio!$F$5))</f>
        <v>1.3984034221265218</v>
      </c>
      <c r="G24" s="62">
        <f>E24-Option_Portfolio!$G$4*SQRT(Option_Portfolio!$F$4)</f>
        <v>1.3323198940160708E-2</v>
      </c>
      <c r="H24" s="63">
        <f>F24-Option_Portfolio!$G$5*SQRT(Option_Portfolio!$F$5)</f>
        <v>1.2428399302654813</v>
      </c>
      <c r="I24" s="115">
        <f t="shared" si="0"/>
        <v>0.55311341441292106</v>
      </c>
      <c r="J24" s="116">
        <f t="shared" si="1"/>
        <v>0.91900402194500441</v>
      </c>
      <c r="K24" s="115">
        <f t="shared" si="2"/>
        <v>0.50531503012389778</v>
      </c>
      <c r="L24" s="116">
        <f t="shared" si="3"/>
        <v>0.89303658752201576</v>
      </c>
      <c r="M24" s="62">
        <f>(1-K24)*Option_Portfolio!$E$4*EXP(-Option_Portfolio!$H$4*Option_Portfolio!$F$4)-(1-I24)*C24</f>
        <v>3.7075146746766876</v>
      </c>
      <c r="N24" s="116">
        <f>J24*D24-L24*Option_Portfolio!$E$5*EXP(-Option_Portfolio!$H$5*Option_Portfolio!$F$5)</f>
        <v>28.126329443919275</v>
      </c>
      <c r="O24" s="120">
        <f>M24 * -Option_Portfolio!$B$4 * 1000 + N24 * Option_Portfolio!$B$5 * 1000</f>
        <v>30300056.165101737</v>
      </c>
      <c r="P24" s="123">
        <f t="shared" si="4"/>
        <v>0.17615254819628823</v>
      </c>
    </row>
    <row r="25" spans="2:16">
      <c r="B25" s="57" t="s">
        <v>55</v>
      </c>
      <c r="C25" s="62">
        <f>$C$17*(1+Underlying_Assets!H16)</f>
        <v>86.173468149646112</v>
      </c>
      <c r="D25" s="8">
        <f>$D$17*(1+Underlying_Assets!I16)</f>
        <v>144.65403225806452</v>
      </c>
      <c r="E25" s="62">
        <f>(LN(C25/Option_Portfolio!$E$4)+(Option_Portfolio!$H$4+0.5*Option_Portfolio!$G$4^2)*Option_Portfolio!$F$4)/(Option_Portfolio!$G$4*SQRT(Option_Portfolio!$F$4))</f>
        <v>0.21575973932615702</v>
      </c>
      <c r="F25" s="63">
        <f>(LN(D25/Option_Portfolio!$E$5)+(Option_Portfolio!$H$5+0.5*Option_Portfolio!$G$5^2)*Option_Portfolio!$F$5)/(Option_Portfolio!$G$5*SQRT(Option_Portfolio!$F$5))</f>
        <v>1.3110605950968861</v>
      </c>
      <c r="G25" s="62">
        <f>E25-Option_Portfolio!$G$4*SQRT(Option_Portfolio!$F$4)</f>
        <v>9.5551586524443927E-2</v>
      </c>
      <c r="H25" s="63">
        <f>F25-Option_Portfolio!$G$5*SQRT(Option_Portfolio!$F$5)</f>
        <v>1.1554971032358456</v>
      </c>
      <c r="I25" s="115">
        <f t="shared" si="0"/>
        <v>0.58541248376062116</v>
      </c>
      <c r="J25" s="116">
        <f t="shared" si="1"/>
        <v>0.90508135382940103</v>
      </c>
      <c r="K25" s="115">
        <f t="shared" si="2"/>
        <v>0.53806164123066758</v>
      </c>
      <c r="L25" s="116">
        <f t="shared" si="3"/>
        <v>0.87605654091400853</v>
      </c>
      <c r="M25" s="62">
        <f>(1-K25)*Option_Portfolio!$E$4*EXP(-Option_Portfolio!$H$4*Option_Portfolio!$F$4)-(1-I25)*C25</f>
        <v>3.3424825595331384</v>
      </c>
      <c r="N25" s="116">
        <f>J25*D25-L25*Option_Portfolio!$E$5*EXP(-Option_Portfolio!$H$5*Option_Portfolio!$F$5)</f>
        <v>26.32120447047329</v>
      </c>
      <c r="O25" s="120">
        <f>M25 * -Option_Portfolio!$B$4 * 1000 + N25 * Option_Portfolio!$B$5 * 1000</f>
        <v>29245031.02421461</v>
      </c>
      <c r="P25" s="123">
        <f t="shared" si="4"/>
        <v>-3.4819247038302747E-2</v>
      </c>
    </row>
    <row r="26" spans="2:16">
      <c r="B26" s="57" t="s">
        <v>56</v>
      </c>
      <c r="C26" s="62">
        <f>$C$17*(1+Underlying_Assets!H17)</f>
        <v>85.912515090543252</v>
      </c>
      <c r="D26" s="8">
        <f>$D$17*(1+Underlying_Assets!I17)</f>
        <v>144.85844601412717</v>
      </c>
      <c r="E26" s="62">
        <f>(LN(C26/Option_Portfolio!$E$4)+(Option_Portfolio!$H$4+0.5*Option_Portfolio!$G$4^2)*Option_Portfolio!$F$4)/(Option_Portfolio!$G$4*SQRT(Option_Portfolio!$F$4))</f>
        <v>0.1905299688392873</v>
      </c>
      <c r="F26" s="63">
        <f>(LN(D26/Option_Portfolio!$E$5)+(Option_Portfolio!$H$5+0.5*Option_Portfolio!$G$5^2)*Option_Portfolio!$F$5)/(Option_Portfolio!$G$5*SQRT(Option_Portfolio!$F$5))</f>
        <v>1.3201380733308654</v>
      </c>
      <c r="G26" s="62">
        <f>E26-Option_Portfolio!$G$4*SQRT(Option_Portfolio!$F$4)</f>
        <v>7.0321816037574203E-2</v>
      </c>
      <c r="H26" s="63">
        <f>F26-Option_Portfolio!$G$5*SQRT(Option_Portfolio!$F$5)</f>
        <v>1.164574581469825</v>
      </c>
      <c r="I26" s="115">
        <f t="shared" si="0"/>
        <v>0.57555306922689131</v>
      </c>
      <c r="J26" s="116">
        <f t="shared" si="1"/>
        <v>0.90660553845951175</v>
      </c>
      <c r="K26" s="115">
        <f t="shared" si="2"/>
        <v>0.52803124059892115</v>
      </c>
      <c r="L26" s="116">
        <f t="shared" si="3"/>
        <v>0.8779043811227879</v>
      </c>
      <c r="M26" s="62">
        <f>(1-K26)*Option_Portfolio!$E$4*EXP(-Option_Portfolio!$H$4*Option_Portfolio!$F$4)-(1-I26)*C26</f>
        <v>3.4519551132393147</v>
      </c>
      <c r="N26" s="116">
        <f>J26*D26-L26*Option_Portfolio!$E$5*EXP(-Option_Portfolio!$H$5*Option_Portfolio!$F$5)</f>
        <v>26.506371678433567</v>
      </c>
      <c r="O26" s="120">
        <f>M26 * -Option_Portfolio!$B$4 * 1000 + N26 * Option_Portfolio!$B$5 * 1000</f>
        <v>28849057.564191934</v>
      </c>
      <c r="P26" s="123">
        <f t="shared" si="4"/>
        <v>-1.3539854332683565E-2</v>
      </c>
    </row>
    <row r="27" spans="2:16">
      <c r="B27" s="57" t="s">
        <v>57</v>
      </c>
      <c r="C27" s="62">
        <f>$C$17*(1+Underlying_Assets!H18)</f>
        <v>84.904981927710836</v>
      </c>
      <c r="D27" s="8">
        <f>$D$17*(1+Underlying_Assets!I18)</f>
        <v>144.68315513415374</v>
      </c>
      <c r="E27" s="62">
        <f>(LN(C27/Option_Portfolio!$E$4)+(Option_Portfolio!$H$4+0.5*Option_Portfolio!$G$4^2)*Option_Portfolio!$F$4)/(Option_Portfolio!$G$4*SQRT(Option_Portfolio!$F$4))</f>
        <v>9.2394024831116514E-2</v>
      </c>
      <c r="F27" s="63">
        <f>(LN(D27/Option_Portfolio!$E$5)+(Option_Portfolio!$H$5+0.5*Option_Portfolio!$G$5^2)*Option_Portfolio!$F$5)/(Option_Portfolio!$G$5*SQRT(Option_Portfolio!$F$5))</f>
        <v>1.3123546488632312</v>
      </c>
      <c r="G27" s="62">
        <f>E27-Option_Portfolio!$G$4*SQRT(Option_Portfolio!$F$4)</f>
        <v>-2.7814127970596583E-2</v>
      </c>
      <c r="H27" s="63">
        <f>F27-Option_Portfolio!$G$5*SQRT(Option_Portfolio!$F$5)</f>
        <v>1.1567911570021907</v>
      </c>
      <c r="I27" s="115">
        <f t="shared" si="0"/>
        <v>0.53680750669127208</v>
      </c>
      <c r="J27" s="116">
        <f t="shared" si="1"/>
        <v>0.90529974942980307</v>
      </c>
      <c r="K27" s="115">
        <f t="shared" si="2"/>
        <v>0.48890519891571071</v>
      </c>
      <c r="L27" s="116">
        <f t="shared" si="3"/>
        <v>0.87632115219639539</v>
      </c>
      <c r="M27" s="62">
        <f>(1-K27)*Option_Portfolio!$E$4*EXP(-Option_Portfolio!$H$4*Option_Portfolio!$F$4)-(1-I27)*C27</f>
        <v>3.8990346625675443</v>
      </c>
      <c r="N27" s="116">
        <f>J27*D27-L27*Option_Portfolio!$E$5*EXP(-Option_Portfolio!$H$5*Option_Portfolio!$F$5)</f>
        <v>26.347566223751926</v>
      </c>
      <c r="O27" s="120">
        <f>M27 * -Option_Portfolio!$B$4 * 1000 + N27 * Option_Portfolio!$B$5 * 1000</f>
        <v>25401889.80953104</v>
      </c>
      <c r="P27" s="123">
        <f t="shared" si="4"/>
        <v>-0.11948978738700955</v>
      </c>
    </row>
    <row r="28" spans="2:16">
      <c r="B28" s="57" t="s">
        <v>58</v>
      </c>
      <c r="C28" s="62">
        <f>$C$17*(1+Underlying_Assets!H19)</f>
        <v>86.052951434654759</v>
      </c>
      <c r="D28" s="8">
        <f>$D$17*(1+Underlying_Assets!I19)</f>
        <v>146.14480113062791</v>
      </c>
      <c r="E28" s="62">
        <f>(LN(C28/Option_Portfolio!$E$4)+(Option_Portfolio!$H$4+0.5*Option_Portfolio!$G$4^2)*Option_Portfolio!$F$4)/(Option_Portfolio!$G$4*SQRT(Option_Portfolio!$F$4))</f>
        <v>0.20411730879686718</v>
      </c>
      <c r="F28" s="63">
        <f>(LN(D28/Option_Portfolio!$E$5)+(Option_Portfolio!$H$5+0.5*Option_Portfolio!$G$5^2)*Option_Portfolio!$F$5)/(Option_Portfolio!$G$5*SQRT(Option_Portfolio!$F$5))</f>
        <v>1.3769694510730435</v>
      </c>
      <c r="G28" s="62">
        <f>E28-Option_Portfolio!$G$4*SQRT(Option_Portfolio!$F$4)</f>
        <v>8.3909155995154083E-2</v>
      </c>
      <c r="H28" s="63">
        <f>F28-Option_Portfolio!$G$5*SQRT(Option_Portfolio!$F$5)</f>
        <v>1.221405959212003</v>
      </c>
      <c r="I28" s="115">
        <f t="shared" si="0"/>
        <v>0.58086908569409212</v>
      </c>
      <c r="J28" s="116">
        <f t="shared" si="1"/>
        <v>0.91573915353644886</v>
      </c>
      <c r="K28" s="115">
        <f t="shared" si="2"/>
        <v>0.53343567009767434</v>
      </c>
      <c r="L28" s="116">
        <f t="shared" si="3"/>
        <v>0.88903382399315356</v>
      </c>
      <c r="M28" s="62">
        <f>(1-K28)*Option_Portfolio!$E$4*EXP(-Option_Portfolio!$H$4*Option_Portfolio!$F$4)-(1-I28)*C28</f>
        <v>3.3927208873850319</v>
      </c>
      <c r="N28" s="116">
        <f>J28*D28-L28*Option_Portfolio!$E$5*EXP(-Option_Portfolio!$H$5*Option_Portfolio!$F$5)</f>
        <v>27.678546565404432</v>
      </c>
      <c r="O28" s="120">
        <f>M28 * -Option_Portfolio!$B$4 * 1000 + N28 * Option_Portfolio!$B$5 * 1000</f>
        <v>31608046.91911364</v>
      </c>
      <c r="P28" s="123">
        <f t="shared" si="4"/>
        <v>0.2443187162891316</v>
      </c>
    </row>
    <row r="29" spans="2:16">
      <c r="B29" s="57" t="s">
        <v>59</v>
      </c>
      <c r="C29" s="62">
        <f>$C$17*(1+Underlying_Assets!H20)</f>
        <v>85.133696332962927</v>
      </c>
      <c r="D29" s="8">
        <f>$D$17*(1+Underlying_Assets!I20)</f>
        <v>146.20484096819365</v>
      </c>
      <c r="E29" s="62">
        <f>(LN(C29/Option_Portfolio!$E$4)+(Option_Portfolio!$H$4+0.5*Option_Portfolio!$G$4^2)*Option_Portfolio!$F$4)/(Option_Portfolio!$G$4*SQRT(Option_Portfolio!$F$4))</f>
        <v>0.11477309986698282</v>
      </c>
      <c r="F29" s="63">
        <f>(LN(D29/Option_Portfolio!$E$5)+(Option_Portfolio!$H$5+0.5*Option_Portfolio!$G$5^2)*Option_Portfolio!$F$5)/(Option_Portfolio!$G$5*SQRT(Option_Portfolio!$F$5))</f>
        <v>1.3796097874603013</v>
      </c>
      <c r="G29" s="62">
        <f>E29-Option_Portfolio!$G$4*SQRT(Option_Portfolio!$F$4)</f>
        <v>-5.4350529347302751E-3</v>
      </c>
      <c r="H29" s="63">
        <f>F29-Option_Portfolio!$G$5*SQRT(Option_Portfolio!$F$5)</f>
        <v>1.2240462955992608</v>
      </c>
      <c r="I29" s="115">
        <f t="shared" si="0"/>
        <v>0.54568751433809926</v>
      </c>
      <c r="J29" s="116">
        <f t="shared" si="1"/>
        <v>0.91614658885731381</v>
      </c>
      <c r="K29" s="115">
        <f t="shared" si="2"/>
        <v>0.4978317382631246</v>
      </c>
      <c r="L29" s="116">
        <f t="shared" si="3"/>
        <v>0.88953261821354657</v>
      </c>
      <c r="M29" s="62">
        <f>(1-K29)*Option_Portfolio!$E$4*EXP(-Option_Portfolio!$H$4*Option_Portfolio!$F$4)-(1-I29)*C29</f>
        <v>3.7941122074146705</v>
      </c>
      <c r="N29" s="116">
        <f>J29*D29-L29*Option_Portfolio!$E$5*EXP(-Option_Portfolio!$H$5*Option_Portfolio!$F$5)</f>
        <v>27.733539634866403</v>
      </c>
      <c r="O29" s="120">
        <f>M29 * -Option_Portfolio!$B$4 * 1000 + N29 * Option_Portfolio!$B$5 * 1000</f>
        <v>28908293.817830116</v>
      </c>
      <c r="P29" s="123">
        <f t="shared" si="4"/>
        <v>-8.5413474239402043E-2</v>
      </c>
    </row>
    <row r="30" spans="2:16">
      <c r="B30" s="57" t="s">
        <v>60</v>
      </c>
      <c r="C30" s="62">
        <f>$C$17*(1+Underlying_Assets!H21)</f>
        <v>87.013582256587625</v>
      </c>
      <c r="D30" s="8">
        <f>$D$17*(1+Underlying_Assets!I21)</f>
        <v>145.66062407132245</v>
      </c>
      <c r="E30" s="62">
        <f>(LN(C30/Option_Portfolio!$E$4)+(Option_Portfolio!$H$4+0.5*Option_Portfolio!$G$4^2)*Option_Portfolio!$F$4)/(Option_Portfolio!$G$4*SQRT(Option_Portfolio!$F$4))</f>
        <v>0.29646880881478188</v>
      </c>
      <c r="F30" s="63">
        <f>(LN(D30/Option_Portfolio!$E$5)+(Option_Portfolio!$H$5+0.5*Option_Portfolio!$G$5^2)*Option_Portfolio!$F$5)/(Option_Portfolio!$G$5*SQRT(Option_Portfolio!$F$5))</f>
        <v>1.3556373536889752</v>
      </c>
      <c r="G30" s="62">
        <f>E30-Option_Portfolio!$G$4*SQRT(Option_Portfolio!$F$4)</f>
        <v>0.17626065601306878</v>
      </c>
      <c r="H30" s="63">
        <f>F30-Option_Portfolio!$G$5*SQRT(Option_Portfolio!$F$5)</f>
        <v>1.2000738618279347</v>
      </c>
      <c r="I30" s="115">
        <f t="shared" si="0"/>
        <v>0.61656395809944986</v>
      </c>
      <c r="J30" s="116">
        <f t="shared" si="1"/>
        <v>0.91239270961758723</v>
      </c>
      <c r="K30" s="115">
        <f t="shared" si="2"/>
        <v>0.56995541499307611</v>
      </c>
      <c r="L30" s="116">
        <f t="shared" si="3"/>
        <v>0.88494467207964067</v>
      </c>
      <c r="M30" s="62">
        <f>(1-K30)*Option_Portfolio!$E$4*EXP(-Option_Portfolio!$H$4*Option_Portfolio!$F$4)-(1-I30)*C30</f>
        <v>3.0073333666919453</v>
      </c>
      <c r="N30" s="116">
        <f>J30*D30-L30*Option_Portfolio!$E$5*EXP(-Option_Portfolio!$H$5*Option_Portfolio!$F$5)</f>
        <v>27.235972427304418</v>
      </c>
      <c r="O30" s="120">
        <f>M30 * -Option_Portfolio!$B$4 * 1000 + N30 * Option_Portfolio!$B$5 * 1000</f>
        <v>33420611.287765227</v>
      </c>
      <c r="P30" s="123">
        <f t="shared" si="4"/>
        <v>0.15609075714983889</v>
      </c>
    </row>
    <row r="31" spans="2:16">
      <c r="B31" s="57" t="s">
        <v>61</v>
      </c>
      <c r="C31" s="62">
        <f>$C$17*(1+Underlying_Assets!H22)</f>
        <v>86.21275187969924</v>
      </c>
      <c r="D31" s="8">
        <f>$D$17*(1+Underlying_Assets!I22)</f>
        <v>145.22776957163958</v>
      </c>
      <c r="E31" s="62">
        <f>(LN(C31/Option_Portfolio!$E$4)+(Option_Portfolio!$H$4+0.5*Option_Portfolio!$G$4^2)*Option_Portfolio!$F$4)/(Option_Portfolio!$G$4*SQRT(Option_Portfolio!$F$4))</f>
        <v>0.21955119733821715</v>
      </c>
      <c r="F31" s="63">
        <f>(LN(D31/Option_Portfolio!$E$5)+(Option_Portfolio!$H$5+0.5*Option_Portfolio!$G$5^2)*Option_Portfolio!$F$5)/(Option_Portfolio!$G$5*SQRT(Option_Portfolio!$F$5))</f>
        <v>1.3365063314579704</v>
      </c>
      <c r="G31" s="62">
        <f>E31-Option_Portfolio!$G$4*SQRT(Option_Portfolio!$F$4)</f>
        <v>9.9343044536504055E-2</v>
      </c>
      <c r="H31" s="63">
        <f>F31-Option_Portfolio!$G$5*SQRT(Option_Portfolio!$F$5)</f>
        <v>1.1809428395969299</v>
      </c>
      <c r="I31" s="115">
        <f t="shared" si="0"/>
        <v>0.58688964858245363</v>
      </c>
      <c r="J31" s="116">
        <f t="shared" si="1"/>
        <v>0.9093080837872497</v>
      </c>
      <c r="K31" s="115">
        <f t="shared" si="2"/>
        <v>0.53956704858473992</v>
      </c>
      <c r="L31" s="116">
        <f t="shared" si="3"/>
        <v>0.88118728427962123</v>
      </c>
      <c r="M31" s="62">
        <f>(1-K31)*Option_Portfolio!$E$4*EXP(-Option_Portfolio!$H$4*Option_Portfolio!$F$4)-(1-I31)*C31</f>
        <v>3.3262250359283669</v>
      </c>
      <c r="N31" s="116">
        <f>J31*D31-L31*Option_Portfolio!$E$5*EXP(-Option_Portfolio!$H$5*Option_Portfolio!$F$5)</f>
        <v>26.8417035381879</v>
      </c>
      <c r="O31" s="120">
        <f>M31 * -Option_Portfolio!$B$4 * 1000 + N31 * Option_Portfolio!$B$5 * 1000</f>
        <v>30399831.824877229</v>
      </c>
      <c r="P31" s="123">
        <f t="shared" si="4"/>
        <v>-9.038672084354904E-2</v>
      </c>
    </row>
    <row r="32" spans="2:16">
      <c r="B32" s="57" t="s">
        <v>62</v>
      </c>
      <c r="C32" s="62">
        <f>$C$17*(1+Underlying_Assets!H23)</f>
        <v>85.893870388833506</v>
      </c>
      <c r="D32" s="8">
        <f>$D$17*(1+Underlying_Assets!I23)</f>
        <v>145.93735886107024</v>
      </c>
      <c r="E32" s="62">
        <f>(LN(C32/Option_Portfolio!$E$4)+(Option_Portfolio!$H$4+0.5*Option_Portfolio!$G$4^2)*Option_Portfolio!$F$4)/(Option_Portfolio!$G$4*SQRT(Option_Portfolio!$F$4))</f>
        <v>0.18872440764425433</v>
      </c>
      <c r="F32" s="63">
        <f>(LN(D32/Option_Portfolio!$E$5)+(Option_Portfolio!$H$5+0.5*Option_Portfolio!$G$5^2)*Option_Portfolio!$F$5)/(Option_Portfolio!$G$5*SQRT(Option_Portfolio!$F$5))</f>
        <v>1.3678385295681863</v>
      </c>
      <c r="G32" s="62">
        <f>E32-Option_Portfolio!$G$4*SQRT(Option_Portfolio!$F$4)</f>
        <v>6.851625484254123E-2</v>
      </c>
      <c r="H32" s="63">
        <f>F32-Option_Portfolio!$G$5*SQRT(Option_Portfolio!$F$5)</f>
        <v>1.2122750377071458</v>
      </c>
      <c r="I32" s="115">
        <f t="shared" si="0"/>
        <v>0.57484558959914089</v>
      </c>
      <c r="J32" s="116">
        <f t="shared" si="1"/>
        <v>0.91431868780083991</v>
      </c>
      <c r="K32" s="115">
        <f t="shared" si="2"/>
        <v>0.52731265950538764</v>
      </c>
      <c r="L32" s="116">
        <f t="shared" si="3"/>
        <v>0.88729644203501623</v>
      </c>
      <c r="M32" s="62">
        <f>(1-K32)*Option_Portfolio!$E$4*EXP(-Option_Portfolio!$H$4*Option_Portfolio!$F$4)-(1-I32)*C32</f>
        <v>3.4598753944135723</v>
      </c>
      <c r="N32" s="116">
        <f>J32*D32-L32*Option_Portfolio!$E$5*EXP(-Option_Portfolio!$H$5*Option_Portfolio!$F$5)</f>
        <v>27.488730546801094</v>
      </c>
      <c r="O32" s="120">
        <f>M32 * -Option_Portfolio!$B$4 * 1000 + N32 * Option_Portfolio!$B$5 * 1000</f>
        <v>30758333.332707182</v>
      </c>
      <c r="P32" s="123">
        <f t="shared" si="4"/>
        <v>1.1792877996666284E-2</v>
      </c>
    </row>
    <row r="33" spans="2:16">
      <c r="B33" s="57" t="s">
        <v>63</v>
      </c>
      <c r="C33" s="62">
        <f>$C$17*(1+Underlying_Assets!H24)</f>
        <v>85.518140923566875</v>
      </c>
      <c r="D33" s="8">
        <f>$D$17*(1+Underlying_Assets!I24)</f>
        <v>145.36424744276667</v>
      </c>
      <c r="E33" s="62">
        <f>(LN(C33/Option_Portfolio!$E$4)+(Option_Portfolio!$H$4+0.5*Option_Portfolio!$G$4^2)*Option_Portfolio!$F$4)/(Option_Portfolio!$G$4*SQRT(Option_Portfolio!$F$4))</f>
        <v>0.15225482685350639</v>
      </c>
      <c r="F33" s="63">
        <f>(LN(D33/Option_Portfolio!$E$5)+(Option_Portfolio!$H$5+0.5*Option_Portfolio!$G$5^2)*Option_Portfolio!$F$5)/(Option_Portfolio!$G$5*SQRT(Option_Portfolio!$F$5))</f>
        <v>1.3425444398461741</v>
      </c>
      <c r="G33" s="62">
        <f>E33-Option_Portfolio!$G$4*SQRT(Option_Portfolio!$F$4)</f>
        <v>3.2046674051793289E-2</v>
      </c>
      <c r="H33" s="63">
        <f>F33-Option_Portfolio!$G$5*SQRT(Option_Portfolio!$F$5)</f>
        <v>1.1869809479851336</v>
      </c>
      <c r="I33" s="115">
        <f t="shared" si="0"/>
        <v>0.56050702379995965</v>
      </c>
      <c r="J33" s="116">
        <f t="shared" si="1"/>
        <v>0.91029023433627199</v>
      </c>
      <c r="K33" s="115">
        <f t="shared" si="2"/>
        <v>0.51278258525831188</v>
      </c>
      <c r="L33" s="116">
        <f t="shared" si="3"/>
        <v>0.88238243221890011</v>
      </c>
      <c r="M33" s="62">
        <f>(1-K33)*Option_Portfolio!$E$4*EXP(-Option_Portfolio!$H$4*Option_Portfolio!$F$4)-(1-I33)*C33</f>
        <v>3.6223073849851204</v>
      </c>
      <c r="N33" s="116">
        <f>J33*D33-L33*Option_Portfolio!$E$5*EXP(-Option_Portfolio!$H$5*Option_Portfolio!$F$5)</f>
        <v>26.965871091408275</v>
      </c>
      <c r="O33" s="120">
        <f>M33 * -Option_Portfolio!$B$4 * 1000 + N33 * Option_Portfolio!$B$5 * 1000</f>
        <v>28575590.487920702</v>
      </c>
      <c r="P33" s="123">
        <f t="shared" si="4"/>
        <v>-7.0964275637959817E-2</v>
      </c>
    </row>
    <row r="34" spans="2:16">
      <c r="B34" s="57" t="s">
        <v>64</v>
      </c>
      <c r="C34" s="62">
        <f>$C$17*(1+Underlying_Assets!H25)</f>
        <v>85.038475354220722</v>
      </c>
      <c r="D34" s="8">
        <f>$D$17*(1+Underlying_Assets!I25)</f>
        <v>145.1512857836002</v>
      </c>
      <c r="E34" s="62">
        <f>(LN(C34/Option_Portfolio!$E$4)+(Option_Portfolio!$H$4+0.5*Option_Portfolio!$G$4^2)*Option_Portfolio!$F$4)/(Option_Portfolio!$G$4*SQRT(Option_Portfolio!$F$4))</f>
        <v>0.10546330273767969</v>
      </c>
      <c r="F34" s="63">
        <f>(LN(D34/Option_Portfolio!$E$5)+(Option_Portfolio!$H$5+0.5*Option_Portfolio!$G$5^2)*Option_Portfolio!$F$5)/(Option_Portfolio!$G$5*SQRT(Option_Portfolio!$F$5))</f>
        <v>1.3331200237131766</v>
      </c>
      <c r="G34" s="62">
        <f>E34-Option_Portfolio!$G$4*SQRT(Option_Portfolio!$F$4)</f>
        <v>-1.4744850064033407E-2</v>
      </c>
      <c r="H34" s="63">
        <f>F34-Option_Portfolio!$G$5*SQRT(Option_Portfolio!$F$5)</f>
        <v>1.1775565318521362</v>
      </c>
      <c r="I34" s="115">
        <f t="shared" si="0"/>
        <v>0.54199590613485482</v>
      </c>
      <c r="J34" s="116">
        <f t="shared" si="1"/>
        <v>0.9087537903721139</v>
      </c>
      <c r="K34" s="115">
        <f t="shared" si="2"/>
        <v>0.49411786903165678</v>
      </c>
      <c r="L34" s="116">
        <f t="shared" si="3"/>
        <v>0.88051327613909236</v>
      </c>
      <c r="M34" s="62">
        <f>(1-K34)*Option_Portfolio!$E$4*EXP(-Option_Portfolio!$H$4*Option_Portfolio!$F$4)-(1-I34)*C34</f>
        <v>3.8375479834141686</v>
      </c>
      <c r="N34" s="116">
        <f>J34*D34-L34*Option_Portfolio!$E$5*EXP(-Option_Portfolio!$H$5*Option_Portfolio!$F$5)</f>
        <v>26.772177390845115</v>
      </c>
      <c r="O34" s="120">
        <f>M34 * -Option_Portfolio!$B$4 * 1000 + N34 * Option_Portfolio!$B$5 * 1000</f>
        <v>26681518.897791043</v>
      </c>
      <c r="P34" s="123">
        <f t="shared" si="4"/>
        <v>-6.628285042544646E-2</v>
      </c>
    </row>
    <row r="35" spans="2:16">
      <c r="B35" s="57" t="s">
        <v>65</v>
      </c>
      <c r="C35" s="62">
        <f>$C$17*(1+Underlying_Assets!H26)</f>
        <v>85.50710462776658</v>
      </c>
      <c r="D35" s="8">
        <f>$D$17*(1+Underlying_Assets!I26)</f>
        <v>144.02904162633109</v>
      </c>
      <c r="E35" s="62">
        <f>(LN(C35/Option_Portfolio!$E$4)+(Option_Portfolio!$H$4+0.5*Option_Portfolio!$G$4^2)*Option_Portfolio!$F$4)/(Option_Portfolio!$G$4*SQRT(Option_Portfolio!$F$4))</f>
        <v>0.15118118562032537</v>
      </c>
      <c r="F35" s="63">
        <f>(LN(D35/Option_Portfolio!$E$5)+(Option_Portfolio!$H$5+0.5*Option_Portfolio!$G$5^2)*Option_Portfolio!$F$5)/(Option_Portfolio!$G$5*SQRT(Option_Portfolio!$F$5))</f>
        <v>1.283226623626049</v>
      </c>
      <c r="G35" s="62">
        <f>E35-Option_Portfolio!$G$4*SQRT(Option_Portfolio!$F$4)</f>
        <v>3.0973032818612273E-2</v>
      </c>
      <c r="H35" s="63">
        <f>F35-Option_Portfolio!$G$5*SQRT(Option_Portfolio!$F$5)</f>
        <v>1.1276631317650085</v>
      </c>
      <c r="I35" s="115">
        <f t="shared" si="0"/>
        <v>0.56008360429922754</v>
      </c>
      <c r="J35" s="116">
        <f t="shared" si="1"/>
        <v>0.90029365445892451</v>
      </c>
      <c r="K35" s="115">
        <f t="shared" si="2"/>
        <v>0.51235447697784631</v>
      </c>
      <c r="L35" s="116">
        <f t="shared" si="3"/>
        <v>0.87026889320566791</v>
      </c>
      <c r="M35" s="62">
        <f>(1-K35)*Option_Portfolio!$E$4*EXP(-Option_Portfolio!$H$4*Option_Portfolio!$F$4)-(1-I35)*C35</f>
        <v>3.6271600958503498</v>
      </c>
      <c r="N35" s="116">
        <f>J35*D35-L35*Option_Portfolio!$E$5*EXP(-Option_Portfolio!$H$5*Option_Portfolio!$F$5)</f>
        <v>25.757023154844987</v>
      </c>
      <c r="O35" s="120">
        <f>M35 * -Option_Portfolio!$B$4 * 1000 + N35 * Option_Portfolio!$B$5 * 1000</f>
        <v>26123925.63873753</v>
      </c>
      <c r="P35" s="123">
        <f t="shared" si="4"/>
        <v>-2.0898107832222235E-2</v>
      </c>
    </row>
    <row r="36" spans="2:16">
      <c r="B36" s="57" t="s">
        <v>66</v>
      </c>
      <c r="C36" s="62">
        <f>$C$17*(1+Underlying_Assets!H27)</f>
        <v>85.930283466155558</v>
      </c>
      <c r="D36" s="8">
        <f>$D$17*(1+Underlying_Assets!I27)</f>
        <v>145.50462287104625</v>
      </c>
      <c r="E36" s="62">
        <f>(LN(C36/Option_Portfolio!$E$4)+(Option_Portfolio!$H$4+0.5*Option_Portfolio!$G$4^2)*Option_Portfolio!$F$4)/(Option_Portfolio!$G$4*SQRT(Option_Portfolio!$F$4))</f>
        <v>0.1922503016135286</v>
      </c>
      <c r="F36" s="63">
        <f>(LN(D36/Option_Portfolio!$E$5)+(Option_Portfolio!$H$5+0.5*Option_Portfolio!$G$5^2)*Option_Portfolio!$F$5)/(Option_Portfolio!$G$5*SQRT(Option_Portfolio!$F$5))</f>
        <v>1.3487490742480237</v>
      </c>
      <c r="G36" s="62">
        <f>E36-Option_Portfolio!$G$4*SQRT(Option_Portfolio!$F$4)</f>
        <v>7.2042148811815504E-2</v>
      </c>
      <c r="H36" s="63">
        <f>F36-Option_Portfolio!$G$5*SQRT(Option_Portfolio!$F$5)</f>
        <v>1.1931855823869832</v>
      </c>
      <c r="I36" s="115">
        <f t="shared" si="0"/>
        <v>0.57622692714221035</v>
      </c>
      <c r="J36" s="116">
        <f t="shared" si="1"/>
        <v>0.91129121148029246</v>
      </c>
      <c r="K36" s="115">
        <f t="shared" si="2"/>
        <v>0.52871581746338436</v>
      </c>
      <c r="L36" s="116">
        <f t="shared" si="3"/>
        <v>0.88360165006393132</v>
      </c>
      <c r="M36" s="62">
        <f>(1-K36)*Option_Portfolio!$E$4*EXP(-Option_Portfolio!$H$4*Option_Portfolio!$F$4)-(1-I36)*C36</f>
        <v>3.4444193679609825</v>
      </c>
      <c r="N36" s="116">
        <f>J36*D36-L36*Option_Portfolio!$E$5*EXP(-Option_Portfolio!$H$5*Option_Portfolio!$F$5)</f>
        <v>27.093723838275935</v>
      </c>
      <c r="O36" s="120">
        <f>M36 * -Option_Portfolio!$B$4 * 1000 + N36 * Option_Portfolio!$B$5 * 1000</f>
        <v>30076512.100824993</v>
      </c>
      <c r="P36" s="123">
        <f t="shared" si="4"/>
        <v>0.1513013976822235</v>
      </c>
    </row>
    <row r="37" spans="2:16">
      <c r="B37" s="57" t="s">
        <v>67</v>
      </c>
      <c r="C37" s="62">
        <f>$C$17*(1+Underlying_Assets!H28)</f>
        <v>85.39479617513841</v>
      </c>
      <c r="D37" s="8">
        <f>$D$17*(1+Underlying_Assets!I28)</f>
        <v>137.9141113801453</v>
      </c>
      <c r="E37" s="62">
        <f>(LN(C37/Option_Portfolio!$E$4)+(Option_Portfolio!$H$4+0.5*Option_Portfolio!$G$4^2)*Option_Portfolio!$F$4)/(Option_Portfolio!$G$4*SQRT(Option_Portfolio!$F$4))</f>
        <v>0.14024762328785426</v>
      </c>
      <c r="F37" s="63">
        <f>(LN(D37/Option_Portfolio!$E$5)+(Option_Portfolio!$H$5+0.5*Option_Portfolio!$G$5^2)*Option_Portfolio!$F$5)/(Option_Portfolio!$G$5*SQRT(Option_Portfolio!$F$5))</f>
        <v>1.0043446919524321</v>
      </c>
      <c r="G37" s="62">
        <f>E37-Option_Portfolio!$G$4*SQRT(Option_Portfolio!$F$4)</f>
        <v>2.0039470486141159E-2</v>
      </c>
      <c r="H37" s="63">
        <f>F37-Option_Portfolio!$G$5*SQRT(Option_Portfolio!$F$5)</f>
        <v>0.84878120009139169</v>
      </c>
      <c r="I37" s="115">
        <f t="shared" si="0"/>
        <v>0.5557678271202191</v>
      </c>
      <c r="J37" s="116">
        <f t="shared" si="1"/>
        <v>0.84239375057344357</v>
      </c>
      <c r="K37" s="115">
        <f t="shared" si="2"/>
        <v>0.50799405700745948</v>
      </c>
      <c r="L37" s="116">
        <f t="shared" si="3"/>
        <v>0.80199847344770447</v>
      </c>
      <c r="M37" s="62">
        <f>(1-K37)*Option_Portfolio!$E$4*EXP(-Option_Portfolio!$H$4*Option_Portfolio!$F$4)-(1-I37)*C37</f>
        <v>3.6768086572282712</v>
      </c>
      <c r="N37" s="116">
        <f>J37*D37-L37*Option_Portfolio!$E$5*EXP(-Option_Portfolio!$H$5*Option_Portfolio!$F$5)</f>
        <v>20.418166817650601</v>
      </c>
      <c r="O37" s="120">
        <f>M37 * -Option_Portfolio!$B$4 * 1000 + N37 * Option_Portfolio!$B$5 * 1000</f>
        <v>15098673.034703299</v>
      </c>
      <c r="P37" s="123">
        <f t="shared" si="4"/>
        <v>-0.4979912237134323</v>
      </c>
    </row>
    <row r="38" spans="2:16">
      <c r="B38" s="57" t="s">
        <v>68</v>
      </c>
      <c r="C38" s="62">
        <f>$C$17*(1+Underlying_Assets!H29)</f>
        <v>86.623828196058611</v>
      </c>
      <c r="D38" s="8">
        <f>$D$17*(1+Underlying_Assets!I29)</f>
        <v>146.65527760829775</v>
      </c>
      <c r="E38" s="62">
        <f>(LN(C38/Option_Portfolio!$E$4)+(Option_Portfolio!$H$4+0.5*Option_Portfolio!$G$4^2)*Option_Portfolio!$F$4)/(Option_Portfolio!$G$4*SQRT(Option_Portfolio!$F$4))</f>
        <v>0.25912280393668319</v>
      </c>
      <c r="F38" s="63">
        <f>(LN(D38/Option_Portfolio!$E$5)+(Option_Portfolio!$H$5+0.5*Option_Portfolio!$G$5^2)*Option_Portfolio!$F$5)/(Option_Portfolio!$G$5*SQRT(Option_Portfolio!$F$5))</f>
        <v>1.3993838603905022</v>
      </c>
      <c r="G38" s="62">
        <f>E38-Option_Portfolio!$G$4*SQRT(Option_Portfolio!$F$4)</f>
        <v>0.13891465113497009</v>
      </c>
      <c r="H38" s="63">
        <f>F38-Option_Portfolio!$G$5*SQRT(Option_Portfolio!$F$5)</f>
        <v>1.2438203685294618</v>
      </c>
      <c r="I38" s="115">
        <f t="shared" si="0"/>
        <v>0.60222975472860218</v>
      </c>
      <c r="J38" s="116">
        <f t="shared" si="1"/>
        <v>0.9191510479499001</v>
      </c>
      <c r="K38" s="115">
        <f t="shared" si="2"/>
        <v>0.55524120335443028</v>
      </c>
      <c r="L38" s="116">
        <f t="shared" si="3"/>
        <v>0.89321715891675668</v>
      </c>
      <c r="M38" s="62">
        <f>(1-K38)*Option_Portfolio!$E$4*EXP(-Option_Portfolio!$H$4*Option_Portfolio!$F$4)-(1-I38)*C38</f>
        <v>3.1595656080166421</v>
      </c>
      <c r="N38" s="116">
        <f>J38*D38-L38*Option_Portfolio!$E$5*EXP(-Option_Portfolio!$H$5*Option_Portfolio!$F$5)</f>
        <v>28.146885730905666</v>
      </c>
      <c r="O38" s="120">
        <f>M38 * -Option_Portfolio!$B$4 * 1000 + N38 * Option_Portfolio!$B$5 * 1000</f>
        <v>34176812.205694839</v>
      </c>
      <c r="P38" s="123">
        <f t="shared" si="4"/>
        <v>1.2635639653326951</v>
      </c>
    </row>
    <row r="39" spans="2:16">
      <c r="B39" s="57" t="s">
        <v>69</v>
      </c>
      <c r="C39" s="62">
        <f>$C$17*(1+Underlying_Assets!H30)</f>
        <v>85.439819945983785</v>
      </c>
      <c r="D39" s="8">
        <f>$D$17*(1+Underlying_Assets!I30)</f>
        <v>144.01493975903617</v>
      </c>
      <c r="E39" s="62">
        <f>(LN(C39/Option_Portfolio!$E$4)+(Option_Portfolio!$H$4+0.5*Option_Portfolio!$G$4^2)*Option_Portfolio!$F$4)/(Option_Portfolio!$G$4*SQRT(Option_Portfolio!$F$4))</f>
        <v>0.14463254729686367</v>
      </c>
      <c r="F39" s="63">
        <f>(LN(D39/Option_Portfolio!$E$5)+(Option_Portfolio!$H$5+0.5*Option_Portfolio!$G$5^2)*Option_Portfolio!$F$5)/(Option_Portfolio!$G$5*SQRT(Option_Portfolio!$F$5))</f>
        <v>1.2825972042163876</v>
      </c>
      <c r="G39" s="62">
        <f>E39-Option_Portfolio!$G$4*SQRT(Option_Portfolio!$F$4)</f>
        <v>2.4424394495150575E-2</v>
      </c>
      <c r="H39" s="63">
        <f>F39-Option_Portfolio!$G$5*SQRT(Option_Portfolio!$F$5)</f>
        <v>1.1270337123553471</v>
      </c>
      <c r="I39" s="115">
        <f t="shared" si="0"/>
        <v>0.55749950080531974</v>
      </c>
      <c r="J39" s="116">
        <f t="shared" si="1"/>
        <v>0.90018338491028549</v>
      </c>
      <c r="K39" s="115">
        <f t="shared" si="2"/>
        <v>0.50974295493269639</v>
      </c>
      <c r="L39" s="116">
        <f t="shared" si="3"/>
        <v>0.87013588616536652</v>
      </c>
      <c r="M39" s="62">
        <f>(1-K39)*Option_Portfolio!$E$4*EXP(-Option_Portfolio!$H$4*Option_Portfolio!$F$4)-(1-I39)*C39</f>
        <v>3.6568466403967648</v>
      </c>
      <c r="N39" s="116">
        <f>J39*D39-L39*Option_Portfolio!$E$5*EXP(-Option_Portfolio!$H$5*Option_Portfolio!$F$5)</f>
        <v>25.744328110589265</v>
      </c>
      <c r="O39" s="120">
        <f>M39 * -Option_Portfolio!$B$4 * 1000 + N39 * Option_Portfolio!$B$5 * 1000</f>
        <v>25890729.738401171</v>
      </c>
      <c r="P39" s="123">
        <f t="shared" si="4"/>
        <v>-0.24244749385704756</v>
      </c>
    </row>
    <row r="40" spans="2:16">
      <c r="B40" s="57" t="s">
        <v>70</v>
      </c>
      <c r="C40" s="62">
        <f>$C$17*(1+Underlying_Assets!H31)</f>
        <v>85.5506524794218</v>
      </c>
      <c r="D40" s="8">
        <f>$D$17*(1+Underlying_Assets!I31)</f>
        <v>144.36147789218657</v>
      </c>
      <c r="E40" s="62">
        <f>(LN(C40/Option_Portfolio!$E$4)+(Option_Portfolio!$H$4+0.5*Option_Portfolio!$G$4^2)*Option_Portfolio!$F$4)/(Option_Portfolio!$G$4*SQRT(Option_Portfolio!$F$4))</f>
        <v>0.15541683539320983</v>
      </c>
      <c r="F40" s="63">
        <f>(LN(D40/Option_Portfolio!$E$5)+(Option_Portfolio!$H$5+0.5*Option_Portfolio!$G$5^2)*Option_Portfolio!$F$5)/(Option_Portfolio!$G$5*SQRT(Option_Portfolio!$F$5))</f>
        <v>1.2980466822307712</v>
      </c>
      <c r="G40" s="62">
        <f>E40-Option_Portfolio!$G$4*SQRT(Option_Portfolio!$F$4)</f>
        <v>3.5208682591496732E-2</v>
      </c>
      <c r="H40" s="63">
        <f>F40-Option_Portfolio!$G$5*SQRT(Option_Portfolio!$F$5)</f>
        <v>1.1424831903697308</v>
      </c>
      <c r="I40" s="115">
        <f t="shared" si="0"/>
        <v>0.56175364364936708</v>
      </c>
      <c r="J40" s="116">
        <f t="shared" si="1"/>
        <v>0.90286435295033152</v>
      </c>
      <c r="K40" s="115">
        <f t="shared" si="2"/>
        <v>0.51404333059081408</v>
      </c>
      <c r="L40" s="116">
        <f t="shared" si="3"/>
        <v>0.87337338534473485</v>
      </c>
      <c r="M40" s="62">
        <f>(1-K40)*Option_Portfolio!$E$4*EXP(-Option_Portfolio!$H$4*Option_Portfolio!$F$4)-(1-I40)*C40</f>
        <v>3.6080390522436474</v>
      </c>
      <c r="N40" s="116">
        <f>J40*D40-L40*Option_Portfolio!$E$5*EXP(-Option_Portfolio!$H$5*Option_Portfolio!$F$5)</f>
        <v>26.056742238550157</v>
      </c>
      <c r="O40" s="120">
        <f>M40 * -Option_Portfolio!$B$4 * 1000 + N40 * Option_Portfolio!$B$5 * 1000</f>
        <v>26857211.111394782</v>
      </c>
      <c r="P40" s="123">
        <f t="shared" si="4"/>
        <v>3.7329244202805256E-2</v>
      </c>
    </row>
    <row r="41" spans="2:16">
      <c r="B41" s="57" t="s">
        <v>71</v>
      </c>
      <c r="C41" s="62">
        <f>$C$17*(1+Underlying_Assets!H32)</f>
        <v>85.110319919517096</v>
      </c>
      <c r="D41" s="8">
        <f>$D$17*(1+Underlying_Assets!I32)</f>
        <v>144.6533819360065</v>
      </c>
      <c r="E41" s="62">
        <f>(LN(C41/Option_Portfolio!$E$4)+(Option_Portfolio!$H$4+0.5*Option_Portfolio!$G$4^2)*Option_Portfolio!$F$4)/(Option_Portfolio!$G$4*SQRT(Option_Portfolio!$F$4))</f>
        <v>0.11248854234010673</v>
      </c>
      <c r="F41" s="63">
        <f>(LN(D41/Option_Portfolio!$E$5)+(Option_Portfolio!$H$5+0.5*Option_Portfolio!$G$5^2)*Option_Portfolio!$F$5)/(Option_Portfolio!$G$5*SQRT(Option_Portfolio!$F$5))</f>
        <v>1.3110316955366612</v>
      </c>
      <c r="G41" s="62">
        <f>E41-Option_Portfolio!$G$4*SQRT(Option_Portfolio!$F$4)</f>
        <v>-7.719610461606366E-3</v>
      </c>
      <c r="H41" s="63">
        <f>F41-Option_Portfolio!$G$5*SQRT(Option_Portfolio!$F$5)</f>
        <v>1.1554682036756208</v>
      </c>
      <c r="I41" s="115">
        <f t="shared" si="0"/>
        <v>0.54478197301454356</v>
      </c>
      <c r="J41" s="116">
        <f t="shared" si="1"/>
        <v>0.90507647225960763</v>
      </c>
      <c r="K41" s="115">
        <f t="shared" si="2"/>
        <v>0.4969203515859324</v>
      </c>
      <c r="L41" s="116">
        <f t="shared" si="3"/>
        <v>0.87605062694155578</v>
      </c>
      <c r="M41" s="62">
        <f>(1-K41)*Option_Portfolio!$E$4*EXP(-Option_Portfolio!$H$4*Option_Portfolio!$F$4)-(1-I41)*C41</f>
        <v>3.8047429871249108</v>
      </c>
      <c r="N41" s="116">
        <f>J41*D41-L41*Option_Portfolio!$E$5*EXP(-Option_Portfolio!$H$5*Option_Portfolio!$F$5)</f>
        <v>26.320615877691893</v>
      </c>
      <c r="O41" s="120">
        <f>M41 * -Option_Portfolio!$B$4 * 1000 + N41 * Option_Portfolio!$B$5 * 1000</f>
        <v>26008030.845509406</v>
      </c>
      <c r="P41" s="123">
        <f t="shared" si="4"/>
        <v>-3.1618333801050946E-2</v>
      </c>
    </row>
    <row r="42" spans="2:16">
      <c r="B42" s="57" t="s">
        <v>72</v>
      </c>
      <c r="C42" s="62">
        <f>$C$17*(1+Underlying_Assets!H33)</f>
        <v>86.356959562176939</v>
      </c>
      <c r="D42" s="8">
        <f>$D$17*(1+Underlying_Assets!I33)</f>
        <v>145.12288668153255</v>
      </c>
      <c r="E42" s="62">
        <f>(LN(C42/Option_Portfolio!$E$4)+(Option_Portfolio!$H$4+0.5*Option_Portfolio!$G$4^2)*Option_Portfolio!$F$4)/(Option_Portfolio!$G$4*SQRT(Option_Portfolio!$F$4))</f>
        <v>0.2334545646908377</v>
      </c>
      <c r="F42" s="63">
        <f>(LN(D42/Option_Portfolio!$E$5)+(Option_Portfolio!$H$5+0.5*Option_Portfolio!$G$5^2)*Option_Portfolio!$F$5)/(Option_Portfolio!$G$5*SQRT(Option_Portfolio!$F$5))</f>
        <v>1.3318622036231584</v>
      </c>
      <c r="G42" s="62">
        <f>E42-Option_Portfolio!$G$4*SQRT(Option_Portfolio!$F$4)</f>
        <v>0.1132464118891246</v>
      </c>
      <c r="H42" s="63">
        <f>F42-Option_Portfolio!$G$5*SQRT(Option_Portfolio!$F$5)</f>
        <v>1.176298711762118</v>
      </c>
      <c r="I42" s="115">
        <f t="shared" si="0"/>
        <v>0.59229577652609144</v>
      </c>
      <c r="J42" s="116">
        <f t="shared" si="1"/>
        <v>0.90854726347666048</v>
      </c>
      <c r="K42" s="115">
        <f t="shared" si="2"/>
        <v>0.54508239952946647</v>
      </c>
      <c r="L42" s="116">
        <f t="shared" si="3"/>
        <v>0.88026223480756183</v>
      </c>
      <c r="M42" s="62">
        <f>(1-K42)*Option_Portfolio!$E$4*EXP(-Option_Portfolio!$H$4*Option_Portfolio!$F$4)-(1-I42)*C42</f>
        <v>3.2670414653035209</v>
      </c>
      <c r="N42" s="116">
        <f>J42*D42-L42*Option_Portfolio!$E$5*EXP(-Option_Portfolio!$H$5*Option_Portfolio!$F$5)</f>
        <v>26.746372530872307</v>
      </c>
      <c r="O42" s="120">
        <f>M42 * -Option_Portfolio!$B$4 * 1000 + N42 * Option_Portfolio!$B$5 * 1000</f>
        <v>30623454.804619972</v>
      </c>
      <c r="P42" s="123">
        <f t="shared" si="4"/>
        <v>0.17746149204938644</v>
      </c>
    </row>
    <row r="43" spans="2:16">
      <c r="B43" s="57" t="s">
        <v>73</v>
      </c>
      <c r="C43" s="62">
        <f>$C$17*(1+Underlying_Assets!H34)</f>
        <v>85.429410344133615</v>
      </c>
      <c r="D43" s="8">
        <f>$D$17*(1+Underlying_Assets!I34)</f>
        <v>145.12216828478964</v>
      </c>
      <c r="E43" s="62">
        <f>(LN(C43/Option_Portfolio!$E$4)+(Option_Portfolio!$H$4+0.5*Option_Portfolio!$G$4^2)*Option_Portfolio!$F$4)/(Option_Portfolio!$G$4*SQRT(Option_Portfolio!$F$4))</f>
        <v>0.14361894793520832</v>
      </c>
      <c r="F43" s="63">
        <f>(LN(D43/Option_Portfolio!$E$5)+(Option_Portfolio!$H$5+0.5*Option_Portfolio!$G$5^2)*Option_Portfolio!$F$5)/(Option_Portfolio!$G$5*SQRT(Option_Portfolio!$F$5))</f>
        <v>1.3318303820359225</v>
      </c>
      <c r="G43" s="62">
        <f>E43-Option_Portfolio!$G$4*SQRT(Option_Portfolio!$F$4)</f>
        <v>2.3410795133495227E-2</v>
      </c>
      <c r="H43" s="63">
        <f>F43-Option_Portfolio!$G$5*SQRT(Option_Portfolio!$F$5)</f>
        <v>1.1762668901748821</v>
      </c>
      <c r="I43" s="115">
        <f t="shared" si="0"/>
        <v>0.55709931125584944</v>
      </c>
      <c r="J43" s="116">
        <f t="shared" si="1"/>
        <v>0.90854203406333811</v>
      </c>
      <c r="K43" s="115">
        <f t="shared" si="2"/>
        <v>0.50933870295222583</v>
      </c>
      <c r="L43" s="116">
        <f t="shared" si="3"/>
        <v>0.88025587889331902</v>
      </c>
      <c r="M43" s="62">
        <f>(1-K43)*Option_Portfolio!$E$4*EXP(-Option_Portfolio!$H$4*Option_Portfolio!$F$4)-(1-I43)*C43</f>
        <v>3.6614549772258087</v>
      </c>
      <c r="N43" s="116">
        <f>J43*D43-L43*Option_Portfolio!$E$5*EXP(-Option_Portfolio!$H$5*Option_Portfolio!$F$5)</f>
        <v>26.745719835355843</v>
      </c>
      <c r="O43" s="120">
        <f>M43 * -Option_Portfolio!$B$4 * 1000 + N43 * Option_Portfolio!$B$5 * 1000</f>
        <v>27861254.83013102</v>
      </c>
      <c r="P43" s="123">
        <f t="shared" si="4"/>
        <v>-9.0198835895949792E-2</v>
      </c>
    </row>
    <row r="44" spans="2:16">
      <c r="B44" s="57" t="s">
        <v>74</v>
      </c>
      <c r="C44" s="62">
        <f>$C$17*(1+Underlying_Assets!H35)</f>
        <v>85.670729145627149</v>
      </c>
      <c r="D44" s="8">
        <f>$D$17*(1+Underlying_Assets!I35)</f>
        <v>146.02736629667004</v>
      </c>
      <c r="E44" s="62">
        <f>(LN(C44/Option_Portfolio!$E$4)+(Option_Portfolio!$H$4+0.5*Option_Portfolio!$G$4^2)*Option_Portfolio!$F$4)/(Option_Portfolio!$G$4*SQRT(Option_Portfolio!$F$4))</f>
        <v>0.16708484472705334</v>
      </c>
      <c r="F44" s="63">
        <f>(LN(D44/Option_Portfolio!$E$5)+(Option_Portfolio!$H$5+0.5*Option_Portfolio!$G$5^2)*Option_Portfolio!$F$5)/(Option_Portfolio!$G$5*SQRT(Option_Portfolio!$F$5))</f>
        <v>1.3718019517092845</v>
      </c>
      <c r="G44" s="62">
        <f>E44-Option_Portfolio!$G$4*SQRT(Option_Portfolio!$F$4)</f>
        <v>4.6876691925340247E-2</v>
      </c>
      <c r="H44" s="63">
        <f>F44-Option_Portfolio!$G$5*SQRT(Option_Portfolio!$F$5)</f>
        <v>1.2162384598482441</v>
      </c>
      <c r="I44" s="115">
        <f t="shared" si="0"/>
        <v>0.56634835473010536</v>
      </c>
      <c r="J44" s="116">
        <f t="shared" si="1"/>
        <v>0.91493745023092343</v>
      </c>
      <c r="K44" s="115">
        <f t="shared" si="2"/>
        <v>0.51869424759161675</v>
      </c>
      <c r="L44" s="116">
        <f t="shared" si="3"/>
        <v>0.88805295158681152</v>
      </c>
      <c r="M44" s="62">
        <f>(1-K44)*Option_Portfolio!$E$4*EXP(-Option_Portfolio!$H$4*Option_Portfolio!$F$4)-(1-I44)*C44</f>
        <v>3.5556919005802783</v>
      </c>
      <c r="N44" s="116">
        <f>J44*D44-L44*Option_Portfolio!$E$5*EXP(-Option_Portfolio!$H$5*Option_Portfolio!$F$5)</f>
        <v>27.571053901879679</v>
      </c>
      <c r="O44" s="120">
        <f>M44 * -Option_Portfolio!$B$4 * 1000 + N44 * Option_Portfolio!$B$5 * 1000</f>
        <v>30252264.49969741</v>
      </c>
      <c r="P44" s="123">
        <f t="shared" si="4"/>
        <v>8.58184487433995E-2</v>
      </c>
    </row>
    <row r="45" spans="2:16">
      <c r="B45" s="57" t="s">
        <v>75</v>
      </c>
      <c r="C45" s="62">
        <f>$C$17*(1+Underlying_Assets!H36)</f>
        <v>85.298041237113409</v>
      </c>
      <c r="D45" s="8">
        <f>$D$17*(1+Underlying_Assets!I36)</f>
        <v>145.53892335401244</v>
      </c>
      <c r="E45" s="62">
        <f>(LN(C45/Option_Portfolio!$E$4)+(Option_Portfolio!$H$4+0.5*Option_Portfolio!$G$4^2)*Option_Portfolio!$F$4)/(Option_Portfolio!$G$4*SQRT(Option_Portfolio!$F$4))</f>
        <v>0.13081670547763355</v>
      </c>
      <c r="F45" s="63">
        <f>(LN(D45/Option_Portfolio!$E$5)+(Option_Portfolio!$H$5+0.5*Option_Portfolio!$G$5^2)*Option_Portfolio!$F$5)/(Option_Portfolio!$G$5*SQRT(Option_Portfolio!$F$5))</f>
        <v>1.3502642554596733</v>
      </c>
      <c r="G45" s="62">
        <f>E45-Option_Portfolio!$G$4*SQRT(Option_Portfolio!$F$4)</f>
        <v>1.0608552675920452E-2</v>
      </c>
      <c r="H45" s="63">
        <f>F45-Option_Portfolio!$G$5*SQRT(Option_Portfolio!$F$5)</f>
        <v>1.1947007635986329</v>
      </c>
      <c r="I45" s="115">
        <f t="shared" si="0"/>
        <v>0.55203984624851787</v>
      </c>
      <c r="J45" s="116">
        <f t="shared" si="1"/>
        <v>0.91153438317308355</v>
      </c>
      <c r="K45" s="115">
        <f t="shared" si="2"/>
        <v>0.50423212081468183</v>
      </c>
      <c r="L45" s="116">
        <f t="shared" si="3"/>
        <v>0.88389801799114032</v>
      </c>
      <c r="M45" s="62">
        <f>(1-K45)*Option_Portfolio!$E$4*EXP(-Option_Portfolio!$H$4*Option_Portfolio!$F$4)-(1-I45)*C45</f>
        <v>3.719970591366355</v>
      </c>
      <c r="N45" s="116">
        <f>J45*D45-L45*Option_Portfolio!$E$5*EXP(-Option_Portfolio!$H$5*Option_Portfolio!$F$5)</f>
        <v>27.124985738990901</v>
      </c>
      <c r="O45" s="120">
        <f>M45 * -Option_Portfolio!$B$4 * 1000 + N45 * Option_Portfolio!$B$5 * 1000</f>
        <v>28210177.338417321</v>
      </c>
      <c r="P45" s="123">
        <f t="shared" si="4"/>
        <v>-6.7501960433425157E-2</v>
      </c>
    </row>
    <row r="46" spans="2:16">
      <c r="B46" s="57" t="s">
        <v>76</v>
      </c>
      <c r="C46" s="62">
        <f>$C$17*(1+Underlying_Assets!H37)</f>
        <v>85.121536117037479</v>
      </c>
      <c r="D46" s="8">
        <f>$D$17*(1+Underlying_Assets!I37)</f>
        <v>137.66450970632155</v>
      </c>
      <c r="E46" s="62">
        <f>(LN(C46/Option_Portfolio!$E$4)+(Option_Portfolio!$H$4+0.5*Option_Portfolio!$G$4^2)*Option_Portfolio!$F$4)/(Option_Portfolio!$G$4*SQRT(Option_Portfolio!$F$4))</f>
        <v>0.11358477033131599</v>
      </c>
      <c r="F46" s="63">
        <f>(LN(D46/Option_Portfolio!$E$5)+(Option_Portfolio!$H$5+0.5*Option_Portfolio!$G$5^2)*Option_Portfolio!$F$5)/(Option_Portfolio!$G$5*SQRT(Option_Portfolio!$F$5))</f>
        <v>0.99270009658343406</v>
      </c>
      <c r="G46" s="62">
        <f>E46-Option_Portfolio!$G$4*SQRT(Option_Portfolio!$F$4)</f>
        <v>-6.6233824703971073E-3</v>
      </c>
      <c r="H46" s="63">
        <f>F46-Option_Portfolio!$G$5*SQRT(Option_Portfolio!$F$5)</f>
        <v>0.8371366047223936</v>
      </c>
      <c r="I46" s="115">
        <f t="shared" si="0"/>
        <v>0.54521651963753537</v>
      </c>
      <c r="J46" s="116">
        <f t="shared" si="1"/>
        <v>0.83957193606790759</v>
      </c>
      <c r="K46" s="115">
        <f t="shared" si="2"/>
        <v>0.49735767201277015</v>
      </c>
      <c r="L46" s="116">
        <f t="shared" si="3"/>
        <v>0.79874210652977073</v>
      </c>
      <c r="M46" s="62">
        <f>(1-K46)*Option_Portfolio!$E$4*EXP(-Option_Portfolio!$H$4*Option_Portfolio!$F$4)-(1-I46)*C46</f>
        <v>3.7996396089036324</v>
      </c>
      <c r="N46" s="116">
        <f>J46*D46-L46*Option_Portfolio!$E$5*EXP(-Option_Portfolio!$H$5*Option_Portfolio!$F$5)</f>
        <v>20.208255303522904</v>
      </c>
      <c r="O46" s="120">
        <f>M46 * -Option_Portfolio!$B$4 * 1000 + N46 * Option_Portfolio!$B$5 * 1000</f>
        <v>13819033.344720379</v>
      </c>
      <c r="P46" s="123">
        <f t="shared" si="4"/>
        <v>-0.51014014626908155</v>
      </c>
    </row>
    <row r="47" spans="2:16">
      <c r="B47" s="57" t="s">
        <v>77</v>
      </c>
      <c r="C47" s="62">
        <f>$C$17*(1+Underlying_Assets!H38)</f>
        <v>86.082187883749484</v>
      </c>
      <c r="D47" s="8">
        <f>$D$17*(1+Underlying_Assets!I38)</f>
        <v>145.0122722513089</v>
      </c>
      <c r="E47" s="62">
        <f>(LN(C47/Option_Portfolio!$E$4)+(Option_Portfolio!$H$4+0.5*Option_Portfolio!$G$4^2)*Option_Portfolio!$F$4)/(Option_Portfolio!$G$4*SQRT(Option_Portfolio!$F$4))</f>
        <v>0.20694317220154235</v>
      </c>
      <c r="F47" s="63">
        <f>(LN(D47/Option_Portfolio!$E$5)+(Option_Portfolio!$H$5+0.5*Option_Portfolio!$G$5^2)*Option_Portfolio!$F$5)/(Option_Portfolio!$G$5*SQRT(Option_Portfolio!$F$5))</f>
        <v>1.3269606499795161</v>
      </c>
      <c r="G47" s="62">
        <f>E47-Option_Portfolio!$G$4*SQRT(Option_Portfolio!$F$4)</f>
        <v>8.673501939982925E-2</v>
      </c>
      <c r="H47" s="63">
        <f>F47-Option_Portfolio!$G$5*SQRT(Option_Portfolio!$F$5)</f>
        <v>1.1713971581184757</v>
      </c>
      <c r="I47" s="115">
        <f t="shared" si="0"/>
        <v>0.58197288015754989</v>
      </c>
      <c r="J47" s="116">
        <f t="shared" si="1"/>
        <v>0.90773915009860429</v>
      </c>
      <c r="K47" s="115">
        <f t="shared" si="2"/>
        <v>0.53455893007899924</v>
      </c>
      <c r="L47" s="116">
        <f t="shared" si="3"/>
        <v>0.87928041297181359</v>
      </c>
      <c r="M47" s="62">
        <f>(1-K47)*Option_Portfolio!$E$4*EXP(-Option_Portfolio!$H$4*Option_Portfolio!$F$4)-(1-I47)*C47</f>
        <v>3.3804831257356582</v>
      </c>
      <c r="N47" s="116">
        <f>J47*D47-L47*Option_Portfolio!$E$5*EXP(-Option_Portfolio!$H$5*Option_Portfolio!$F$5)</f>
        <v>26.645918733272595</v>
      </c>
      <c r="O47" s="120">
        <f>M47 * -Option_Portfolio!$B$4 * 1000 + N47 * Option_Portfolio!$B$5 * 1000</f>
        <v>29628455.586395584</v>
      </c>
      <c r="P47" s="123">
        <f t="shared" si="4"/>
        <v>1.1440324259522292</v>
      </c>
    </row>
    <row r="48" spans="2:16">
      <c r="B48" s="57" t="s">
        <v>78</v>
      </c>
      <c r="C48" s="62">
        <f>$C$17*(1+Underlying_Assets!H39)</f>
        <v>85.713782489042899</v>
      </c>
      <c r="D48" s="8">
        <f>$D$17*(1+Underlying_Assets!I39)</f>
        <v>145.31476369719783</v>
      </c>
      <c r="E48" s="62">
        <f>(LN(C48/Option_Portfolio!$E$4)+(Option_Portfolio!$H$4+0.5*Option_Portfolio!$G$4^2)*Option_Portfolio!$F$4)/(Option_Portfolio!$G$4*SQRT(Option_Portfolio!$F$4))</f>
        <v>0.17126441270648105</v>
      </c>
      <c r="F48" s="63">
        <f>(LN(D48/Option_Portfolio!$E$5)+(Option_Portfolio!$H$5+0.5*Option_Portfolio!$G$5^2)*Option_Portfolio!$F$5)/(Option_Portfolio!$G$5*SQRT(Option_Portfolio!$F$5))</f>
        <v>1.3403558155907216</v>
      </c>
      <c r="G48" s="62">
        <f>E48-Option_Portfolio!$G$4*SQRT(Option_Portfolio!$F$4)</f>
        <v>5.1056259904767948E-2</v>
      </c>
      <c r="H48" s="63">
        <f>F48-Option_Portfolio!$G$5*SQRT(Option_Portfolio!$F$5)</f>
        <v>1.1847923237296811</v>
      </c>
      <c r="I48" s="115">
        <f t="shared" si="0"/>
        <v>0.56799206922928192</v>
      </c>
      <c r="J48" s="116">
        <f t="shared" si="1"/>
        <v>0.90993515337075803</v>
      </c>
      <c r="K48" s="115">
        <f t="shared" si="2"/>
        <v>0.52035965497762304</v>
      </c>
      <c r="L48" s="116">
        <f t="shared" si="3"/>
        <v>0.88195021580414068</v>
      </c>
      <c r="M48" s="62">
        <f>(1-K48)*Option_Portfolio!$E$4*EXP(-Option_Portfolio!$H$4*Option_Portfolio!$F$4)-(1-I48)*C48</f>
        <v>3.5370571382088158</v>
      </c>
      <c r="N48" s="116">
        <f>J48*D48-L48*Option_Portfolio!$E$5*EXP(-Option_Portfolio!$H$5*Option_Portfolio!$F$5)</f>
        <v>26.920835301629268</v>
      </c>
      <c r="O48" s="120">
        <f>M48 * -Option_Portfolio!$B$4 * 1000 + N48 * Option_Portfolio!$B$5 * 1000</f>
        <v>29082270.635796823</v>
      </c>
      <c r="P48" s="123">
        <f t="shared" si="4"/>
        <v>-1.8434472529494594E-2</v>
      </c>
    </row>
    <row r="49" spans="2:16">
      <c r="B49" s="57" t="s">
        <v>79</v>
      </c>
      <c r="C49" s="62">
        <f>$C$17*(1+Underlying_Assets!H40)</f>
        <v>84.419981647634572</v>
      </c>
      <c r="D49" s="8">
        <f>$D$17*(1+Underlying_Assets!I40)</f>
        <v>144.7698270473015</v>
      </c>
      <c r="E49" s="62">
        <f>(LN(C49/Option_Portfolio!$E$4)+(Option_Portfolio!$H$4+0.5*Option_Portfolio!$G$4^2)*Option_Portfolio!$F$4)/(Option_Portfolio!$G$4*SQRT(Option_Portfolio!$F$4))</f>
        <v>4.4737951171337255E-2</v>
      </c>
      <c r="F49" s="63">
        <f>(LN(D49/Option_Portfolio!$E$5)+(Option_Portfolio!$H$5+0.5*Option_Portfolio!$G$5^2)*Option_Portfolio!$F$5)/(Option_Portfolio!$G$5*SQRT(Option_Portfolio!$F$5))</f>
        <v>1.3162043115737163</v>
      </c>
      <c r="G49" s="62">
        <f>E49-Option_Portfolio!$G$4*SQRT(Option_Portfolio!$F$4)</f>
        <v>-7.5470201630375849E-2</v>
      </c>
      <c r="H49" s="63">
        <f>F49-Option_Portfolio!$G$5*SQRT(Option_Portfolio!$F$5)</f>
        <v>1.1606408197126759</v>
      </c>
      <c r="I49" s="115">
        <f t="shared" si="0"/>
        <v>0.5178419083458492</v>
      </c>
      <c r="J49" s="116">
        <f t="shared" si="1"/>
        <v>0.90594726151360028</v>
      </c>
      <c r="K49" s="115">
        <f t="shared" si="2"/>
        <v>0.46992030277842273</v>
      </c>
      <c r="L49" s="116">
        <f t="shared" si="3"/>
        <v>0.87710600102428726</v>
      </c>
      <c r="M49" s="62">
        <f>(1-K49)*Option_Portfolio!$E$4*EXP(-Option_Portfolio!$H$4*Option_Portfolio!$F$4)-(1-I49)*C49</f>
        <v>4.1282754159806672</v>
      </c>
      <c r="N49" s="116">
        <f>J49*D49-L49*Option_Portfolio!$E$5*EXP(-Option_Portfolio!$H$5*Option_Portfolio!$F$5)</f>
        <v>26.426058372025693</v>
      </c>
      <c r="O49" s="120">
        <f>M49 * -Option_Portfolio!$B$4 * 1000 + N49 * Option_Portfolio!$B$5 * 1000</f>
        <v>23954188.832186718</v>
      </c>
      <c r="P49" s="123">
        <f t="shared" si="4"/>
        <v>-0.17633017269628337</v>
      </c>
    </row>
    <row r="50" spans="2:16">
      <c r="B50" s="57" t="s">
        <v>80</v>
      </c>
      <c r="C50" s="62">
        <f>$C$17*(1+Underlying_Assets!H41)</f>
        <v>85.748878533706119</v>
      </c>
      <c r="D50" s="8">
        <f>$D$17*(1+Underlying_Assets!I41)</f>
        <v>145.55448103376406</v>
      </c>
      <c r="E50" s="62">
        <f>(LN(C50/Option_Portfolio!$E$4)+(Option_Portfolio!$H$4+0.5*Option_Portfolio!$G$4^2)*Option_Portfolio!$F$4)/(Option_Portfolio!$G$4*SQRT(Option_Portfolio!$F$4))</f>
        <v>0.17466994256802704</v>
      </c>
      <c r="F50" s="63">
        <f>(LN(D50/Option_Portfolio!$E$5)+(Option_Portfolio!$H$5+0.5*Option_Portfolio!$G$5^2)*Option_Portfolio!$F$5)/(Option_Portfolio!$G$5*SQRT(Option_Portfolio!$F$5))</f>
        <v>1.3509513789175522</v>
      </c>
      <c r="G50" s="62">
        <f>E50-Option_Portfolio!$G$4*SQRT(Option_Portfolio!$F$4)</f>
        <v>5.4461789766313939E-2</v>
      </c>
      <c r="H50" s="63">
        <f>F50-Option_Portfolio!$G$5*SQRT(Option_Portfolio!$F$5)</f>
        <v>1.1953878870565118</v>
      </c>
      <c r="I50" s="115">
        <f t="shared" si="0"/>
        <v>0.56933050649800576</v>
      </c>
      <c r="J50" s="116">
        <f t="shared" si="1"/>
        <v>0.9116444959105432</v>
      </c>
      <c r="K50" s="115">
        <f t="shared" si="2"/>
        <v>0.5217163746327258</v>
      </c>
      <c r="L50" s="116">
        <f t="shared" si="3"/>
        <v>0.88403224198325248</v>
      </c>
      <c r="M50" s="62">
        <f>(1-K50)*Option_Portfolio!$E$4*EXP(-Option_Portfolio!$H$4*Option_Portfolio!$F$4)-(1-I50)*C50</f>
        <v>3.521918859410988</v>
      </c>
      <c r="N50" s="116">
        <f>J50*D50-L50*Option_Portfolio!$E$5*EXP(-Option_Portfolio!$H$5*Option_Portfolio!$F$5)</f>
        <v>27.139167955703996</v>
      </c>
      <c r="O50" s="120">
        <f>M50 * -Option_Portfolio!$B$4 * 1000 + N50 * Option_Portfolio!$B$5 * 1000</f>
        <v>29624903.895531077</v>
      </c>
      <c r="P50" s="123">
        <f t="shared" si="4"/>
        <v>0.23673166739525509</v>
      </c>
    </row>
    <row r="51" spans="2:16">
      <c r="B51" s="57" t="s">
        <v>81</v>
      </c>
      <c r="C51" s="62">
        <f>$C$17*(1+Underlying_Assets!H42)</f>
        <v>86.103982190929798</v>
      </c>
      <c r="D51" s="8">
        <f>$D$17*(1+Underlying_Assets!I42)</f>
        <v>143.11872278664734</v>
      </c>
      <c r="E51" s="62">
        <f>(LN(C51/Option_Portfolio!$E$4)+(Option_Portfolio!$H$4+0.5*Option_Portfolio!$G$4^2)*Option_Portfolio!$F$4)/(Option_Portfolio!$G$4*SQRT(Option_Portfolio!$F$4))</f>
        <v>0.20904908738612668</v>
      </c>
      <c r="F51" s="63">
        <f>(LN(D51/Option_Portfolio!$E$5)+(Option_Portfolio!$H$5+0.5*Option_Portfolio!$G$5^2)*Option_Portfolio!$F$5)/(Option_Portfolio!$G$5*SQRT(Option_Portfolio!$F$5))</f>
        <v>1.2424687180336424</v>
      </c>
      <c r="G51" s="62">
        <f>E51-Option_Portfolio!$G$4*SQRT(Option_Portfolio!$F$4)</f>
        <v>8.8840934584413583E-2</v>
      </c>
      <c r="H51" s="63">
        <f>F51-Option_Portfolio!$G$5*SQRT(Option_Portfolio!$F$5)</f>
        <v>1.086905226172602</v>
      </c>
      <c r="I51" s="115">
        <f t="shared" si="0"/>
        <v>0.5827950405606861</v>
      </c>
      <c r="J51" s="116">
        <f t="shared" si="1"/>
        <v>0.89296816236581156</v>
      </c>
      <c r="K51" s="115">
        <f t="shared" si="2"/>
        <v>0.53539583740073282</v>
      </c>
      <c r="L51" s="116">
        <f t="shared" si="3"/>
        <v>0.86146065179057341</v>
      </c>
      <c r="M51" s="62">
        <f>(1-K51)*Option_Portfolio!$E$4*EXP(-Option_Portfolio!$H$4*Option_Portfolio!$F$4)-(1-I51)*C51</f>
        <v>3.3713814745163617</v>
      </c>
      <c r="N51" s="116">
        <f>J51*D51-L51*Option_Portfolio!$E$5*EXP(-Option_Portfolio!$H$5*Option_Portfolio!$F$5)</f>
        <v>24.940771023124569</v>
      </c>
      <c r="O51" s="120">
        <f>M51 * -Option_Portfolio!$B$4 * 1000 + N51 * Option_Portfolio!$B$5 * 1000</f>
        <v>26281871.724634603</v>
      </c>
      <c r="P51" s="123">
        <f t="shared" si="4"/>
        <v>-0.11284533386792761</v>
      </c>
    </row>
    <row r="52" spans="2:16">
      <c r="B52" s="57" t="s">
        <v>82</v>
      </c>
      <c r="C52" s="62">
        <f>$C$17*(1+Underlying_Assets!H43)</f>
        <v>85.925641818744197</v>
      </c>
      <c r="D52" s="8">
        <f>$D$17*(1+Underlying_Assets!I43)</f>
        <v>145.34675896790435</v>
      </c>
      <c r="E52" s="62">
        <f>(LN(C52/Option_Portfolio!$E$4)+(Option_Portfolio!$H$4+0.5*Option_Portfolio!$G$4^2)*Option_Portfolio!$F$4)/(Option_Portfolio!$G$4*SQRT(Option_Portfolio!$F$4))</f>
        <v>0.19180093199242587</v>
      </c>
      <c r="F52" s="63">
        <f>(LN(D52/Option_Portfolio!$E$5)+(Option_Portfolio!$H$5+0.5*Option_Portfolio!$G$5^2)*Option_Portfolio!$F$5)/(Option_Portfolio!$G$5*SQRT(Option_Portfolio!$F$5))</f>
        <v>1.3417710245167995</v>
      </c>
      <c r="G52" s="62">
        <f>E52-Option_Portfolio!$G$4*SQRT(Option_Portfolio!$F$4)</f>
        <v>7.1592779190712774E-2</v>
      </c>
      <c r="H52" s="63">
        <f>F52-Option_Portfolio!$G$5*SQRT(Option_Portfolio!$F$5)</f>
        <v>1.1862075326557591</v>
      </c>
      <c r="I52" s="115">
        <f t="shared" si="0"/>
        <v>0.57605092955276493</v>
      </c>
      <c r="J52" s="116">
        <f t="shared" si="1"/>
        <v>0.91016487503835763</v>
      </c>
      <c r="K52" s="115">
        <f t="shared" si="2"/>
        <v>0.52853700664918124</v>
      </c>
      <c r="L52" s="116">
        <f t="shared" si="3"/>
        <v>0.8822298238848405</v>
      </c>
      <c r="M52" s="62">
        <f>(1-K52)*Option_Portfolio!$E$4*EXP(-Option_Portfolio!$H$4*Option_Portfolio!$F$4)-(1-I52)*C52</f>
        <v>3.4463867815974396</v>
      </c>
      <c r="N52" s="116">
        <f>J52*D52-L52*Option_Portfolio!$E$5*EXP(-Option_Portfolio!$H$5*Option_Portfolio!$F$5)</f>
        <v>26.949952599487503</v>
      </c>
      <c r="O52" s="120">
        <f>M52 * -Option_Portfolio!$B$4 * 1000 + N52 * Option_Portfolio!$B$5 * 1000</f>
        <v>29775197.727792926</v>
      </c>
      <c r="P52" s="123">
        <f t="shared" si="4"/>
        <v>0.13291770235237665</v>
      </c>
    </row>
    <row r="53" spans="2:16">
      <c r="B53" s="57" t="s">
        <v>83</v>
      </c>
      <c r="C53" s="62">
        <f>$C$17*(1+Underlying_Assets!H44)</f>
        <v>85.422444444444437</v>
      </c>
      <c r="D53" s="8">
        <f>$D$17*(1+Underlying_Assets!I44)</f>
        <v>143.92242424242426</v>
      </c>
      <c r="E53" s="62">
        <f>(LN(C53/Option_Portfolio!$E$4)+(Option_Portfolio!$H$4+0.5*Option_Portfolio!$G$4^2)*Option_Portfolio!$F$4)/(Option_Portfolio!$G$4*SQRT(Option_Portfolio!$F$4))</f>
        <v>0.14294059830802044</v>
      </c>
      <c r="F53" s="63">
        <f>(LN(D53/Option_Portfolio!$E$5)+(Option_Portfolio!$H$5+0.5*Option_Portfolio!$G$5^2)*Option_Portfolio!$F$5)/(Option_Portfolio!$G$5*SQRT(Option_Portfolio!$F$5))</f>
        <v>1.2784663593874772</v>
      </c>
      <c r="G53" s="62">
        <f>E53-Option_Portfolio!$G$4*SQRT(Option_Portfolio!$F$4)</f>
        <v>2.2732445506307347E-2</v>
      </c>
      <c r="H53" s="63">
        <f>F53-Option_Portfolio!$G$5*SQRT(Option_Portfolio!$F$5)</f>
        <v>1.1229028675264368</v>
      </c>
      <c r="I53" s="115">
        <f t="shared" si="0"/>
        <v>0.55683145252156308</v>
      </c>
      <c r="J53" s="116">
        <f t="shared" si="1"/>
        <v>0.89945748051178087</v>
      </c>
      <c r="K53" s="115">
        <f t="shared" si="2"/>
        <v>0.50906815262673888</v>
      </c>
      <c r="L53" s="116">
        <f t="shared" si="3"/>
        <v>0.86926062523064684</v>
      </c>
      <c r="M53" s="62">
        <f>(1-K53)*Option_Portfolio!$E$4*EXP(-Option_Portfolio!$H$4*Option_Portfolio!$F$4)-(1-I53)*C53</f>
        <v>3.6645411119066083</v>
      </c>
      <c r="N53" s="116">
        <f>J53*D53-L53*Option_Portfolio!$E$5*EXP(-Option_Portfolio!$H$5*Option_Portfolio!$F$5)</f>
        <v>25.661080725199341</v>
      </c>
      <c r="O53" s="120">
        <f>M53 * -Option_Portfolio!$B$4 * 1000 + N53 * Option_Portfolio!$B$5 * 1000</f>
        <v>25670373.667052418</v>
      </c>
      <c r="P53" s="123">
        <f t="shared" si="4"/>
        <v>-0.13786051391722454</v>
      </c>
    </row>
    <row r="54" spans="2:16">
      <c r="B54" s="57" t="s">
        <v>84</v>
      </c>
      <c r="C54" s="62">
        <f>$C$17*(1+Underlying_Assets!H45)</f>
        <v>85.695731102850061</v>
      </c>
      <c r="D54" s="8">
        <f>$D$17*(1+Underlying_Assets!I45)</f>
        <v>143.36904962153071</v>
      </c>
      <c r="E54" s="62">
        <f>(LN(C54/Option_Portfolio!$E$4)+(Option_Portfolio!$H$4+0.5*Option_Portfolio!$G$4^2)*Option_Portfolio!$F$4)/(Option_Portfolio!$G$4*SQRT(Option_Portfolio!$F$4))</f>
        <v>0.16951226098837086</v>
      </c>
      <c r="F54" s="63">
        <f>(LN(D54/Option_Portfolio!$E$5)+(Option_Portfolio!$H$5+0.5*Option_Portfolio!$G$5^2)*Option_Portfolio!$F$5)/(Option_Portfolio!$G$5*SQRT(Option_Portfolio!$F$5))</f>
        <v>1.2537024418085585</v>
      </c>
      <c r="G54" s="62">
        <f>E54-Option_Portfolio!$G$4*SQRT(Option_Portfolio!$F$4)</f>
        <v>4.9304108186657758E-2</v>
      </c>
      <c r="H54" s="63">
        <f>F54-Option_Portfolio!$G$5*SQRT(Option_Portfolio!$F$5)</f>
        <v>1.098138949947518</v>
      </c>
      <c r="I54" s="115">
        <f t="shared" si="0"/>
        <v>0.56730313547775135</v>
      </c>
      <c r="J54" s="116">
        <f t="shared" si="1"/>
        <v>0.89502490996017681</v>
      </c>
      <c r="K54" s="115">
        <f t="shared" si="2"/>
        <v>0.51966152717898639</v>
      </c>
      <c r="L54" s="116">
        <f t="shared" si="3"/>
        <v>0.86392809020625161</v>
      </c>
      <c r="M54" s="62">
        <f>(1-K54)*Option_Portfolio!$E$4*EXP(-Option_Portfolio!$H$4*Option_Portfolio!$F$4)-(1-I54)*C54</f>
        <v>3.5448616977824443</v>
      </c>
      <c r="N54" s="116">
        <f>J54*D54-L54*Option_Portfolio!$E$5*EXP(-Option_Portfolio!$H$5*Option_Portfolio!$F$5)</f>
        <v>25.164563022948016</v>
      </c>
      <c r="O54" s="120">
        <f>M54 * -Option_Portfolio!$B$4 * 1000 + N54 * Option_Portfolio!$B$5 * 1000</f>
        <v>25515094.161418922</v>
      </c>
      <c r="P54" s="123">
        <f t="shared" si="4"/>
        <v>-6.0489772236075323E-3</v>
      </c>
    </row>
    <row r="55" spans="2:16">
      <c r="B55" s="57" t="s">
        <v>85</v>
      </c>
      <c r="C55" s="62">
        <f>$C$17*(1+Underlying_Assets!H46)</f>
        <v>86.377801425767117</v>
      </c>
      <c r="D55" s="8">
        <f>$D$17*(1+Underlying_Assets!I46)</f>
        <v>145.38424293905288</v>
      </c>
      <c r="E55" s="62">
        <f>(LN(C55/Option_Portfolio!$E$4)+(Option_Portfolio!$H$4+0.5*Option_Portfolio!$G$4^2)*Option_Portfolio!$F$4)/(Option_Portfolio!$G$4*SQRT(Option_Portfolio!$F$4))</f>
        <v>0.23546205233045997</v>
      </c>
      <c r="F55" s="63">
        <f>(LN(D55/Option_Portfolio!$E$5)+(Option_Portfolio!$H$5+0.5*Option_Portfolio!$G$5^2)*Option_Portfolio!$F$5)/(Option_Portfolio!$G$5*SQRT(Option_Portfolio!$F$5))</f>
        <v>1.3434286124062564</v>
      </c>
      <c r="G55" s="62">
        <f>E55-Option_Portfolio!$G$4*SQRT(Option_Portfolio!$F$4)</f>
        <v>0.11525389952874687</v>
      </c>
      <c r="H55" s="63">
        <f>F55-Option_Portfolio!$G$5*SQRT(Option_Portfolio!$F$5)</f>
        <v>1.187865120545216</v>
      </c>
      <c r="I55" s="115">
        <f t="shared" si="0"/>
        <v>0.5930749356154783</v>
      </c>
      <c r="J55" s="116">
        <f t="shared" si="1"/>
        <v>0.91043338638391136</v>
      </c>
      <c r="K55" s="115">
        <f t="shared" si="2"/>
        <v>0.54587806118588522</v>
      </c>
      <c r="L55" s="116">
        <f t="shared" si="3"/>
        <v>0.88255672333745605</v>
      </c>
      <c r="M55" s="62">
        <f>(1-K55)*Option_Portfolio!$E$4*EXP(-Option_Portfolio!$H$4*Option_Portfolio!$F$4)-(1-I55)*C55</f>
        <v>3.2585522700199832</v>
      </c>
      <c r="N55" s="116">
        <f>J55*D55-L55*Option_Portfolio!$E$5*EXP(-Option_Portfolio!$H$5*Option_Portfolio!$F$5)</f>
        <v>26.984074227922491</v>
      </c>
      <c r="O55" s="120">
        <f>M55 * -Option_Portfolio!$B$4 * 1000 + N55 * Option_Portfolio!$B$5 * 1000</f>
        <v>31158282.565705102</v>
      </c>
      <c r="P55" s="123">
        <f t="shared" si="4"/>
        <v>0.22117058900841435</v>
      </c>
    </row>
    <row r="56" spans="2:16">
      <c r="B56" s="57" t="s">
        <v>86</v>
      </c>
      <c r="C56" s="62">
        <f>$C$17*(1+Underlying_Assets!H47)</f>
        <v>87.313937032099261</v>
      </c>
      <c r="D56" s="8">
        <f>$D$17*(1+Underlying_Assets!I47)</f>
        <v>145.6575296108291</v>
      </c>
      <c r="E56" s="62">
        <f>(LN(C56/Option_Portfolio!$E$4)+(Option_Portfolio!$H$4+0.5*Option_Portfolio!$G$4^2)*Option_Portfolio!$F$4)/(Option_Portfolio!$G$4*SQRT(Option_Portfolio!$F$4))</f>
        <v>0.32513467658124473</v>
      </c>
      <c r="F56" s="63">
        <f>(LN(D56/Option_Portfolio!$E$5)+(Option_Portfolio!$H$5+0.5*Option_Portfolio!$G$5^2)*Option_Portfolio!$F$5)/(Option_Portfolio!$G$5*SQRT(Option_Portfolio!$F$5))</f>
        <v>1.3555007885954886</v>
      </c>
      <c r="G56" s="62">
        <f>E56-Option_Portfolio!$G$4*SQRT(Option_Portfolio!$F$4)</f>
        <v>0.20492652377953163</v>
      </c>
      <c r="H56" s="63">
        <f>F56-Option_Portfolio!$G$5*SQRT(Option_Portfolio!$F$5)</f>
        <v>1.1999372967344482</v>
      </c>
      <c r="I56" s="115">
        <f t="shared" si="0"/>
        <v>0.62746042732703566</v>
      </c>
      <c r="J56" s="116">
        <f t="shared" si="1"/>
        <v>0.9123709712434882</v>
      </c>
      <c r="K56" s="115">
        <f t="shared" si="2"/>
        <v>0.58118523400887545</v>
      </c>
      <c r="L56" s="116">
        <f t="shared" si="3"/>
        <v>0.88491815322042744</v>
      </c>
      <c r="M56" s="62">
        <f>(1-K56)*Option_Portfolio!$E$4*EXP(-Option_Portfolio!$H$4*Option_Portfolio!$F$4)-(1-I56)*C56</f>
        <v>2.8938062933308402</v>
      </c>
      <c r="N56" s="116">
        <f>J56*D56-L56*Option_Portfolio!$E$5*EXP(-Option_Portfolio!$H$5*Option_Portfolio!$F$5)</f>
        <v>27.233149097743208</v>
      </c>
      <c r="O56" s="120">
        <f>M56 * -Option_Portfolio!$B$4 * 1000 + N56 * Option_Portfolio!$B$5 * 1000</f>
        <v>34209654.142170534</v>
      </c>
      <c r="P56" s="123">
        <f t="shared" si="4"/>
        <v>9.7931314732474295E-2</v>
      </c>
    </row>
    <row r="57" spans="2:16">
      <c r="B57" s="57" t="s">
        <v>87</v>
      </c>
      <c r="C57" s="62">
        <f>$C$17*(1+Underlying_Assets!H48)</f>
        <v>85.282374622356485</v>
      </c>
      <c r="D57" s="8">
        <f>$D$17*(1+Underlying_Assets!I48)</f>
        <v>146.04827586206898</v>
      </c>
      <c r="E57" s="62">
        <f>(LN(C57/Option_Portfolio!$E$4)+(Option_Portfolio!$H$4+0.5*Option_Portfolio!$G$4^2)*Option_Portfolio!$F$4)/(Option_Portfolio!$G$4*SQRT(Option_Portfolio!$F$4))</f>
        <v>0.12928863963211942</v>
      </c>
      <c r="F57" s="63">
        <f>(LN(D57/Option_Portfolio!$E$5)+(Option_Portfolio!$H$5+0.5*Option_Portfolio!$G$5^2)*Option_Portfolio!$F$5)/(Option_Portfolio!$G$5*SQRT(Option_Portfolio!$F$5))</f>
        <v>1.3727223418957095</v>
      </c>
      <c r="G57" s="62">
        <f>E57-Option_Portfolio!$G$4*SQRT(Option_Portfolio!$F$4)</f>
        <v>9.0804868304063258E-3</v>
      </c>
      <c r="H57" s="63">
        <f>F57-Option_Portfolio!$G$5*SQRT(Option_Portfolio!$F$5)</f>
        <v>1.2171588500346691</v>
      </c>
      <c r="I57" s="115">
        <f t="shared" si="0"/>
        <v>0.55143536987573194</v>
      </c>
      <c r="J57" s="116">
        <f t="shared" si="1"/>
        <v>0.91508065957352125</v>
      </c>
      <c r="K57" s="115">
        <f t="shared" si="2"/>
        <v>0.50362254034030296</v>
      </c>
      <c r="L57" s="116">
        <f t="shared" si="3"/>
        <v>0.88822810835148902</v>
      </c>
      <c r="M57" s="62">
        <f>(1-K57)*Option_Portfolio!$E$4*EXP(-Option_Portfolio!$H$4*Option_Portfolio!$F$4)-(1-I57)*C57</f>
        <v>3.7269933452690651</v>
      </c>
      <c r="N57" s="116">
        <f>J57*D57-L57*Option_Portfolio!$E$5*EXP(-Option_Portfolio!$H$5*Option_Portfolio!$F$5)</f>
        <v>27.590186343904676</v>
      </c>
      <c r="O57" s="120">
        <f>M57 * -Option_Portfolio!$B$4 * 1000 + N57 * Option_Portfolio!$B$5 * 1000</f>
        <v>29091419.270925894</v>
      </c>
      <c r="P57" s="123">
        <f t="shared" si="4"/>
        <v>-0.14961375668909049</v>
      </c>
    </row>
    <row r="58" spans="2:16">
      <c r="B58" s="57" t="s">
        <v>88</v>
      </c>
      <c r="C58" s="62">
        <f>$C$17*(1+Underlying_Assets!H49)</f>
        <v>85.61846917080085</v>
      </c>
      <c r="D58" s="8">
        <f>$D$17*(1+Underlying_Assets!I49)</f>
        <v>144.92074213049824</v>
      </c>
      <c r="E58" s="62">
        <f>(LN(C58/Option_Portfolio!$E$4)+(Option_Portfolio!$H$4+0.5*Option_Portfolio!$G$4^2)*Option_Portfolio!$F$4)/(Option_Portfolio!$G$4*SQRT(Option_Portfolio!$F$4))</f>
        <v>0.16200868469799196</v>
      </c>
      <c r="F58" s="63">
        <f>(LN(D58/Option_Portfolio!$E$5)+(Option_Portfolio!$H$5+0.5*Option_Portfolio!$G$5^2)*Option_Portfolio!$F$5)/(Option_Portfolio!$G$5*SQRT(Option_Portfolio!$F$5))</f>
        <v>1.322901933715118</v>
      </c>
      <c r="G58" s="62">
        <f>E58-Option_Portfolio!$G$4*SQRT(Option_Portfolio!$F$4)</f>
        <v>4.1800531896278859E-2</v>
      </c>
      <c r="H58" s="63">
        <f>F58-Option_Portfolio!$G$5*SQRT(Option_Portfolio!$F$5)</f>
        <v>1.1673384418540775</v>
      </c>
      <c r="I58" s="115">
        <f t="shared" si="0"/>
        <v>0.56435049258920422</v>
      </c>
      <c r="J58" s="116">
        <f t="shared" si="1"/>
        <v>0.90706600390499037</v>
      </c>
      <c r="K58" s="115">
        <f t="shared" si="2"/>
        <v>0.51667114450340579</v>
      </c>
      <c r="L58" s="116">
        <f t="shared" si="3"/>
        <v>0.87846313995844771</v>
      </c>
      <c r="M58" s="62">
        <f>(1-K58)*Option_Portfolio!$E$4*EXP(-Option_Portfolio!$H$4*Option_Portfolio!$F$4)-(1-I58)*C58</f>
        <v>3.5784067161815827</v>
      </c>
      <c r="N58" s="116">
        <f>J58*D58-L58*Option_Portfolio!$E$5*EXP(-Option_Portfolio!$H$5*Option_Portfolio!$F$5)</f>
        <v>26.562864034923436</v>
      </c>
      <c r="O58" s="120">
        <f>M58 * -Option_Portfolio!$B$4 * 1000 + N58 * Option_Portfolio!$B$5 * 1000</f>
        <v>28076881.056575797</v>
      </c>
      <c r="P58" s="123">
        <f t="shared" si="4"/>
        <v>-3.4874139515222335E-2</v>
      </c>
    </row>
    <row r="59" spans="2:16">
      <c r="B59" s="57" t="s">
        <v>89</v>
      </c>
      <c r="C59" s="62">
        <f>$C$17*(1+Underlying_Assets!H50)</f>
        <v>85.879089526513241</v>
      </c>
      <c r="D59" s="8">
        <f>$D$17*(1+Underlying_Assets!I50)</f>
        <v>146.06673609664654</v>
      </c>
      <c r="E59" s="62">
        <f>(LN(C59/Option_Portfolio!$E$4)+(Option_Portfolio!$H$4+0.5*Option_Portfolio!$G$4^2)*Option_Portfolio!$F$4)/(Option_Portfolio!$G$4*SQRT(Option_Portfolio!$F$4))</f>
        <v>0.18729274383853914</v>
      </c>
      <c r="F59" s="63">
        <f>(LN(D59/Option_Portfolio!$E$5)+(Option_Portfolio!$H$5+0.5*Option_Portfolio!$G$5^2)*Option_Portfolio!$F$5)/(Option_Portfolio!$G$5*SQRT(Option_Portfolio!$F$5))</f>
        <v>1.3735348087501442</v>
      </c>
      <c r="G59" s="62">
        <f>E59-Option_Portfolio!$G$4*SQRT(Option_Portfolio!$F$4)</f>
        <v>6.7084591036826041E-2</v>
      </c>
      <c r="H59" s="63">
        <f>F59-Option_Portfolio!$G$5*SQRT(Option_Portfolio!$F$5)</f>
        <v>1.2179713168891038</v>
      </c>
      <c r="I59" s="115">
        <f t="shared" si="0"/>
        <v>0.57428444404899515</v>
      </c>
      <c r="J59" s="116">
        <f t="shared" si="1"/>
        <v>0.91520692617644239</v>
      </c>
      <c r="K59" s="115">
        <f t="shared" si="2"/>
        <v>0.52674281958467994</v>
      </c>
      <c r="L59" s="116">
        <f t="shared" si="3"/>
        <v>0.88838256357404122</v>
      </c>
      <c r="M59" s="62">
        <f>(1-K59)*Option_Portfolio!$E$4*EXP(-Option_Portfolio!$H$4*Option_Portfolio!$F$4)-(1-I59)*C59</f>
        <v>3.4661636900211192</v>
      </c>
      <c r="N59" s="116">
        <f>J59*D59-L59*Option_Portfolio!$E$5*EXP(-Option_Portfolio!$H$5*Option_Portfolio!$F$5)</f>
        <v>27.607080113234588</v>
      </c>
      <c r="O59" s="120">
        <f>M59 * -Option_Portfolio!$B$4 * 1000 + N59 * Option_Portfolio!$B$5 * 1000</f>
        <v>30951014.396321341</v>
      </c>
      <c r="P59" s="123">
        <f t="shared" si="4"/>
        <v>0.10236654612576368</v>
      </c>
    </row>
    <row r="60" spans="2:16">
      <c r="B60" s="57" t="s">
        <v>90</v>
      </c>
      <c r="C60" s="62">
        <f>$C$17*(1+Underlying_Assets!H51)</f>
        <v>85.766037048284218</v>
      </c>
      <c r="D60" s="8">
        <f>$D$17*(1+Underlying_Assets!I51)</f>
        <v>144.41131530043361</v>
      </c>
      <c r="E60" s="62">
        <f>(LN(C60/Option_Portfolio!$E$4)+(Option_Portfolio!$H$4+0.5*Option_Portfolio!$G$4^2)*Option_Portfolio!$F$4)/(Option_Portfolio!$G$4*SQRT(Option_Portfolio!$F$4))</f>
        <v>0.17633440450333174</v>
      </c>
      <c r="F60" s="63">
        <f>(LN(D60/Option_Portfolio!$E$5)+(Option_Portfolio!$H$5+0.5*Option_Portfolio!$G$5^2)*Option_Portfolio!$F$5)/(Option_Portfolio!$G$5*SQRT(Option_Portfolio!$F$5))</f>
        <v>1.3002654992705076</v>
      </c>
      <c r="G60" s="62">
        <f>E60-Option_Portfolio!$G$4*SQRT(Option_Portfolio!$F$4)</f>
        <v>5.612625170161864E-2</v>
      </c>
      <c r="H60" s="63">
        <f>F60-Option_Portfolio!$G$5*SQRT(Option_Portfolio!$F$5)</f>
        <v>1.1447020074094671</v>
      </c>
      <c r="I60" s="115">
        <f t="shared" si="0"/>
        <v>0.56998438269785101</v>
      </c>
      <c r="J60" s="116">
        <f t="shared" si="1"/>
        <v>0.90324500579909861</v>
      </c>
      <c r="K60" s="115">
        <f t="shared" si="2"/>
        <v>0.52237938446864929</v>
      </c>
      <c r="L60" s="116">
        <f t="shared" si="3"/>
        <v>0.87383369019211277</v>
      </c>
      <c r="M60" s="62">
        <f>(1-K60)*Option_Portfolio!$E$4*EXP(-Option_Portfolio!$H$4*Option_Portfolio!$F$4)-(1-I60)*C60</f>
        <v>3.5145348208607388</v>
      </c>
      <c r="N60" s="116">
        <f>J60*D60-L60*Option_Portfolio!$E$5*EXP(-Option_Portfolio!$H$5*Option_Portfolio!$F$5)</f>
        <v>26.101748148378306</v>
      </c>
      <c r="O60" s="120">
        <f>M60 * -Option_Portfolio!$B$4 * 1000 + N60 * Option_Portfolio!$B$5 * 1000</f>
        <v>27601752.550731439</v>
      </c>
      <c r="P60" s="123">
        <f t="shared" si="4"/>
        <v>-0.1082116987412205</v>
      </c>
    </row>
    <row r="61" spans="2:16">
      <c r="B61" s="57" t="s">
        <v>91</v>
      </c>
      <c r="C61" s="62">
        <f>$C$17*(1+Underlying_Assets!H52)</f>
        <v>85.262799028536733</v>
      </c>
      <c r="D61" s="8">
        <f>$D$17*(1+Underlying_Assets!I52)</f>
        <v>145.00985507246378</v>
      </c>
      <c r="E61" s="62">
        <f>(LN(C61/Option_Portfolio!$E$4)+(Option_Portfolio!$H$4+0.5*Option_Portfolio!$G$4^2)*Option_Portfolio!$F$4)/(Option_Portfolio!$G$4*SQRT(Option_Portfolio!$F$4))</f>
        <v>0.12737891132478971</v>
      </c>
      <c r="F61" s="63">
        <f>(LN(D61/Option_Portfolio!$E$5)+(Option_Portfolio!$H$5+0.5*Option_Portfolio!$G$5^2)*Option_Portfolio!$F$5)/(Option_Portfolio!$G$5*SQRT(Option_Portfolio!$F$5))</f>
        <v>1.326853498057976</v>
      </c>
      <c r="G61" s="62">
        <f>E61-Option_Portfolio!$G$4*SQRT(Option_Portfolio!$F$4)</f>
        <v>7.1707585230766091E-3</v>
      </c>
      <c r="H61" s="63">
        <f>F61-Option_Portfolio!$G$5*SQRT(Option_Portfolio!$F$5)</f>
        <v>1.1712900061969356</v>
      </c>
      <c r="I61" s="115">
        <f t="shared" si="0"/>
        <v>0.55067974670399844</v>
      </c>
      <c r="J61" s="116">
        <f t="shared" si="1"/>
        <v>0.90772142524291821</v>
      </c>
      <c r="K61" s="115">
        <f t="shared" si="2"/>
        <v>0.5028606942413395</v>
      </c>
      <c r="L61" s="116">
        <f t="shared" si="3"/>
        <v>0.87925888643965555</v>
      </c>
      <c r="M61" s="62">
        <f>(1-K61)*Option_Portfolio!$E$4*EXP(-Option_Portfolio!$H$4*Option_Portfolio!$F$4)-(1-I61)*C61</f>
        <v>3.7357816595713658</v>
      </c>
      <c r="N61" s="116">
        <f>J61*D61-L61*Option_Portfolio!$E$5*EXP(-Option_Portfolio!$H$5*Option_Portfolio!$F$5)</f>
        <v>26.643724586823581</v>
      </c>
      <c r="O61" s="120">
        <f>M61 * -Option_Portfolio!$B$4 * 1000 + N61 * Option_Portfolio!$B$5 * 1000</f>
        <v>27136977.556647599</v>
      </c>
      <c r="P61" s="123">
        <f t="shared" si="4"/>
        <v>-1.6838604477364072E-2</v>
      </c>
    </row>
    <row r="62" spans="2:16">
      <c r="B62" s="57" t="s">
        <v>92</v>
      </c>
      <c r="C62" s="62">
        <f>$C$17*(1+Underlying_Assets!H53)</f>
        <v>84.352734303449679</v>
      </c>
      <c r="D62" s="8">
        <f>$D$17*(1+Underlying_Assets!I53)</f>
        <v>145.15923092826134</v>
      </c>
      <c r="E62" s="62">
        <f>(LN(C62/Option_Portfolio!$E$4)+(Option_Portfolio!$H$4+0.5*Option_Portfolio!$G$4^2)*Option_Portfolio!$F$4)/(Option_Portfolio!$G$4*SQRT(Option_Portfolio!$F$4))</f>
        <v>3.8108631017879244E-2</v>
      </c>
      <c r="F62" s="63">
        <f>(LN(D62/Option_Portfolio!$E$5)+(Option_Portfolio!$H$5+0.5*Option_Portfolio!$G$5^2)*Option_Portfolio!$F$5)/(Option_Portfolio!$G$5*SQRT(Option_Portfolio!$F$5))</f>
        <v>1.3334718767899465</v>
      </c>
      <c r="G62" s="62">
        <f>E62-Option_Portfolio!$G$4*SQRT(Option_Portfolio!$F$4)</f>
        <v>-8.2099521783833854E-2</v>
      </c>
      <c r="H62" s="63">
        <f>F62-Option_Portfolio!$G$5*SQRT(Option_Portfolio!$F$5)</f>
        <v>1.177908384928906</v>
      </c>
      <c r="I62" s="115">
        <f t="shared" si="0"/>
        <v>0.51519946512338</v>
      </c>
      <c r="J62" s="116">
        <f t="shared" si="1"/>
        <v>0.90881150069814909</v>
      </c>
      <c r="K62" s="115">
        <f t="shared" si="2"/>
        <v>0.46728378670157966</v>
      </c>
      <c r="L62" s="116">
        <f t="shared" si="3"/>
        <v>0.8805834340302463</v>
      </c>
      <c r="M62" s="62">
        <f>(1-K62)*Option_Portfolio!$E$4*EXP(-Option_Portfolio!$H$4*Option_Portfolio!$F$4)-(1-I62)*C62</f>
        <v>4.1607880998990936</v>
      </c>
      <c r="N62" s="116">
        <f>J62*D62-L62*Option_Portfolio!$E$5*EXP(-Option_Portfolio!$H$5*Option_Portfolio!$F$5)</f>
        <v>26.779397800449402</v>
      </c>
      <c r="O62" s="120">
        <f>M62 * -Option_Portfolio!$B$4 * 1000 + N62 * Option_Portfolio!$B$5 * 1000</f>
        <v>24433278.901605148</v>
      </c>
      <c r="P62" s="123">
        <f t="shared" si="4"/>
        <v>-9.9631532266206246E-2</v>
      </c>
    </row>
    <row r="63" spans="2:16">
      <c r="B63" s="57" t="s">
        <v>93</v>
      </c>
      <c r="C63" s="62">
        <f>$C$17*(1+Underlying_Assets!H54)</f>
        <v>86.68005378568472</v>
      </c>
      <c r="D63" s="8">
        <f>$D$17*(1+Underlying_Assets!I54)</f>
        <v>146.02433491441533</v>
      </c>
      <c r="E63" s="62">
        <f>(LN(C63/Option_Portfolio!$E$4)+(Option_Portfolio!$H$4+0.5*Option_Portfolio!$G$4^2)*Option_Portfolio!$F$4)/(Option_Portfolio!$G$4*SQRT(Option_Portfolio!$F$4))</f>
        <v>0.26452066640348421</v>
      </c>
      <c r="F63" s="63">
        <f>(LN(D63/Option_Portfolio!$E$5)+(Option_Portfolio!$H$5+0.5*Option_Portfolio!$G$5^2)*Option_Portfolio!$F$5)/(Option_Portfolio!$G$5*SQRT(Option_Portfolio!$F$5))</f>
        <v>1.3716685064111429</v>
      </c>
      <c r="G63" s="62">
        <f>E63-Option_Portfolio!$G$4*SQRT(Option_Portfolio!$F$4)</f>
        <v>0.14431251360177111</v>
      </c>
      <c r="H63" s="63">
        <f>F63-Option_Portfolio!$G$5*SQRT(Option_Portfolio!$F$5)</f>
        <v>1.2161050145501024</v>
      </c>
      <c r="I63" s="115">
        <f t="shared" si="0"/>
        <v>0.60431062886060416</v>
      </c>
      <c r="J63" s="116">
        <f t="shared" si="1"/>
        <v>0.91491667161576917</v>
      </c>
      <c r="K63" s="115">
        <f t="shared" si="2"/>
        <v>0.55737315134102117</v>
      </c>
      <c r="L63" s="116">
        <f t="shared" si="3"/>
        <v>0.88802753972000348</v>
      </c>
      <c r="M63" s="62">
        <f>(1-K63)*Option_Portfolio!$E$4*EXP(-Option_Portfolio!$H$4*Option_Portfolio!$F$4)-(1-I63)*C63</f>
        <v>3.1372592607336571</v>
      </c>
      <c r="N63" s="116">
        <f>J63*D63-L63*Option_Portfolio!$E$5*EXP(-Option_Portfolio!$H$5*Option_Portfolio!$F$5)</f>
        <v>27.568280408221753</v>
      </c>
      <c r="O63" s="120">
        <f>M63 * -Option_Portfolio!$B$4 * 1000 + N63 * Option_Portfolio!$B$5 * 1000</f>
        <v>33175745.991307903</v>
      </c>
      <c r="P63" s="123">
        <f t="shared" si="4"/>
        <v>0.35780981852290061</v>
      </c>
    </row>
    <row r="64" spans="2:16">
      <c r="B64" s="57" t="s">
        <v>94</v>
      </c>
      <c r="C64" s="62">
        <f>$C$17*(1+Underlying_Assets!H55)</f>
        <v>86.310196439533442</v>
      </c>
      <c r="D64" s="8">
        <f>$D$17*(1+Underlying_Assets!I55)</f>
        <v>145.80678936605318</v>
      </c>
      <c r="E64" s="62">
        <f>(LN(C64/Option_Portfolio!$E$4)+(Option_Portfolio!$H$4+0.5*Option_Portfolio!$G$4^2)*Option_Portfolio!$F$4)/(Option_Portfolio!$G$4*SQRT(Option_Portfolio!$F$4))</f>
        <v>0.22894857855920336</v>
      </c>
      <c r="F64" s="63">
        <f>(LN(D64/Option_Portfolio!$E$5)+(Option_Portfolio!$H$5+0.5*Option_Portfolio!$G$5^2)*Option_Portfolio!$F$5)/(Option_Portfolio!$G$5*SQRT(Option_Portfolio!$F$5))</f>
        <v>1.3620846348336741</v>
      </c>
      <c r="G64" s="62">
        <f>E64-Option_Portfolio!$G$4*SQRT(Option_Portfolio!$F$4)</f>
        <v>0.10874042575749027</v>
      </c>
      <c r="H64" s="63">
        <f>F64-Option_Portfolio!$G$5*SQRT(Option_Portfolio!$F$5)</f>
        <v>1.2065211429726337</v>
      </c>
      <c r="I64" s="115">
        <f t="shared" si="0"/>
        <v>0.59054555853430923</v>
      </c>
      <c r="J64" s="116">
        <f t="shared" si="1"/>
        <v>0.91341441159909675</v>
      </c>
      <c r="K64" s="115">
        <f t="shared" si="2"/>
        <v>0.54329581158241025</v>
      </c>
      <c r="L64" s="116">
        <f t="shared" si="3"/>
        <v>0.88619169408967668</v>
      </c>
      <c r="M64" s="62">
        <f>(1-K64)*Option_Portfolio!$E$4*EXP(-Option_Portfolio!$H$4*Option_Portfolio!$F$4)-(1-I64)*C64</f>
        <v>3.2861478999375535</v>
      </c>
      <c r="N64" s="116">
        <f>J64*D64-L64*Option_Portfolio!$E$5*EXP(-Option_Portfolio!$H$5*Option_Portfolio!$F$5)</f>
        <v>27.369407366811032</v>
      </c>
      <c r="O64" s="120">
        <f>M64 * -Option_Portfolio!$B$4 * 1000 + N64 * Option_Portfolio!$B$5 * 1000</f>
        <v>31735779.434059191</v>
      </c>
      <c r="P64" s="123">
        <f t="shared" si="4"/>
        <v>-4.340419527042394E-2</v>
      </c>
    </row>
    <row r="65" spans="2:16">
      <c r="B65" s="57" t="s">
        <v>95</v>
      </c>
      <c r="C65" s="62">
        <f>$C$17*(1+Underlying_Assets!H56)</f>
        <v>85.556999695090965</v>
      </c>
      <c r="D65" s="8">
        <f>$D$17*(1+Underlying_Assets!I56)</f>
        <v>143.62372055239643</v>
      </c>
      <c r="E65" s="62">
        <f>(LN(C65/Option_Portfolio!$E$4)+(Option_Portfolio!$H$4+0.5*Option_Portfolio!$G$4^2)*Option_Portfolio!$F$4)/(Option_Portfolio!$G$4*SQRT(Option_Portfolio!$F$4))</f>
        <v>0.15603401262380576</v>
      </c>
      <c r="F65" s="63">
        <f>(LN(D65/Option_Portfolio!$E$5)+(Option_Portfolio!$H$5+0.5*Option_Portfolio!$G$5^2)*Option_Portfolio!$F$5)/(Option_Portfolio!$G$5*SQRT(Option_Portfolio!$F$5))</f>
        <v>1.2651110022113707</v>
      </c>
      <c r="G65" s="62">
        <f>E65-Option_Portfolio!$G$4*SQRT(Option_Portfolio!$F$4)</f>
        <v>3.5825859822092659E-2</v>
      </c>
      <c r="H65" s="63">
        <f>F65-Option_Portfolio!$G$5*SQRT(Option_Portfolio!$F$5)</f>
        <v>1.1095475103503303</v>
      </c>
      <c r="I65" s="115">
        <f t="shared" si="0"/>
        <v>0.56199689431946298</v>
      </c>
      <c r="J65" s="116">
        <f t="shared" si="1"/>
        <v>0.89708423027829121</v>
      </c>
      <c r="K65" s="115">
        <f t="shared" si="2"/>
        <v>0.51428939342849089</v>
      </c>
      <c r="L65" s="116">
        <f t="shared" si="3"/>
        <v>0.86640296968485864</v>
      </c>
      <c r="M65" s="62">
        <f>(1-K65)*Option_Portfolio!$E$4*EXP(-Option_Portfolio!$H$4*Option_Portfolio!$F$4)-(1-I65)*C65</f>
        <v>3.6052581801077892</v>
      </c>
      <c r="N65" s="116">
        <f>J65*D65-L65*Option_Portfolio!$E$5*EXP(-Option_Portfolio!$H$5*Option_Portfolio!$F$5)</f>
        <v>25.392762779926926</v>
      </c>
      <c r="O65" s="120">
        <f>M65 * -Option_Portfolio!$B$4 * 1000 + N65 * Option_Portfolio!$B$5 * 1000</f>
        <v>25548718.299099326</v>
      </c>
      <c r="P65" s="123">
        <f t="shared" si="4"/>
        <v>-0.19495538616958763</v>
      </c>
    </row>
    <row r="66" spans="2:16">
      <c r="B66" s="57" t="s">
        <v>96</v>
      </c>
      <c r="C66" s="62">
        <f>$C$17*(1+Underlying_Assets!H57)</f>
        <v>85.242222448563851</v>
      </c>
      <c r="D66" s="8">
        <f>$D$17*(1+Underlying_Assets!I57)</f>
        <v>143.73267813267813</v>
      </c>
      <c r="E66" s="62">
        <f>(LN(C66/Option_Portfolio!$E$4)+(Option_Portfolio!$H$4+0.5*Option_Portfolio!$G$4^2)*Option_Portfolio!$F$4)/(Option_Portfolio!$G$4*SQRT(Option_Portfolio!$F$4))</f>
        <v>0.12537105749675026</v>
      </c>
      <c r="F66" s="63">
        <f>(LN(D66/Option_Portfolio!$E$5)+(Option_Portfolio!$H$5+0.5*Option_Portfolio!$G$5^2)*Option_Portfolio!$F$5)/(Option_Portfolio!$G$5*SQRT(Option_Portfolio!$F$5))</f>
        <v>1.2699858258813179</v>
      </c>
      <c r="G66" s="62">
        <f>E66-Option_Portfolio!$G$4*SQRT(Option_Portfolio!$F$4)</f>
        <v>5.1629046950371627E-3</v>
      </c>
      <c r="H66" s="63">
        <f>F66-Option_Portfolio!$G$5*SQRT(Option_Portfolio!$F$5)</f>
        <v>1.1144223340202775</v>
      </c>
      <c r="I66" s="115">
        <f t="shared" si="0"/>
        <v>0.54988509996175838</v>
      </c>
      <c r="J66" s="116">
        <f t="shared" si="1"/>
        <v>0.89795516043750645</v>
      </c>
      <c r="K66" s="115">
        <f t="shared" si="2"/>
        <v>0.5020596918221476</v>
      </c>
      <c r="L66" s="116">
        <f t="shared" si="3"/>
        <v>0.86745097682702832</v>
      </c>
      <c r="M66" s="62">
        <f>(1-K66)*Option_Portfolio!$E$4*EXP(-Option_Portfolio!$H$4*Option_Portfolio!$F$4)-(1-I66)*C66</f>
        <v>3.7450353085782453</v>
      </c>
      <c r="N66" s="116">
        <f>J66*D66-L66*Option_Portfolio!$E$5*EXP(-Option_Portfolio!$H$5*Option_Portfolio!$F$5)</f>
        <v>25.490554409048414</v>
      </c>
      <c r="O66" s="120">
        <f>M66 * -Option_Portfolio!$B$4 * 1000 + N66 * Option_Portfolio!$B$5 * 1000</f>
        <v>24765861.658049114</v>
      </c>
      <c r="P66" s="123">
        <f t="shared" si="4"/>
        <v>-3.0641718769814363E-2</v>
      </c>
    </row>
    <row r="67" spans="2:16">
      <c r="B67" s="57" t="s">
        <v>97</v>
      </c>
      <c r="C67" s="62">
        <f>$C$17*(1+Underlying_Assets!H58)</f>
        <v>85.58188915070177</v>
      </c>
      <c r="D67" s="8">
        <f>$D$17*(1+Underlying_Assets!I58)</f>
        <v>145.99471947194723</v>
      </c>
      <c r="E67" s="62">
        <f>(LN(C67/Option_Portfolio!$E$4)+(Option_Portfolio!$H$4+0.5*Option_Portfolio!$G$4^2)*Option_Portfolio!$F$4)/(Option_Portfolio!$G$4*SQRT(Option_Portfolio!$F$4))</f>
        <v>0.15845371953523013</v>
      </c>
      <c r="F67" s="63">
        <f>(LN(D67/Option_Portfolio!$E$5)+(Option_Portfolio!$H$5+0.5*Option_Portfolio!$G$5^2)*Option_Portfolio!$F$5)/(Option_Portfolio!$G$5*SQRT(Option_Portfolio!$F$5))</f>
        <v>1.3703646512529848</v>
      </c>
      <c r="G67" s="62">
        <f>E67-Option_Portfolio!$G$4*SQRT(Option_Portfolio!$F$4)</f>
        <v>3.8245566733517034E-2</v>
      </c>
      <c r="H67" s="63">
        <f>F67-Option_Portfolio!$G$5*SQRT(Option_Portfolio!$F$5)</f>
        <v>1.2148011593919443</v>
      </c>
      <c r="I67" s="115">
        <f t="shared" si="0"/>
        <v>0.5629503568361639</v>
      </c>
      <c r="J67" s="116">
        <f t="shared" si="1"/>
        <v>0.91471344961920031</v>
      </c>
      <c r="K67" s="115">
        <f t="shared" si="2"/>
        <v>0.51525405477354469</v>
      </c>
      <c r="L67" s="116">
        <f t="shared" si="3"/>
        <v>0.8877790307208997</v>
      </c>
      <c r="M67" s="62">
        <f>(1-K67)*Option_Portfolio!$E$4*EXP(-Option_Portfolio!$H$4*Option_Portfolio!$F$4)-(1-I67)*C67</f>
        <v>3.5943683881607313</v>
      </c>
      <c r="N67" s="116">
        <f>J67*D67-L67*Option_Portfolio!$E$5*EXP(-Option_Portfolio!$H$5*Option_Portfolio!$F$5)</f>
        <v>27.541187754426844</v>
      </c>
      <c r="O67" s="120">
        <f>M67 * -Option_Portfolio!$B$4 * 1000 + N67 * Option_Portfolio!$B$5 * 1000</f>
        <v>29921796.791728571</v>
      </c>
      <c r="P67" s="123">
        <f t="shared" si="4"/>
        <v>0.20818718948160386</v>
      </c>
    </row>
    <row r="68" spans="2:16">
      <c r="B68" s="57" t="s">
        <v>98</v>
      </c>
      <c r="C68" s="62">
        <f>$C$17*(1+Underlying_Assets!H59)</f>
        <v>85.792800985322785</v>
      </c>
      <c r="D68" s="8">
        <f>$D$17*(1+Underlying_Assets!I59)</f>
        <v>147.16988543371522</v>
      </c>
      <c r="E68" s="62">
        <f>(LN(C68/Option_Portfolio!$E$4)+(Option_Portfolio!$H$4+0.5*Option_Portfolio!$G$4^2)*Option_Portfolio!$F$4)/(Option_Portfolio!$G$4*SQRT(Option_Portfolio!$F$4))</f>
        <v>0.17892997589709389</v>
      </c>
      <c r="F68" s="63">
        <f>(LN(D68/Option_Portfolio!$E$5)+(Option_Portfolio!$H$5+0.5*Option_Portfolio!$G$5^2)*Option_Portfolio!$F$5)/(Option_Portfolio!$G$5*SQRT(Option_Portfolio!$F$5))</f>
        <v>1.4219008411629135</v>
      </c>
      <c r="G68" s="62">
        <f>E68-Option_Portfolio!$G$4*SQRT(Option_Portfolio!$F$4)</f>
        <v>5.8721823095380793E-2</v>
      </c>
      <c r="H68" s="63">
        <f>F68-Option_Portfolio!$G$5*SQRT(Option_Portfolio!$F$5)</f>
        <v>1.266337349301873</v>
      </c>
      <c r="I68" s="115">
        <f t="shared" si="0"/>
        <v>0.57100365738171832</v>
      </c>
      <c r="J68" s="116">
        <f t="shared" si="1"/>
        <v>0.92247248050729413</v>
      </c>
      <c r="K68" s="115">
        <f t="shared" si="2"/>
        <v>0.52341316149358008</v>
      </c>
      <c r="L68" s="116">
        <f t="shared" si="3"/>
        <v>0.89730383469994768</v>
      </c>
      <c r="M68" s="62">
        <f>(1-K68)*Option_Portfolio!$E$4*EXP(-Option_Portfolio!$H$4*Option_Portfolio!$F$4)-(1-I68)*C68</f>
        <v>3.5030395516128223</v>
      </c>
      <c r="N68" s="116">
        <f>J68*D68-L68*Option_Portfolio!$E$5*EXP(-Option_Portfolio!$H$5*Option_Portfolio!$F$5)</f>
        <v>28.620747693546079</v>
      </c>
      <c r="O68" s="120">
        <f>M68 * -Option_Portfolio!$B$4 * 1000 + N68 * Option_Portfolio!$B$5 * 1000</f>
        <v>32720218.525802404</v>
      </c>
      <c r="P68" s="123">
        <f t="shared" si="4"/>
        <v>9.352452172415715E-2</v>
      </c>
    </row>
    <row r="69" spans="2:16">
      <c r="B69" s="57" t="s">
        <v>99</v>
      </c>
      <c r="C69" s="62">
        <f>$C$17*(1+Underlying_Assets!H60)</f>
        <v>84.341635039491223</v>
      </c>
      <c r="D69" s="8">
        <f>$D$17*(1+Underlying_Assets!I60)</f>
        <v>143.19694041867956</v>
      </c>
      <c r="E69" s="62">
        <f>(LN(C69/Option_Portfolio!$E$4)+(Option_Portfolio!$H$4+0.5*Option_Portfolio!$G$4^2)*Option_Portfolio!$F$4)/(Option_Portfolio!$G$4*SQRT(Option_Portfolio!$F$4))</f>
        <v>3.7013944761851908E-2</v>
      </c>
      <c r="F69" s="63">
        <f>(LN(D69/Option_Portfolio!$E$5)+(Option_Portfolio!$H$5+0.5*Option_Portfolio!$G$5^2)*Option_Portfolio!$F$5)/(Option_Portfolio!$G$5*SQRT(Option_Portfolio!$F$5))</f>
        <v>1.2459809393970447</v>
      </c>
      <c r="G69" s="62">
        <f>E69-Option_Portfolio!$G$4*SQRT(Option_Portfolio!$F$4)</f>
        <v>-8.3194208039861189E-2</v>
      </c>
      <c r="H69" s="63">
        <f>F69-Option_Portfolio!$G$5*SQRT(Option_Portfolio!$F$5)</f>
        <v>1.0904174475360042</v>
      </c>
      <c r="I69" s="115">
        <f t="shared" si="0"/>
        <v>0.51476305647610654</v>
      </c>
      <c r="J69" s="116">
        <f t="shared" si="1"/>
        <v>0.89361430354249471</v>
      </c>
      <c r="K69" s="115">
        <f t="shared" si="2"/>
        <v>0.46684855904524553</v>
      </c>
      <c r="L69" s="116">
        <f t="shared" si="3"/>
        <v>0.86223535019043895</v>
      </c>
      <c r="M69" s="62">
        <f>(1-K69)*Option_Portfolio!$E$4*EXP(-Option_Portfolio!$H$4*Option_Portfolio!$F$4)-(1-I69)*C69</f>
        <v>4.1661714508405652</v>
      </c>
      <c r="N69" s="116">
        <f>J69*D69-L69*Option_Portfolio!$E$5*EXP(-Option_Portfolio!$H$5*Option_Portfolio!$F$5)</f>
        <v>25.010642168787328</v>
      </c>
      <c r="O69" s="120">
        <f>M69 * -Option_Portfolio!$B$4 * 1000 + N69 * Option_Portfolio!$B$5 * 1000</f>
        <v>20858084.1816907</v>
      </c>
      <c r="P69" s="123">
        <f t="shared" si="4"/>
        <v>-0.36253224698843312</v>
      </c>
    </row>
    <row r="70" spans="2:16">
      <c r="B70" s="57" t="s">
        <v>100</v>
      </c>
      <c r="C70" s="62">
        <f>$C$17*(1+Underlying_Assets!H61)</f>
        <v>85.221447340980177</v>
      </c>
      <c r="D70" s="8">
        <f>$D$17*(1+Underlying_Assets!I61)</f>
        <v>145.53682067982902</v>
      </c>
      <c r="E70" s="62">
        <f>(LN(C70/Option_Portfolio!$E$4)+(Option_Portfolio!$H$4+0.5*Option_Portfolio!$G$4^2)*Option_Portfolio!$F$4)/(Option_Portfolio!$G$4*SQRT(Option_Portfolio!$F$4))</f>
        <v>0.12334333965783965</v>
      </c>
      <c r="F70" s="63">
        <f>(LN(D70/Option_Portfolio!$E$5)+(Option_Portfolio!$H$5+0.5*Option_Portfolio!$G$5^2)*Option_Portfolio!$F$5)/(Option_Portfolio!$G$5*SQRT(Option_Portfolio!$F$5))</f>
        <v>1.3501713827153332</v>
      </c>
      <c r="G70" s="62">
        <f>E70-Option_Portfolio!$G$4*SQRT(Option_Portfolio!$F$4)</f>
        <v>3.1351868561265567E-3</v>
      </c>
      <c r="H70" s="63">
        <f>F70-Option_Portfolio!$G$5*SQRT(Option_Portfolio!$F$5)</f>
        <v>1.1946078908542928</v>
      </c>
      <c r="I70" s="115">
        <f t="shared" si="0"/>
        <v>0.54908238862842607</v>
      </c>
      <c r="J70" s="116">
        <f t="shared" si="1"/>
        <v>0.91151949231306306</v>
      </c>
      <c r="K70" s="115">
        <f t="shared" si="2"/>
        <v>0.50125075654483697</v>
      </c>
      <c r="L70" s="116">
        <f t="shared" si="3"/>
        <v>0.88387986759834924</v>
      </c>
      <c r="M70" s="62">
        <f>(1-K70)*Option_Portfolio!$E$4*EXP(-Option_Portfolio!$H$4*Option_Portfolio!$F$4)-(1-I70)*C70</f>
        <v>3.7543948315695488</v>
      </c>
      <c r="N70" s="116">
        <f>J70*D70-L70*Option_Portfolio!$E$5*EXP(-Option_Portfolio!$H$5*Option_Portfolio!$F$5)</f>
        <v>27.123069094831052</v>
      </c>
      <c r="O70" s="120">
        <f>M70 * -Option_Portfolio!$B$4 * 1000 + N70 * Option_Portfolio!$B$5 * 1000</f>
        <v>27965374.368675258</v>
      </c>
      <c r="P70" s="123">
        <f t="shared" si="4"/>
        <v>0.34074510990915274</v>
      </c>
    </row>
    <row r="71" spans="2:16">
      <c r="B71" s="57" t="s">
        <v>101</v>
      </c>
      <c r="C71" s="62">
        <f>$C$17*(1+Underlying_Assets!H62)</f>
        <v>86.53155686109946</v>
      </c>
      <c r="D71" s="8">
        <f>$D$17*(1+Underlying_Assets!I62)</f>
        <v>144.91729445119483</v>
      </c>
      <c r="E71" s="62">
        <f>(LN(C71/Option_Portfolio!$E$4)+(Option_Portfolio!$H$4+0.5*Option_Portfolio!$G$4^2)*Option_Portfolio!$F$4)/(Option_Portfolio!$G$4*SQRT(Option_Portfolio!$F$4))</f>
        <v>0.25025682051912657</v>
      </c>
      <c r="F71" s="63">
        <f>(LN(D71/Option_Portfolio!$E$5)+(Option_Portfolio!$H$5+0.5*Option_Portfolio!$G$5^2)*Option_Portfolio!$F$5)/(Option_Portfolio!$G$5*SQRT(Option_Portfolio!$F$5))</f>
        <v>1.3227490033253393</v>
      </c>
      <c r="G71" s="62">
        <f>E71-Option_Portfolio!$G$4*SQRT(Option_Portfolio!$F$4)</f>
        <v>0.13004866771741347</v>
      </c>
      <c r="H71" s="63">
        <f>F71-Option_Portfolio!$G$5*SQRT(Option_Portfolio!$F$5)</f>
        <v>1.1671855114642988</v>
      </c>
      <c r="I71" s="115">
        <f t="shared" si="0"/>
        <v>0.59880562680046445</v>
      </c>
      <c r="J71" s="116">
        <f t="shared" si="1"/>
        <v>0.90704056929851085</v>
      </c>
      <c r="K71" s="115">
        <f t="shared" si="2"/>
        <v>0.55173603883312539</v>
      </c>
      <c r="L71" s="116">
        <f t="shared" si="3"/>
        <v>0.87843226967392829</v>
      </c>
      <c r="M71" s="62">
        <f>(1-K71)*Option_Portfolio!$E$4*EXP(-Option_Portfolio!$H$4*Option_Portfolio!$F$4)-(1-I71)*C71</f>
        <v>3.1964262864688919</v>
      </c>
      <c r="N71" s="116">
        <f>J71*D71-L71*Option_Portfolio!$E$5*EXP(-Option_Portfolio!$H$5*Option_Portfolio!$F$5)</f>
        <v>26.559736806078448</v>
      </c>
      <c r="O71" s="120">
        <f>M71 * -Option_Portfolio!$B$4 * 1000 + N71 * Option_Portfolio!$B$5 * 1000</f>
        <v>30744489.606874645</v>
      </c>
      <c r="P71" s="123">
        <f t="shared" si="4"/>
        <v>9.9377008208849427E-2</v>
      </c>
    </row>
    <row r="72" spans="2:16">
      <c r="B72" s="57" t="s">
        <v>102</v>
      </c>
      <c r="C72" s="62">
        <f>$C$17*(1+Underlying_Assets!H63)</f>
        <v>87.781004158004151</v>
      </c>
      <c r="D72" s="8">
        <f>$D$17*(1+Underlying_Assets!I63)</f>
        <v>145.41529745042493</v>
      </c>
      <c r="E72" s="62">
        <f>(LN(C72/Option_Portfolio!$E$4)+(Option_Portfolio!$H$4+0.5*Option_Portfolio!$G$4^2)*Option_Portfolio!$F$4)/(Option_Portfolio!$G$4*SQRT(Option_Portfolio!$F$4))</f>
        <v>0.36951626120347192</v>
      </c>
      <c r="F72" s="63">
        <f>(LN(D72/Option_Portfolio!$E$5)+(Option_Portfolio!$H$5+0.5*Option_Portfolio!$G$5^2)*Option_Portfolio!$F$5)/(Option_Portfolio!$G$5*SQRT(Option_Portfolio!$F$5))</f>
        <v>1.3448015579087693</v>
      </c>
      <c r="G72" s="62">
        <f>E72-Option_Portfolio!$G$4*SQRT(Option_Portfolio!$F$4)</f>
        <v>0.24930810840175882</v>
      </c>
      <c r="H72" s="63">
        <f>F72-Option_Portfolio!$G$5*SQRT(Option_Portfolio!$F$5)</f>
        <v>1.1892380660477289</v>
      </c>
      <c r="I72" s="115">
        <f t="shared" si="0"/>
        <v>0.64412852260312514</v>
      </c>
      <c r="J72" s="116">
        <f t="shared" si="1"/>
        <v>0.91065533647946217</v>
      </c>
      <c r="K72" s="115">
        <f t="shared" si="2"/>
        <v>0.59843877014368463</v>
      </c>
      <c r="L72" s="116">
        <f t="shared" si="3"/>
        <v>0.88282700044771012</v>
      </c>
      <c r="M72" s="62">
        <f>(1-K72)*Option_Portfolio!$E$4*EXP(-Option_Portfolio!$H$4*Option_Portfolio!$F$4)-(1-I72)*C72</f>
        <v>2.7237113266044162</v>
      </c>
      <c r="N72" s="116">
        <f>J72*D72-L72*Option_Portfolio!$E$5*EXP(-Option_Portfolio!$H$5*Option_Portfolio!$F$5)</f>
        <v>27.012350739331964</v>
      </c>
      <c r="O72" s="120">
        <f>M72 * -Option_Portfolio!$B$4 * 1000 + N72 * Option_Portfolio!$B$5 * 1000</f>
        <v>34958722.192433015</v>
      </c>
      <c r="P72" s="123">
        <f t="shared" si="4"/>
        <v>0.13707277757559666</v>
      </c>
    </row>
    <row r="73" spans="2:16">
      <c r="B73" s="57" t="s">
        <v>103</v>
      </c>
      <c r="C73" s="62">
        <f>$C$17*(1+Underlying_Assets!H64)</f>
        <v>86.523490709716725</v>
      </c>
      <c r="D73" s="8">
        <f>$D$17*(1+Underlying_Assets!I64)</f>
        <v>144.82917590167239</v>
      </c>
      <c r="E73" s="62">
        <f>(LN(C73/Option_Portfolio!$E$4)+(Option_Portfolio!$H$4+0.5*Option_Portfolio!$G$4^2)*Option_Portfolio!$F$4)/(Option_Portfolio!$G$4*SQRT(Option_Portfolio!$F$4))</f>
        <v>0.24948132700522099</v>
      </c>
      <c r="F73" s="63">
        <f>(LN(D73/Option_Portfolio!$E$5)+(Option_Portfolio!$H$5+0.5*Option_Portfolio!$G$5^2)*Option_Portfolio!$F$5)/(Option_Portfolio!$G$5*SQRT(Option_Portfolio!$F$5))</f>
        <v>1.3188390505523777</v>
      </c>
      <c r="G73" s="62">
        <f>E73-Option_Portfolio!$G$4*SQRT(Option_Portfolio!$F$4)</f>
        <v>0.1292731742035079</v>
      </c>
      <c r="H73" s="63">
        <f>F73-Option_Portfolio!$G$5*SQRT(Option_Portfolio!$F$5)</f>
        <v>1.1632755586913373</v>
      </c>
      <c r="I73" s="115">
        <f t="shared" si="0"/>
        <v>0.59850575837846409</v>
      </c>
      <c r="J73" s="116">
        <f t="shared" si="1"/>
        <v>0.90638853700892041</v>
      </c>
      <c r="K73" s="115">
        <f t="shared" si="2"/>
        <v>0.55142925140728749</v>
      </c>
      <c r="L73" s="116">
        <f t="shared" si="3"/>
        <v>0.87764114057111875</v>
      </c>
      <c r="M73" s="62">
        <f>(1-K73)*Option_Portfolio!$E$4*EXP(-Option_Portfolio!$H$4*Option_Portfolio!$F$4)-(1-I73)*C73</f>
        <v>3.1996635903512214</v>
      </c>
      <c r="N73" s="116">
        <f>J73*D73-L73*Option_Portfolio!$E$5*EXP(-Option_Portfolio!$H$5*Option_Portfolio!$F$5)</f>
        <v>26.479838407184943</v>
      </c>
      <c r="O73" s="120">
        <f>M73 * -Option_Portfolio!$B$4 * 1000 + N73 * Option_Portfolio!$B$5 * 1000</f>
        <v>30562031.681911338</v>
      </c>
      <c r="P73" s="123">
        <f t="shared" si="4"/>
        <v>-0.1257680554317675</v>
      </c>
    </row>
    <row r="74" spans="2:16">
      <c r="B74" s="57" t="s">
        <v>104</v>
      </c>
      <c r="C74" s="62">
        <f>$C$17*(1+Underlying_Assets!H65)</f>
        <v>85.429441593721705</v>
      </c>
      <c r="D74" s="8">
        <f>$D$17*(1+Underlying_Assets!I65)</f>
        <v>144.5374697824335</v>
      </c>
      <c r="E74" s="62">
        <f>(LN(C74/Option_Portfolio!$E$4)+(Option_Portfolio!$H$4+0.5*Option_Portfolio!$G$4^2)*Option_Portfolio!$F$4)/(Option_Portfolio!$G$4*SQRT(Option_Portfolio!$F$4))</f>
        <v>0.14362199094174663</v>
      </c>
      <c r="F74" s="63">
        <f>(LN(D74/Option_Portfolio!$E$5)+(Option_Portfolio!$H$5+0.5*Option_Portfolio!$G$5^2)*Option_Portfolio!$F$5)/(Option_Portfolio!$G$5*SQRT(Option_Portfolio!$F$5))</f>
        <v>1.3058786170126906</v>
      </c>
      <c r="G74" s="62">
        <f>E74-Option_Portfolio!$G$4*SQRT(Option_Portfolio!$F$4)</f>
        <v>2.3413838140033533E-2</v>
      </c>
      <c r="H74" s="63">
        <f>F74-Option_Portfolio!$G$5*SQRT(Option_Portfolio!$F$5)</f>
        <v>1.1503151251516501</v>
      </c>
      <c r="I74" s="115">
        <f t="shared" si="0"/>
        <v>0.55710051278383332</v>
      </c>
      <c r="J74" s="116">
        <f t="shared" si="1"/>
        <v>0.90420308033651564</v>
      </c>
      <c r="K74" s="115">
        <f t="shared" si="2"/>
        <v>0.50933991660352462</v>
      </c>
      <c r="L74" s="116">
        <f t="shared" si="3"/>
        <v>0.87499294830220364</v>
      </c>
      <c r="M74" s="62">
        <f>(1-K74)*Option_Portfolio!$E$4*EXP(-Option_Portfolio!$H$4*Option_Portfolio!$F$4)-(1-I74)*C74</f>
        <v>3.6614411367804891</v>
      </c>
      <c r="N74" s="116">
        <f>J74*D74-L74*Option_Portfolio!$E$5*EXP(-Option_Portfolio!$H$5*Option_Portfolio!$F$5)</f>
        <v>26.215757069367598</v>
      </c>
      <c r="O74" s="120">
        <f>M74 * -Option_Portfolio!$B$4 * 1000 + N74 * Option_Portfolio!$B$5 * 1000</f>
        <v>26801426.181271773</v>
      </c>
      <c r="P74" s="123">
        <f t="shared" si="4"/>
        <v>-0.12304828225360898</v>
      </c>
    </row>
    <row r="75" spans="2:16">
      <c r="B75" s="57" t="s">
        <v>105</v>
      </c>
      <c r="C75" s="62">
        <f>$C$17*(1+Underlying_Assets!H66)</f>
        <v>85.333074825810357</v>
      </c>
      <c r="D75" s="8">
        <f>$D$17*(1+Underlying_Assets!I66)</f>
        <v>144.80000000000001</v>
      </c>
      <c r="E75" s="62">
        <f>(LN(C75/Option_Portfolio!$E$4)+(Option_Portfolio!$H$4+0.5*Option_Portfolio!$G$4^2)*Option_Portfolio!$F$4)/(Option_Portfolio!$G$4*SQRT(Option_Portfolio!$F$4))</f>
        <v>0.13423274175196376</v>
      </c>
      <c r="F75" s="63">
        <f>(LN(D75/Option_Portfolio!$E$5)+(Option_Portfolio!$H$5+0.5*Option_Portfolio!$G$5^2)*Option_Portfolio!$F$5)/(Option_Portfolio!$G$5*SQRT(Option_Portfolio!$F$5))</f>
        <v>1.317543947603435</v>
      </c>
      <c r="G75" s="62">
        <f>E75-Option_Portfolio!$G$4*SQRT(Option_Portfolio!$F$4)</f>
        <v>1.402458895025066E-2</v>
      </c>
      <c r="H75" s="63">
        <f>F75-Option_Portfolio!$G$5*SQRT(Option_Portfolio!$F$5)</f>
        <v>1.1619804557423945</v>
      </c>
      <c r="I75" s="115">
        <f t="shared" si="0"/>
        <v>0.5533907319908633</v>
      </c>
      <c r="J75" s="116">
        <f t="shared" si="1"/>
        <v>0.90617181996178064</v>
      </c>
      <c r="K75" s="115">
        <f t="shared" si="2"/>
        <v>0.5055948180902865</v>
      </c>
      <c r="L75" s="116">
        <f t="shared" si="3"/>
        <v>0.87737829806466738</v>
      </c>
      <c r="M75" s="62">
        <f>(1-K75)*Option_Portfolio!$E$4*EXP(-Option_Portfolio!$H$4*Option_Portfolio!$F$4)-(1-I75)*C75</f>
        <v>3.7043006061798636</v>
      </c>
      <c r="N75" s="116">
        <f>J75*D75-L75*Option_Portfolio!$E$5*EXP(-Option_Portfolio!$H$5*Option_Portfolio!$F$5)</f>
        <v>26.45339686480412</v>
      </c>
      <c r="O75" s="120">
        <f>M75 * -Option_Portfolio!$B$4 * 1000 + N75 * Option_Portfolio!$B$5 * 1000</f>
        <v>26976689.486349195</v>
      </c>
      <c r="P75" s="123">
        <f t="shared" si="4"/>
        <v>6.5393275675715845E-3</v>
      </c>
    </row>
    <row r="76" spans="2:16">
      <c r="B76" s="57" t="s">
        <v>106</v>
      </c>
      <c r="C76" s="62">
        <f>$C$17*(1+Underlying_Assets!H67)</f>
        <v>85.557315340909085</v>
      </c>
      <c r="D76" s="8">
        <f>$D$17*(1+Underlying_Assets!I67)</f>
        <v>142.84205852674069</v>
      </c>
      <c r="E76" s="62">
        <f>(LN(C76/Option_Portfolio!$E$4)+(Option_Portfolio!$H$4+0.5*Option_Portfolio!$G$4^2)*Option_Portfolio!$F$4)/(Option_Portfolio!$G$4*SQRT(Option_Portfolio!$F$4))</f>
        <v>0.15606470353403262</v>
      </c>
      <c r="F76" s="63">
        <f>(LN(D76/Option_Portfolio!$E$5)+(Option_Portfolio!$H$5+0.5*Option_Portfolio!$G$5^2)*Option_Portfolio!$F$5)/(Option_Portfolio!$G$5*SQRT(Option_Portfolio!$F$5))</f>
        <v>1.2300301887530105</v>
      </c>
      <c r="G76" s="62">
        <f>E76-Option_Portfolio!$G$4*SQRT(Option_Portfolio!$F$4)</f>
        <v>3.5856550732319525E-2</v>
      </c>
      <c r="H76" s="63">
        <f>F76-Option_Portfolio!$G$5*SQRT(Option_Portfolio!$F$5)</f>
        <v>1.0744666968919701</v>
      </c>
      <c r="I76" s="115">
        <f t="shared" si="0"/>
        <v>0.56200899004698157</v>
      </c>
      <c r="J76" s="116">
        <f t="shared" si="1"/>
        <v>0.89065709987315955</v>
      </c>
      <c r="K76" s="115">
        <f t="shared" si="2"/>
        <v>0.51430162946851987</v>
      </c>
      <c r="L76" s="116">
        <f t="shared" si="3"/>
        <v>0.85869321836202317</v>
      </c>
      <c r="M76" s="62">
        <f>(1-K76)*Option_Portfolio!$E$4*EXP(-Option_Portfolio!$H$4*Option_Portfolio!$F$4)-(1-I76)*C76</f>
        <v>3.6051199281681434</v>
      </c>
      <c r="N76" s="116">
        <f>J76*D76-L76*Option_Portfolio!$E$5*EXP(-Option_Portfolio!$H$5*Option_Portfolio!$F$5)</f>
        <v>24.694037419138184</v>
      </c>
      <c r="O76" s="120">
        <f>M76 * -Option_Portfolio!$B$4 * 1000 + N76 * Option_Portfolio!$B$5 * 1000</f>
        <v>24152235.341099367</v>
      </c>
      <c r="P76" s="123">
        <f t="shared" si="4"/>
        <v>-0.10469980561102821</v>
      </c>
    </row>
    <row r="77" spans="2:16">
      <c r="B77" s="57" t="s">
        <v>107</v>
      </c>
      <c r="C77" s="62">
        <f>$C$17*(1+Underlying_Assets!H68)</f>
        <v>85.931792577529222</v>
      </c>
      <c r="D77" s="8">
        <f>$D$17*(1+Underlying_Assets!I68)</f>
        <v>145.86644844517184</v>
      </c>
      <c r="E77" s="62">
        <f>(LN(C77/Option_Portfolio!$E$4)+(Option_Portfolio!$H$4+0.5*Option_Portfolio!$G$4^2)*Option_Portfolio!$F$4)/(Option_Portfolio!$G$4*SQRT(Option_Portfolio!$F$4))</f>
        <v>0.19239639727218572</v>
      </c>
      <c r="F77" s="63">
        <f>(LN(D77/Option_Portfolio!$E$5)+(Option_Portfolio!$H$5+0.5*Option_Portfolio!$G$5^2)*Option_Portfolio!$F$5)/(Option_Portfolio!$G$5*SQRT(Option_Portfolio!$F$5))</f>
        <v>1.364714311068068</v>
      </c>
      <c r="G77" s="62">
        <f>E77-Option_Portfolio!$G$4*SQRT(Option_Portfolio!$F$4)</f>
        <v>7.2188244470472618E-2</v>
      </c>
      <c r="H77" s="63">
        <f>F77-Option_Portfolio!$G$5*SQRT(Option_Portfolio!$F$5)</f>
        <v>1.2091508192070275</v>
      </c>
      <c r="I77" s="115">
        <f t="shared" si="0"/>
        <v>0.57628414287641172</v>
      </c>
      <c r="J77" s="116">
        <f t="shared" si="1"/>
        <v>0.91382857006382767</v>
      </c>
      <c r="K77" s="115">
        <f t="shared" si="2"/>
        <v>0.52877394984018533</v>
      </c>
      <c r="L77" s="116">
        <f t="shared" si="3"/>
        <v>0.88669754588572625</v>
      </c>
      <c r="M77" s="62">
        <f>(1-K77)*Option_Portfolio!$E$4*EXP(-Option_Portfolio!$H$4*Option_Portfolio!$F$4)-(1-I77)*C77</f>
        <v>3.4437798903696688</v>
      </c>
      <c r="N77" s="116">
        <f>J77*D77-L77*Option_Portfolio!$E$5*EXP(-Option_Portfolio!$H$5*Option_Portfolio!$F$5)</f>
        <v>27.423913191841592</v>
      </c>
      <c r="O77" s="120">
        <f>M77 * -Option_Portfolio!$B$4 * 1000 + N77 * Option_Portfolio!$B$5 * 1000</f>
        <v>30741367.151095502</v>
      </c>
      <c r="P77" s="123">
        <f t="shared" si="4"/>
        <v>0.2728166447924405</v>
      </c>
    </row>
    <row r="78" spans="2:16">
      <c r="B78" s="57" t="s">
        <v>108</v>
      </c>
      <c r="C78" s="62">
        <f>$C$17*(1+Underlying_Assets!H69)</f>
        <v>87.03605965303845</v>
      </c>
      <c r="D78" s="8">
        <f>$D$17*(1+Underlying_Assets!I69)</f>
        <v>147.10844841592203</v>
      </c>
      <c r="E78" s="62">
        <f>(LN(C78/Option_Portfolio!$E$4)+(Option_Portfolio!$H$4+0.5*Option_Portfolio!$G$4^2)*Option_Portfolio!$F$4)/(Option_Portfolio!$G$4*SQRT(Option_Portfolio!$F$4))</f>
        <v>0.29861747498472829</v>
      </c>
      <c r="F78" s="63">
        <f>(LN(D78/Option_Portfolio!$E$5)+(Option_Portfolio!$H$5+0.5*Option_Portfolio!$G$5^2)*Option_Portfolio!$F$5)/(Option_Portfolio!$G$5*SQRT(Option_Portfolio!$F$5))</f>
        <v>1.4192167691911164</v>
      </c>
      <c r="G78" s="62">
        <f>E78-Option_Portfolio!$G$4*SQRT(Option_Portfolio!$F$4)</f>
        <v>0.1784093221830152</v>
      </c>
      <c r="H78" s="63">
        <f>F78-Option_Portfolio!$G$5*SQRT(Option_Portfolio!$F$5)</f>
        <v>1.2636532773300759</v>
      </c>
      <c r="I78" s="115">
        <f t="shared" si="0"/>
        <v>0.61738403480016868</v>
      </c>
      <c r="J78" s="116">
        <f t="shared" si="1"/>
        <v>0.92208208574985973</v>
      </c>
      <c r="K78" s="115">
        <f t="shared" si="2"/>
        <v>0.57079923564460933</v>
      </c>
      <c r="L78" s="116">
        <f t="shared" si="3"/>
        <v>0.89682274901738523</v>
      </c>
      <c r="M78" s="62">
        <f>(1-K78)*Option_Portfolio!$E$4*EXP(-Option_Portfolio!$H$4*Option_Portfolio!$F$4)-(1-I78)*C78</f>
        <v>2.9987239407379747</v>
      </c>
      <c r="N78" s="116">
        <f>J78*D78-L78*Option_Portfolio!$E$5*EXP(-Option_Portfolio!$H$5*Option_Portfolio!$F$5)</f>
        <v>28.564085719236814</v>
      </c>
      <c r="O78" s="120">
        <f>M78 * -Option_Portfolio!$B$4 * 1000 + N78 * Option_Portfolio!$B$5 * 1000</f>
        <v>36137103.853307799</v>
      </c>
      <c r="P78" s="123">
        <f t="shared" si="4"/>
        <v>0.17552038839691009</v>
      </c>
    </row>
    <row r="79" spans="2:16">
      <c r="B79" s="57" t="s">
        <v>109</v>
      </c>
      <c r="C79" s="62">
        <f>$C$17*(1+Underlying_Assets!H70)</f>
        <v>85.165886468119126</v>
      </c>
      <c r="D79" s="8">
        <f>$D$17*(1+Underlying_Assets!I70)</f>
        <v>147.91164417791106</v>
      </c>
      <c r="E79" s="62">
        <f>(LN(C79/Option_Portfolio!$E$4)+(Option_Portfolio!$H$4+0.5*Option_Portfolio!$G$4^2)*Option_Portfolio!$F$4)/(Option_Portfolio!$G$4*SQRT(Option_Portfolio!$F$4))</f>
        <v>0.11791798866380901</v>
      </c>
      <c r="F79" s="63">
        <f>(LN(D79/Option_Portfolio!$E$5)+(Option_Portfolio!$H$5+0.5*Option_Portfolio!$G$5^2)*Option_Portfolio!$F$5)/(Option_Portfolio!$G$5*SQRT(Option_Portfolio!$F$5))</f>
        <v>1.4542187964738491</v>
      </c>
      <c r="G79" s="62">
        <f>E79-Option_Portfolio!$G$4*SQRT(Option_Portfolio!$F$4)</f>
        <v>-2.2901641379040882E-3</v>
      </c>
      <c r="H79" s="63">
        <f>F79-Option_Portfolio!$G$5*SQRT(Option_Portfolio!$F$5)</f>
        <v>1.2986553046128086</v>
      </c>
      <c r="I79" s="115">
        <f t="shared" si="0"/>
        <v>0.54693368010186783</v>
      </c>
      <c r="J79" s="116">
        <f t="shared" si="1"/>
        <v>0.92705717232464646</v>
      </c>
      <c r="K79" s="115">
        <f t="shared" si="2"/>
        <v>0.49908635749498431</v>
      </c>
      <c r="L79" s="116">
        <f t="shared" si="3"/>
        <v>0.90296887539599457</v>
      </c>
      <c r="M79" s="62">
        <f>(1-K79)*Option_Portfolio!$E$4*EXP(-Option_Portfolio!$H$4*Option_Portfolio!$F$4)-(1-I79)*C79</f>
        <v>3.7795078867071084</v>
      </c>
      <c r="N79" s="116">
        <f>J79*D79-L79*Option_Portfolio!$E$5*EXP(-Option_Portfolio!$H$5*Option_Portfolio!$F$5)</f>
        <v>29.306714684471871</v>
      </c>
      <c r="O79" s="120">
        <f>M79 * -Option_Portfolio!$B$4 * 1000 + N79 * Option_Portfolio!$B$5 * 1000</f>
        <v>32156874.161993988</v>
      </c>
      <c r="P79" s="123">
        <f t="shared" si="4"/>
        <v>-0.11014246486024037</v>
      </c>
    </row>
    <row r="80" spans="2:16">
      <c r="B80" s="57" t="s">
        <v>110</v>
      </c>
      <c r="C80" s="62">
        <f>$C$17*(1+Underlying_Assets!H71)</f>
        <v>85.084376697856911</v>
      </c>
      <c r="D80" s="8">
        <f>$D$17*(1+Underlying_Assets!I71)</f>
        <v>145.15420743639922</v>
      </c>
      <c r="E80" s="62">
        <f>(LN(C80/Option_Portfolio!$E$4)+(Option_Portfolio!$H$4+0.5*Option_Portfolio!$G$4^2)*Option_Portfolio!$F$4)/(Option_Portfolio!$G$4*SQRT(Option_Portfolio!$F$4))</f>
        <v>0.10995239804827912</v>
      </c>
      <c r="F80" s="63">
        <f>(LN(D80/Option_Portfolio!$E$5)+(Option_Portfolio!$H$5+0.5*Option_Portfolio!$G$5^2)*Option_Portfolio!$F$5)/(Option_Portfolio!$G$5*SQRT(Option_Portfolio!$F$5))</f>
        <v>1.3332494122087619</v>
      </c>
      <c r="G80" s="62">
        <f>E80-Option_Portfolio!$G$4*SQRT(Option_Portfolio!$F$4)</f>
        <v>-1.0255754753433974E-2</v>
      </c>
      <c r="H80" s="63">
        <f>F80-Option_Portfolio!$G$5*SQRT(Option_Portfolio!$F$5)</f>
        <v>1.1776859203477215</v>
      </c>
      <c r="I80" s="115">
        <f t="shared" si="0"/>
        <v>0.54377643660699349</v>
      </c>
      <c r="J80" s="116">
        <f t="shared" si="1"/>
        <v>0.90877501559415652</v>
      </c>
      <c r="K80" s="115">
        <f t="shared" si="2"/>
        <v>0.49590861753383231</v>
      </c>
      <c r="L80" s="116">
        <f t="shared" si="3"/>
        <v>0.88053907899199069</v>
      </c>
      <c r="M80" s="62">
        <f>(1-K80)*Option_Portfolio!$E$4*EXP(-Option_Portfolio!$H$4*Option_Portfolio!$F$4)-(1-I80)*C80</f>
        <v>3.8165658514537242</v>
      </c>
      <c r="N80" s="116">
        <f>J80*D80-L80*Option_Portfolio!$E$5*EXP(-Option_Portfolio!$H$5*Option_Portfolio!$F$5)</f>
        <v>26.774832484907705</v>
      </c>
      <c r="O80" s="120">
        <f>M80 * -Option_Portfolio!$B$4 * 1000 + N80 * Option_Portfolio!$B$5 * 1000</f>
        <v>26833704.009639334</v>
      </c>
      <c r="P80" s="123">
        <f t="shared" si="4"/>
        <v>-0.16553754962433742</v>
      </c>
    </row>
    <row r="81" spans="2:16">
      <c r="B81" s="57" t="s">
        <v>111</v>
      </c>
      <c r="C81" s="62">
        <f>$C$17*(1+Underlying_Assets!H72)</f>
        <v>85.487900233194765</v>
      </c>
      <c r="D81" s="8">
        <f>$D$17*(1+Underlying_Assets!I72)</f>
        <v>141.61991215226942</v>
      </c>
      <c r="E81" s="62">
        <f>(LN(C81/Option_Portfolio!$E$4)+(Option_Portfolio!$H$4+0.5*Option_Portfolio!$G$4^2)*Option_Portfolio!$F$4)/(Option_Portfolio!$G$4*SQRT(Option_Portfolio!$F$4))</f>
        <v>0.14931259884687167</v>
      </c>
      <c r="F81" s="63">
        <f>(LN(D81/Option_Portfolio!$E$5)+(Option_Portfolio!$H$5+0.5*Option_Portfolio!$G$5^2)*Option_Portfolio!$F$5)/(Option_Portfolio!$G$5*SQRT(Option_Portfolio!$F$5))</f>
        <v>1.1747939632177626</v>
      </c>
      <c r="G81" s="62">
        <f>E81-Option_Portfolio!$G$4*SQRT(Option_Portfolio!$F$4)</f>
        <v>2.9104446045158577E-2</v>
      </c>
      <c r="H81" s="63">
        <f>F81-Option_Portfolio!$G$5*SQRT(Option_Portfolio!$F$5)</f>
        <v>1.0192304713567222</v>
      </c>
      <c r="I81" s="115">
        <f t="shared" si="0"/>
        <v>0.55934651286420434</v>
      </c>
      <c r="J81" s="116">
        <f t="shared" si="1"/>
        <v>0.87996142205396743</v>
      </c>
      <c r="K81" s="115">
        <f t="shared" si="2"/>
        <v>0.51160935506490446</v>
      </c>
      <c r="L81" s="116">
        <f t="shared" si="3"/>
        <v>0.8459532181812669</v>
      </c>
      <c r="M81" s="62">
        <f>(1-K81)*Option_Portfolio!$E$4*EXP(-Option_Portfolio!$H$4*Option_Portfolio!$F$4)-(1-I81)*C81</f>
        <v>3.6356155009932323</v>
      </c>
      <c r="N81" s="116">
        <f>J81*D81-L81*Option_Portfolio!$E$5*EXP(-Option_Portfolio!$H$5*Option_Portfolio!$F$5)</f>
        <v>23.611978220240488</v>
      </c>
      <c r="O81" s="120">
        <f>M81 * -Option_Portfolio!$B$4 * 1000 + N81 * Option_Portfolio!$B$5 * 1000</f>
        <v>21774647.933528353</v>
      </c>
      <c r="P81" s="123">
        <f t="shared" si="4"/>
        <v>-0.18853364687534913</v>
      </c>
    </row>
    <row r="82" spans="2:16">
      <c r="B82" s="57" t="s">
        <v>112</v>
      </c>
      <c r="C82" s="62">
        <f>$C$17*(1+Underlying_Assets!H73)</f>
        <v>83.185411836485656</v>
      </c>
      <c r="D82" s="8">
        <f>$D$17*(1+Underlying_Assets!I73)</f>
        <v>144.19305389221557</v>
      </c>
      <c r="E82" s="62">
        <f>(LN(C82/Option_Portfolio!$E$4)+(Option_Portfolio!$H$4+0.5*Option_Portfolio!$G$4^2)*Option_Portfolio!$F$4)/(Option_Portfolio!$G$4*SQRT(Option_Portfolio!$F$4))</f>
        <v>-7.7817205592988423E-2</v>
      </c>
      <c r="F82" s="63">
        <f>(LN(D82/Option_Portfolio!$E$5)+(Option_Portfolio!$H$5+0.5*Option_Portfolio!$G$5^2)*Option_Portfolio!$F$5)/(Option_Portfolio!$G$5*SQRT(Option_Portfolio!$F$5))</f>
        <v>1.2905425852167818</v>
      </c>
      <c r="G82" s="62">
        <f>E82-Option_Portfolio!$G$4*SQRT(Option_Portfolio!$F$4)</f>
        <v>-0.19802535839470153</v>
      </c>
      <c r="H82" s="63">
        <f>F82-Option_Portfolio!$G$5*SQRT(Option_Portfolio!$F$5)</f>
        <v>1.1349790933557413</v>
      </c>
      <c r="I82" s="115">
        <f t="shared" ref="I82:I145" si="5">_xlfn.NORM.S.DIST(E82,TRUE)</f>
        <v>0.46898672993344109</v>
      </c>
      <c r="J82" s="116">
        <f t="shared" ref="J82:J145" si="6">_xlfn.NORM.S.DIST(F82,TRUE)</f>
        <v>0.9015688320013131</v>
      </c>
      <c r="K82" s="115">
        <f t="shared" ref="K82:K145" si="7">_xlfn.NORM.S.DIST(G82,TRUE)</f>
        <v>0.42151261172772414</v>
      </c>
      <c r="L82" s="116">
        <f t="shared" ref="L82:L145" si="8">_xlfn.NORM.S.DIST(H82,TRUE)</f>
        <v>0.87180796090274537</v>
      </c>
      <c r="M82" s="62">
        <f>(1-K82)*Option_Portfolio!$E$4*EXP(-Option_Portfolio!$H$4*Option_Portfolio!$F$4)-(1-I82)*C82</f>
        <v>4.7536269217265641</v>
      </c>
      <c r="N82" s="116">
        <f>J82*D82-L82*Option_Portfolio!$E$5*EXP(-Option_Portfolio!$H$5*Option_Portfolio!$F$5)</f>
        <v>25.904787113376273</v>
      </c>
      <c r="O82" s="120">
        <f>M82 * -Option_Portfolio!$B$4 * 1000 + N82 * Option_Portfolio!$B$5 * 1000</f>
        <v>18534185.774666592</v>
      </c>
      <c r="P82" s="123">
        <f t="shared" si="4"/>
        <v>-0.14881811952845092</v>
      </c>
    </row>
    <row r="83" spans="2:16">
      <c r="B83" s="57" t="s">
        <v>113</v>
      </c>
      <c r="C83" s="62">
        <f>$C$17*(1+Underlying_Assets!H74)</f>
        <v>86.989120637249769</v>
      </c>
      <c r="D83" s="8">
        <f>$D$17*(1+Underlying_Assets!I74)</f>
        <v>145.77229905792746</v>
      </c>
      <c r="E83" s="62">
        <f>(LN(C83/Option_Portfolio!$E$4)+(Option_Portfolio!$H$4+0.5*Option_Portfolio!$G$4^2)*Option_Portfolio!$F$4)/(Option_Portfolio!$G$4*SQRT(Option_Portfolio!$F$4))</f>
        <v>0.29412983540819826</v>
      </c>
      <c r="F83" s="63">
        <f>(LN(D83/Option_Portfolio!$E$5)+(Option_Portfolio!$H$5+0.5*Option_Portfolio!$G$5^2)*Option_Portfolio!$F$5)/(Option_Portfolio!$G$5*SQRT(Option_Portfolio!$F$5))</f>
        <v>1.3605638666602153</v>
      </c>
      <c r="G83" s="62">
        <f>E83-Option_Portfolio!$G$4*SQRT(Option_Portfolio!$F$4)</f>
        <v>0.17392168260648516</v>
      </c>
      <c r="H83" s="63">
        <f>F83-Option_Portfolio!$G$5*SQRT(Option_Portfolio!$F$5)</f>
        <v>1.2050003747991749</v>
      </c>
      <c r="I83" s="115">
        <f t="shared" si="5"/>
        <v>0.61567065332908255</v>
      </c>
      <c r="J83" s="116">
        <f t="shared" si="6"/>
        <v>0.91317422153236538</v>
      </c>
      <c r="K83" s="115">
        <f t="shared" si="7"/>
        <v>0.56903649396703015</v>
      </c>
      <c r="L83" s="116">
        <f t="shared" si="8"/>
        <v>0.88589842139634578</v>
      </c>
      <c r="M83" s="62">
        <f>(1-K83)*Option_Portfolio!$E$4*EXP(-Option_Portfolio!$H$4*Option_Portfolio!$F$4)-(1-I83)*C83</f>
        <v>3.0167237572602232</v>
      </c>
      <c r="N83" s="116">
        <f>J83*D83-L83*Option_Portfolio!$E$5*EXP(-Option_Portfolio!$H$5*Option_Portfolio!$F$5)</f>
        <v>27.337907562830665</v>
      </c>
      <c r="O83" s="120">
        <f>M83 * -Option_Portfolio!$B$4 * 1000 + N83 * Option_Portfolio!$B$5 * 1000</f>
        <v>33558748.824839763</v>
      </c>
      <c r="P83" s="123">
        <f t="shared" ref="P83:P146" si="9">(O83/O82)-1</f>
        <v>0.81064057697692116</v>
      </c>
    </row>
    <row r="84" spans="2:16">
      <c r="B84" s="57" t="s">
        <v>114</v>
      </c>
      <c r="C84" s="62">
        <f>$C$17*(1+Underlying_Assets!H75)</f>
        <v>85.385702479338846</v>
      </c>
      <c r="D84" s="8">
        <f>$D$17*(1+Underlying_Assets!I75)</f>
        <v>146.96226978596317</v>
      </c>
      <c r="E84" s="62">
        <f>(LN(C84/Option_Portfolio!$E$4)+(Option_Portfolio!$H$4+0.5*Option_Portfolio!$G$4^2)*Option_Portfolio!$F$4)/(Option_Portfolio!$G$4*SQRT(Option_Portfolio!$F$4))</f>
        <v>0.13936169571723442</v>
      </c>
      <c r="F84" s="63">
        <f>(LN(D84/Option_Portfolio!$E$5)+(Option_Portfolio!$H$5+0.5*Option_Portfolio!$G$5^2)*Option_Portfolio!$F$5)/(Option_Portfolio!$G$5*SQRT(Option_Portfolio!$F$5))</f>
        <v>1.4128259805675771</v>
      </c>
      <c r="G84" s="62">
        <f>E84-Option_Portfolio!$G$4*SQRT(Option_Portfolio!$F$4)</f>
        <v>1.9153542915521321E-2</v>
      </c>
      <c r="H84" s="63">
        <f>F84-Option_Portfolio!$G$5*SQRT(Option_Portfolio!$F$5)</f>
        <v>1.2572624887065367</v>
      </c>
      <c r="I84" s="115">
        <f t="shared" si="5"/>
        <v>0.55541783033762615</v>
      </c>
      <c r="J84" s="116">
        <f t="shared" si="6"/>
        <v>0.92114655139813373</v>
      </c>
      <c r="K84" s="115">
        <f t="shared" si="7"/>
        <v>0.50764069091060171</v>
      </c>
      <c r="L84" s="116">
        <f t="shared" si="8"/>
        <v>0.89567069885240513</v>
      </c>
      <c r="M84" s="62">
        <f>(1-K84)*Option_Portfolio!$E$4*EXP(-Option_Portfolio!$H$4*Option_Portfolio!$F$4)-(1-I84)*C84</f>
        <v>3.6808499607938643</v>
      </c>
      <c r="N84" s="116">
        <f>J84*D84-L84*Option_Portfolio!$E$5*EXP(-Option_Portfolio!$H$5*Option_Portfolio!$F$5)</f>
        <v>28.429365286337244</v>
      </c>
      <c r="O84" s="120">
        <f>M84 * -Option_Portfolio!$B$4 * 1000 + N84 * Option_Portfolio!$B$5 * 1000</f>
        <v>31092780.847117443</v>
      </c>
      <c r="P84" s="123">
        <f t="shared" si="9"/>
        <v>-7.3482119091908493E-2</v>
      </c>
    </row>
    <row r="85" spans="2:16">
      <c r="B85" s="57" t="s">
        <v>115</v>
      </c>
      <c r="C85" s="62">
        <f>$C$17*(1+Underlying_Assets!H76)</f>
        <v>86.122450207468873</v>
      </c>
      <c r="D85" s="8">
        <f>$D$17*(1+Underlying_Assets!I76)</f>
        <v>145.58116723884257</v>
      </c>
      <c r="E85" s="62">
        <f>(LN(C85/Option_Portfolio!$E$4)+(Option_Portfolio!$H$4+0.5*Option_Portfolio!$G$4^2)*Option_Portfolio!$F$4)/(Option_Portfolio!$G$4*SQRT(Option_Portfolio!$F$4))</f>
        <v>0.21083317641740743</v>
      </c>
      <c r="F85" s="63">
        <f>(LN(D85/Option_Portfolio!$E$5)+(Option_Portfolio!$H$5+0.5*Option_Portfolio!$G$5^2)*Option_Portfolio!$F$5)/(Option_Portfolio!$G$5*SQRT(Option_Portfolio!$F$5))</f>
        <v>1.3521298359351566</v>
      </c>
      <c r="G85" s="62">
        <f>E85-Option_Portfolio!$G$4*SQRT(Option_Portfolio!$F$4)</f>
        <v>9.0625023615694328E-2</v>
      </c>
      <c r="H85" s="63">
        <f>F85-Option_Portfolio!$G$5*SQRT(Option_Portfolio!$F$5)</f>
        <v>1.1965663440741161</v>
      </c>
      <c r="I85" s="115">
        <f t="shared" si="5"/>
        <v>0.58349127533154277</v>
      </c>
      <c r="J85" s="116">
        <f t="shared" si="6"/>
        <v>0.91183310786575911</v>
      </c>
      <c r="K85" s="115">
        <f t="shared" si="7"/>
        <v>0.5361047261122498</v>
      </c>
      <c r="L85" s="116">
        <f t="shared" si="8"/>
        <v>0.88426218743415608</v>
      </c>
      <c r="M85" s="62">
        <f>(1-K85)*Option_Portfolio!$E$4*EXP(-Option_Portfolio!$H$4*Option_Portfolio!$F$4)-(1-I85)*C85</f>
        <v>3.3636829560940242</v>
      </c>
      <c r="N85" s="116">
        <f>J85*D85-L85*Option_Portfolio!$E$5*EXP(-Option_Portfolio!$H$5*Option_Portfolio!$F$5)</f>
        <v>27.163498805094164</v>
      </c>
      <c r="O85" s="120">
        <f>M85 * -Option_Portfolio!$B$4 * 1000 + N85 * Option_Portfolio!$B$5 * 1000</f>
        <v>30781216.91753016</v>
      </c>
      <c r="P85" s="123">
        <f t="shared" si="9"/>
        <v>-1.0020458804223309E-2</v>
      </c>
    </row>
    <row r="86" spans="2:16">
      <c r="B86" s="57" t="s">
        <v>116</v>
      </c>
      <c r="C86" s="62">
        <f>$C$17*(1+Underlying_Assets!H77)</f>
        <v>86.873400805535482</v>
      </c>
      <c r="D86" s="8">
        <f>$D$17*(1+Underlying_Assets!I77)</f>
        <v>146.3539512195122</v>
      </c>
      <c r="E86" s="62">
        <f>(LN(C86/Option_Portfolio!$E$4)+(Option_Portfolio!$H$4+0.5*Option_Portfolio!$G$4^2)*Option_Portfolio!$F$4)/(Option_Portfolio!$G$4*SQRT(Option_Portfolio!$F$4))</f>
        <v>0.28305600276131565</v>
      </c>
      <c r="F86" s="63">
        <f>(LN(D86/Option_Portfolio!$E$5)+(Option_Portfolio!$H$5+0.5*Option_Portfolio!$G$5^2)*Option_Portfolio!$F$5)/(Option_Portfolio!$G$5*SQRT(Option_Portfolio!$F$5))</f>
        <v>1.3861624333369322</v>
      </c>
      <c r="G86" s="62">
        <f>E86-Option_Portfolio!$G$4*SQRT(Option_Portfolio!$F$4)</f>
        <v>0.16284784995960255</v>
      </c>
      <c r="H86" s="63">
        <f>F86-Option_Portfolio!$G$5*SQRT(Option_Portfolio!$F$5)</f>
        <v>1.2305989414758918</v>
      </c>
      <c r="I86" s="115">
        <f t="shared" si="5"/>
        <v>0.61143304620526595</v>
      </c>
      <c r="J86" s="116">
        <f t="shared" si="6"/>
        <v>0.91715134515336705</v>
      </c>
      <c r="K86" s="115">
        <f t="shared" si="7"/>
        <v>0.5646808838625117</v>
      </c>
      <c r="L86" s="116">
        <f t="shared" si="8"/>
        <v>0.89076354932766322</v>
      </c>
      <c r="M86" s="62">
        <f>(1-K86)*Option_Portfolio!$E$4*EXP(-Option_Portfolio!$H$4*Option_Portfolio!$F$4)-(1-I86)*C86</f>
        <v>3.0614432871780863</v>
      </c>
      <c r="N86" s="116">
        <f>J86*D86-L86*Option_Portfolio!$E$5*EXP(-Option_Portfolio!$H$5*Option_Portfolio!$F$5)</f>
        <v>27.870221518566908</v>
      </c>
      <c r="O86" s="120">
        <f>M86 * -Option_Portfolio!$B$4 * 1000 + N86 * Option_Portfolio!$B$5 * 1000</f>
        <v>34310340.026887216</v>
      </c>
      <c r="P86" s="123">
        <f t="shared" si="9"/>
        <v>0.11465183845110394</v>
      </c>
    </row>
    <row r="87" spans="2:16">
      <c r="B87" s="57" t="s">
        <v>117</v>
      </c>
      <c r="C87" s="62">
        <f>$C$17*(1+Underlying_Assets!H78)</f>
        <v>84.901039649373146</v>
      </c>
      <c r="D87" s="8">
        <f>$D$17*(1+Underlying_Assets!I78)</f>
        <v>141.09613899613902</v>
      </c>
      <c r="E87" s="62">
        <f>(LN(C87/Option_Portfolio!$E$4)+(Option_Portfolio!$H$4+0.5*Option_Portfolio!$G$4^2)*Option_Portfolio!$F$4)/(Option_Portfolio!$G$4*SQRT(Option_Portfolio!$F$4))</f>
        <v>9.2007755463209676E-2</v>
      </c>
      <c r="F87" s="63">
        <f>(LN(D87/Option_Portfolio!$E$5)+(Option_Portfolio!$H$5+0.5*Option_Portfolio!$G$5^2)*Option_Portfolio!$F$5)/(Option_Portfolio!$G$5*SQRT(Option_Portfolio!$F$5))</f>
        <v>1.1509753989256875</v>
      </c>
      <c r="G87" s="62">
        <f>E87-Option_Portfolio!$G$4*SQRT(Option_Portfolio!$F$4)</f>
        <v>-2.8200397338503422E-2</v>
      </c>
      <c r="H87" s="63">
        <f>F87-Option_Portfolio!$G$5*SQRT(Option_Portfolio!$F$5)</f>
        <v>0.99541190706464699</v>
      </c>
      <c r="I87" s="115">
        <f t="shared" si="5"/>
        <v>0.53665406111856351</v>
      </c>
      <c r="J87" s="116">
        <f t="shared" si="6"/>
        <v>0.87512882172957795</v>
      </c>
      <c r="K87" s="115">
        <f t="shared" si="7"/>
        <v>0.48875116016055542</v>
      </c>
      <c r="L87" s="116">
        <f t="shared" si="8"/>
        <v>0.84023201509168033</v>
      </c>
      <c r="M87" s="62">
        <f>(1-K87)*Option_Portfolio!$E$4*EXP(-Option_Portfolio!$H$4*Option_Portfolio!$F$4)-(1-I87)*C87</f>
        <v>3.9008609987585388</v>
      </c>
      <c r="N87" s="116">
        <f>J87*D87-L87*Option_Portfolio!$E$5*EXP(-Option_Portfolio!$H$5*Option_Portfolio!$F$5)</f>
        <v>23.152337018271567</v>
      </c>
      <c r="O87" s="120">
        <f>M87 * -Option_Portfolio!$B$4 * 1000 + N87 * Option_Portfolio!$B$5 * 1000</f>
        <v>18998647.045233358</v>
      </c>
      <c r="P87" s="123">
        <f t="shared" si="9"/>
        <v>-0.44627051115363148</v>
      </c>
    </row>
    <row r="88" spans="2:16">
      <c r="B88" s="57" t="s">
        <v>118</v>
      </c>
      <c r="C88" s="62">
        <f>$C$17*(1+Underlying_Assets!H79)</f>
        <v>87.90225424601131</v>
      </c>
      <c r="D88" s="8">
        <f>$D$17*(1+Underlying_Assets!I79)</f>
        <v>147.38187221396731</v>
      </c>
      <c r="E88" s="62">
        <f>(LN(C88/Option_Portfolio!$E$4)+(Option_Portfolio!$H$4+0.5*Option_Portfolio!$G$4^2)*Option_Portfolio!$F$4)/(Option_Portfolio!$G$4*SQRT(Option_Portfolio!$F$4))</f>
        <v>0.38099906187032939</v>
      </c>
      <c r="F88" s="63">
        <f>(LN(D88/Option_Portfolio!$E$5)+(Option_Portfolio!$H$5+0.5*Option_Portfolio!$G$5^2)*Option_Portfolio!$F$5)/(Option_Portfolio!$G$5*SQRT(Option_Portfolio!$F$5))</f>
        <v>1.4311535638833563</v>
      </c>
      <c r="G88" s="62">
        <f>E88-Option_Portfolio!$G$4*SQRT(Option_Portfolio!$F$4)</f>
        <v>0.26079090906861629</v>
      </c>
      <c r="H88" s="63">
        <f>F88-Option_Portfolio!$G$5*SQRT(Option_Portfolio!$F$5)</f>
        <v>1.2755900720223159</v>
      </c>
      <c r="I88" s="115">
        <f t="shared" si="5"/>
        <v>0.6483980276733079</v>
      </c>
      <c r="J88" s="116">
        <f t="shared" si="6"/>
        <v>0.92380689562977403</v>
      </c>
      <c r="K88" s="115">
        <f t="shared" si="7"/>
        <v>0.60287312228271506</v>
      </c>
      <c r="L88" s="116">
        <f t="shared" si="8"/>
        <v>0.89894976727961295</v>
      </c>
      <c r="M88" s="62">
        <f>(1-K88)*Option_Portfolio!$E$4*EXP(-Option_Portfolio!$H$4*Option_Portfolio!$F$4)-(1-I88)*C88</f>
        <v>2.6808209630196913</v>
      </c>
      <c r="N88" s="116">
        <f>J88*D88-L88*Option_Portfolio!$E$5*EXP(-Option_Portfolio!$H$5*Option_Portfolio!$F$5)</f>
        <v>28.816441448820498</v>
      </c>
      <c r="O88" s="120">
        <f>M88 * -Option_Portfolio!$B$4 * 1000 + N88 * Option_Portfolio!$B$5 * 1000</f>
        <v>38867136.156503156</v>
      </c>
      <c r="P88" s="123">
        <f t="shared" si="9"/>
        <v>1.0457844215940986</v>
      </c>
    </row>
    <row r="89" spans="2:16">
      <c r="B89" s="57" t="s">
        <v>119</v>
      </c>
      <c r="C89" s="62">
        <f>$C$17*(1+Underlying_Assets!H80)</f>
        <v>85.326795180722897</v>
      </c>
      <c r="D89" s="8">
        <f>$D$17*(1+Underlying_Assets!I80)</f>
        <v>143.60214111922144</v>
      </c>
      <c r="E89" s="62">
        <f>(LN(C89/Option_Portfolio!$E$4)+(Option_Portfolio!$H$4+0.5*Option_Portfolio!$G$4^2)*Option_Portfolio!$F$4)/(Option_Portfolio!$G$4*SQRT(Option_Portfolio!$F$4))</f>
        <v>0.13362053268004495</v>
      </c>
      <c r="F89" s="63">
        <f>(LN(D89/Option_Portfolio!$E$5)+(Option_Portfolio!$H$5+0.5*Option_Portfolio!$G$5^2)*Option_Portfolio!$F$5)/(Option_Portfolio!$G$5*SQRT(Option_Portfolio!$F$5))</f>
        <v>1.2641450874448772</v>
      </c>
      <c r="G89" s="62">
        <f>E89-Option_Portfolio!$G$4*SQRT(Option_Portfolio!$F$4)</f>
        <v>1.3412379878331854E-2</v>
      </c>
      <c r="H89" s="63">
        <f>F89-Option_Portfolio!$G$5*SQRT(Option_Portfolio!$F$5)</f>
        <v>1.1085815955838367</v>
      </c>
      <c r="I89" s="115">
        <f t="shared" si="5"/>
        <v>0.55314867647013588</v>
      </c>
      <c r="J89" s="116">
        <f t="shared" si="6"/>
        <v>0.89691102195670469</v>
      </c>
      <c r="K89" s="115">
        <f t="shared" si="7"/>
        <v>0.50535060499201101</v>
      </c>
      <c r="L89" s="116">
        <f t="shared" si="8"/>
        <v>0.86619463934729102</v>
      </c>
      <c r="M89" s="62">
        <f>(1-K89)*Option_Portfolio!$E$4*EXP(-Option_Portfolio!$H$4*Option_Portfolio!$F$4)-(1-I89)*C89</f>
        <v>3.7071059138674087</v>
      </c>
      <c r="N89" s="116">
        <f>J89*D89-L89*Option_Portfolio!$E$5*EXP(-Option_Portfolio!$H$5*Option_Portfolio!$F$5)</f>
        <v>25.373406079168717</v>
      </c>
      <c r="O89" s="120">
        <f>M89 * -Option_Portfolio!$B$4 * 1000 + N89 * Option_Portfolio!$B$5 * 1000</f>
        <v>24797070.761265568</v>
      </c>
      <c r="P89" s="123">
        <f t="shared" si="9"/>
        <v>-0.36200417078795799</v>
      </c>
    </row>
    <row r="90" spans="2:16">
      <c r="B90" s="57" t="s">
        <v>120</v>
      </c>
      <c r="C90" s="62">
        <f>$C$17*(1+Underlying_Assets!H81)</f>
        <v>81.518740920096846</v>
      </c>
      <c r="D90" s="8">
        <f>$D$17*(1+Underlying_Assets!I81)</f>
        <v>147.71305201177626</v>
      </c>
      <c r="E90" s="62">
        <f>(LN(C90/Option_Portfolio!$E$4)+(Option_Portfolio!$H$4+0.5*Option_Portfolio!$G$4^2)*Option_Portfolio!$F$4)/(Option_Portfolio!$G$4*SQRT(Option_Portfolio!$F$4))</f>
        <v>-0.24618390723390468</v>
      </c>
      <c r="F90" s="63">
        <f>(LN(D90/Option_Portfolio!$E$5)+(Option_Portfolio!$H$5+0.5*Option_Portfolio!$G$5^2)*Option_Portfolio!$F$5)/(Option_Portfolio!$G$5*SQRT(Option_Portfolio!$F$5))</f>
        <v>1.445582177120261</v>
      </c>
      <c r="G90" s="62">
        <f>E90-Option_Portfolio!$G$4*SQRT(Option_Portfolio!$F$4)</f>
        <v>-0.36639206003561775</v>
      </c>
      <c r="H90" s="63">
        <f>F90-Option_Portfolio!$G$5*SQRT(Option_Portfolio!$F$5)</f>
        <v>1.2900186852592206</v>
      </c>
      <c r="I90" s="115">
        <f t="shared" si="5"/>
        <v>0.40276993622039142</v>
      </c>
      <c r="J90" s="116">
        <f t="shared" si="6"/>
        <v>0.92585278570340324</v>
      </c>
      <c r="K90" s="115">
        <f t="shared" si="7"/>
        <v>0.35703627181606284</v>
      </c>
      <c r="L90" s="116">
        <f t="shared" si="8"/>
        <v>0.90147791471414485</v>
      </c>
      <c r="M90" s="62">
        <f>(1-K90)*Option_Portfolio!$E$4*EXP(-Option_Portfolio!$H$4*Option_Portfolio!$F$4)-(1-I90)*C90</f>
        <v>5.693896484015049</v>
      </c>
      <c r="N90" s="116">
        <f>J90*D90-L90*Option_Portfolio!$E$5*EXP(-Option_Portfolio!$H$5*Option_Portfolio!$F$5)</f>
        <v>29.122727706994255</v>
      </c>
      <c r="O90" s="120">
        <f>M90 * -Option_Portfolio!$B$4 * 1000 + N90 * Option_Portfolio!$B$5 * 1000</f>
        <v>18388180.025883168</v>
      </c>
      <c r="P90" s="123">
        <f t="shared" si="9"/>
        <v>-0.25845354062518755</v>
      </c>
    </row>
    <row r="91" spans="2:16">
      <c r="B91" s="57" t="s">
        <v>121</v>
      </c>
      <c r="C91" s="62">
        <f>$C$17*(1+Underlying_Assets!H82)</f>
        <v>86.749883276740235</v>
      </c>
      <c r="D91" s="8">
        <f>$D$17*(1+Underlying_Assets!I82)</f>
        <v>148.35209235209234</v>
      </c>
      <c r="E91" s="62">
        <f>(LN(C91/Option_Portfolio!$E$4)+(Option_Portfolio!$H$4+0.5*Option_Portfolio!$G$4^2)*Option_Portfolio!$F$4)/(Option_Portfolio!$G$4*SQRT(Option_Portfolio!$F$4))</f>
        <v>0.27121968071870561</v>
      </c>
      <c r="F91" s="63">
        <f>(LN(D91/Option_Portfolio!$E$5)+(Option_Portfolio!$H$5+0.5*Option_Portfolio!$G$5^2)*Option_Portfolio!$F$5)/(Option_Portfolio!$G$5*SQRT(Option_Portfolio!$F$5))</f>
        <v>1.4733322405732663</v>
      </c>
      <c r="G91" s="62">
        <f>E91-Option_Portfolio!$G$4*SQRT(Option_Portfolio!$F$4)</f>
        <v>0.15101152791699252</v>
      </c>
      <c r="H91" s="63">
        <f>F91-Option_Portfolio!$G$5*SQRT(Option_Portfolio!$F$5)</f>
        <v>1.3177687487122258</v>
      </c>
      <c r="I91" s="115">
        <f t="shared" si="5"/>
        <v>0.60688896147005922</v>
      </c>
      <c r="J91" s="116">
        <f t="shared" si="6"/>
        <v>0.92966926434856967</v>
      </c>
      <c r="K91" s="115">
        <f t="shared" si="7"/>
        <v>0.56001668888761413</v>
      </c>
      <c r="L91" s="116">
        <f t="shared" si="8"/>
        <v>0.90620946376655098</v>
      </c>
      <c r="M91" s="62">
        <f>(1-K91)*Option_Portfolio!$E$4*EXP(-Option_Portfolio!$H$4*Option_Portfolio!$F$4)-(1-I91)*C91</f>
        <v>3.1097185341634273</v>
      </c>
      <c r="N91" s="116">
        <f>J91*D91-L91*Option_Portfolio!$E$5*EXP(-Option_Portfolio!$H$5*Option_Portfolio!$F$5)</f>
        <v>29.715613536313484</v>
      </c>
      <c r="O91" s="120">
        <f>M91 * -Option_Portfolio!$B$4 * 1000 + N91 * Option_Portfolio!$B$5 * 1000</f>
        <v>37663197.333482981</v>
      </c>
      <c r="P91" s="123">
        <f t="shared" si="9"/>
        <v>1.0482286599581001</v>
      </c>
    </row>
    <row r="92" spans="2:16">
      <c r="B92" s="57" t="s">
        <v>122</v>
      </c>
      <c r="C92" s="62">
        <f>$C$17*(1+Underlying_Assets!H83)</f>
        <v>84.786833770319873</v>
      </c>
      <c r="D92" s="8">
        <f>$D$17*(1+Underlying_Assets!I83)</f>
        <v>143.91624413145541</v>
      </c>
      <c r="E92" s="62">
        <f>(LN(C92/Option_Portfolio!$E$4)+(Option_Portfolio!$H$4+0.5*Option_Portfolio!$G$4^2)*Option_Portfolio!$F$4)/(Option_Portfolio!$G$4*SQRT(Option_Portfolio!$F$4))</f>
        <v>8.0809927482173263E-2</v>
      </c>
      <c r="F92" s="63">
        <f>(LN(D92/Option_Portfolio!$E$5)+(Option_Portfolio!$H$5+0.5*Option_Portfolio!$G$5^2)*Option_Portfolio!$F$5)/(Option_Portfolio!$G$5*SQRT(Option_Portfolio!$F$5))</f>
        <v>1.2781903210207002</v>
      </c>
      <c r="G92" s="62">
        <f>E92-Option_Portfolio!$G$4*SQRT(Option_Portfolio!$F$4)</f>
        <v>-3.9398225319539834E-2</v>
      </c>
      <c r="H92" s="63">
        <f>F92-Option_Portfolio!$G$5*SQRT(Option_Portfolio!$F$5)</f>
        <v>1.1226268291596597</v>
      </c>
      <c r="I92" s="115">
        <f t="shared" si="5"/>
        <v>0.53220344354794502</v>
      </c>
      <c r="J92" s="116">
        <f t="shared" si="6"/>
        <v>0.89940883596739685</v>
      </c>
      <c r="K92" s="115">
        <f t="shared" si="7"/>
        <v>0.48428644740122778</v>
      </c>
      <c r="L92" s="116">
        <f t="shared" si="8"/>
        <v>0.869201992042822</v>
      </c>
      <c r="M92" s="62">
        <f>(1-K92)*Option_Portfolio!$E$4*EXP(-Option_Portfolio!$H$4*Option_Portfolio!$F$4)-(1-I92)*C92</f>
        <v>3.9540318743600125</v>
      </c>
      <c r="N92" s="116">
        <f>J92*D92-L92*Option_Portfolio!$E$5*EXP(-Option_Portfolio!$H$5*Option_Portfolio!$F$5)</f>
        <v>25.655522128462451</v>
      </c>
      <c r="O92" s="120">
        <f>M92 * -Option_Portfolio!$B$4 * 1000 + N92 * Option_Portfolio!$B$5 * 1000</f>
        <v>23632821.136404809</v>
      </c>
      <c r="P92" s="123">
        <f t="shared" si="9"/>
        <v>-0.37252217523776243</v>
      </c>
    </row>
    <row r="93" spans="2:16">
      <c r="B93" s="57" t="s">
        <v>123</v>
      </c>
      <c r="C93" s="62">
        <f>$C$17*(1+Underlying_Assets!H84)</f>
        <v>85.185313394845679</v>
      </c>
      <c r="D93" s="8">
        <f>$D$17*(1+Underlying_Assets!I84)</f>
        <v>143.63722248464811</v>
      </c>
      <c r="E93" s="62">
        <f>(LN(C93/Option_Portfolio!$E$4)+(Option_Portfolio!$H$4+0.5*Option_Portfolio!$G$4^2)*Option_Portfolio!$F$4)/(Option_Portfolio!$G$4*SQRT(Option_Portfolio!$F$4))</f>
        <v>0.11981537155094861</v>
      </c>
      <c r="F93" s="63">
        <f>(LN(D93/Option_Portfolio!$E$5)+(Option_Portfolio!$H$5+0.5*Option_Portfolio!$G$5^2)*Option_Portfolio!$F$5)/(Option_Portfolio!$G$5*SQRT(Option_Portfolio!$F$5))</f>
        <v>1.2657152869910027</v>
      </c>
      <c r="G93" s="62">
        <f>E93-Option_Portfolio!$G$4*SQRT(Option_Portfolio!$F$4)</f>
        <v>-3.9278125076448733E-4</v>
      </c>
      <c r="H93" s="63">
        <f>F93-Option_Portfolio!$G$5*SQRT(Option_Portfolio!$F$5)</f>
        <v>1.1101517951299622</v>
      </c>
      <c r="I93" s="115">
        <f t="shared" si="5"/>
        <v>0.54768529753570294</v>
      </c>
      <c r="J93" s="116">
        <f t="shared" si="6"/>
        <v>0.89719248336043678</v>
      </c>
      <c r="K93" s="115">
        <f t="shared" si="7"/>
        <v>0.4998433029561502</v>
      </c>
      <c r="L93" s="116">
        <f t="shared" si="8"/>
        <v>0.86653318950163205</v>
      </c>
      <c r="M93" s="62">
        <f>(1-K93)*Option_Portfolio!$E$4*EXP(-Option_Portfolio!$H$4*Option_Portfolio!$F$4)-(1-I93)*C93</f>
        <v>3.7707135018685491</v>
      </c>
      <c r="N93" s="116">
        <f>J93*D93-L93*Option_Portfolio!$E$5*EXP(-Option_Portfolio!$H$5*Option_Portfolio!$F$5)</f>
        <v>25.404875881345646</v>
      </c>
      <c r="O93" s="120">
        <f>M93 * -Option_Portfolio!$B$4 * 1000 + N93 * Option_Portfolio!$B$5 * 1000</f>
        <v>24414757.249611445</v>
      </c>
      <c r="P93" s="123">
        <f t="shared" si="9"/>
        <v>3.3086871376609261E-2</v>
      </c>
    </row>
    <row r="94" spans="2:16">
      <c r="B94" s="57" t="s">
        <v>124</v>
      </c>
      <c r="C94" s="62">
        <f>$C$17*(1+Underlying_Assets!H85)</f>
        <v>84.248153287788199</v>
      </c>
      <c r="D94" s="8">
        <f>$D$17*(1+Underlying_Assets!I85)</f>
        <v>145.90323809523812</v>
      </c>
      <c r="E94" s="62">
        <f>(LN(C94/Option_Portfolio!$E$4)+(Option_Portfolio!$H$4+0.5*Option_Portfolio!$G$4^2)*Option_Portfolio!$F$4)/(Option_Portfolio!$G$4*SQRT(Option_Portfolio!$F$4))</f>
        <v>2.778840695314078E-2</v>
      </c>
      <c r="F94" s="63">
        <f>(LN(D94/Option_Portfolio!$E$5)+(Option_Portfolio!$H$5+0.5*Option_Portfolio!$G$5^2)*Option_Portfolio!$F$5)/(Option_Portfolio!$G$5*SQRT(Option_Portfolio!$F$5))</f>
        <v>1.3663354035927093</v>
      </c>
      <c r="G94" s="62">
        <f>E94-Option_Portfolio!$G$4*SQRT(Option_Portfolio!$F$4)</f>
        <v>-9.2419745848572321E-2</v>
      </c>
      <c r="H94" s="63">
        <f>F94-Option_Portfolio!$G$5*SQRT(Option_Portfolio!$F$5)</f>
        <v>1.2107719117316689</v>
      </c>
      <c r="I94" s="115">
        <f t="shared" si="5"/>
        <v>0.51108454384766033</v>
      </c>
      <c r="J94" s="116">
        <f t="shared" si="6"/>
        <v>0.91408314318106687</v>
      </c>
      <c r="K94" s="115">
        <f t="shared" si="7"/>
        <v>0.46318227582434429</v>
      </c>
      <c r="L94" s="116">
        <f t="shared" si="8"/>
        <v>0.88700858350385814</v>
      </c>
      <c r="M94" s="62">
        <f>(1-K94)*Option_Portfolio!$E$4*EXP(-Option_Portfolio!$H$4*Option_Portfolio!$F$4)-(1-I94)*C94</f>
        <v>4.2117041468691809</v>
      </c>
      <c r="N94" s="116">
        <f>J94*D94-L94*Option_Portfolio!$E$5*EXP(-Option_Portfolio!$H$5*Option_Portfolio!$F$5)</f>
        <v>27.457537309907252</v>
      </c>
      <c r="O94" s="120">
        <f>M94 * -Option_Portfolio!$B$4 * 1000 + N94 * Option_Portfolio!$B$5 * 1000</f>
        <v>25433145.591730241</v>
      </c>
      <c r="P94" s="123">
        <f t="shared" si="9"/>
        <v>4.1711999497148433E-2</v>
      </c>
    </row>
    <row r="95" spans="2:16">
      <c r="B95" s="57" t="s">
        <v>125</v>
      </c>
      <c r="C95" s="62">
        <f>$C$17*(1+Underlying_Assets!H86)</f>
        <v>85.469879413362307</v>
      </c>
      <c r="D95" s="8">
        <f>$D$17*(1+Underlying_Assets!I86)</f>
        <v>145.89489603024577</v>
      </c>
      <c r="E95" s="62">
        <f>(LN(C95/Option_Portfolio!$E$4)+(Option_Portfolio!$H$4+0.5*Option_Portfolio!$G$4^2)*Option_Portfolio!$F$4)/(Option_Portfolio!$G$4*SQRT(Option_Portfolio!$F$4))</f>
        <v>0.14755879204634273</v>
      </c>
      <c r="F95" s="63">
        <f>(LN(D95/Option_Portfolio!$E$5)+(Option_Portfolio!$H$5+0.5*Option_Portfolio!$G$5^2)*Option_Portfolio!$F$5)/(Option_Portfolio!$G$5*SQRT(Option_Portfolio!$F$5))</f>
        <v>1.3659678561788109</v>
      </c>
      <c r="G95" s="62">
        <f>E95-Option_Portfolio!$G$4*SQRT(Option_Portfolio!$F$4)</f>
        <v>2.7350639244629632E-2</v>
      </c>
      <c r="H95" s="63">
        <f>F95-Option_Portfolio!$G$5*SQRT(Option_Portfolio!$F$5)</f>
        <v>1.2104043643177704</v>
      </c>
      <c r="I95" s="115">
        <f t="shared" si="5"/>
        <v>0.55865451090796281</v>
      </c>
      <c r="J95" s="116">
        <f t="shared" si="6"/>
        <v>0.91402547366815334</v>
      </c>
      <c r="K95" s="115">
        <f t="shared" si="7"/>
        <v>0.51090996616012552</v>
      </c>
      <c r="L95" s="116">
        <f t="shared" si="8"/>
        <v>0.88693811597802663</v>
      </c>
      <c r="M95" s="62">
        <f>(1-K95)*Option_Portfolio!$E$4*EXP(-Option_Portfolio!$H$4*Option_Portfolio!$F$4)-(1-I95)*C95</f>
        <v>3.6435626728251194</v>
      </c>
      <c r="N95" s="116">
        <f>J95*D95-L95*Option_Portfolio!$E$5*EXP(-Option_Portfolio!$H$5*Option_Portfolio!$F$5)</f>
        <v>27.449912209437414</v>
      </c>
      <c r="O95" s="120">
        <f>M95 * -Option_Portfolio!$B$4 * 1000 + N95 * Option_Portfolio!$B$5 * 1000</f>
        <v>29394885.709098991</v>
      </c>
      <c r="P95" s="123">
        <f t="shared" si="9"/>
        <v>0.15577074817898007</v>
      </c>
    </row>
    <row r="96" spans="2:16">
      <c r="B96" s="57" t="s">
        <v>126</v>
      </c>
      <c r="C96" s="62">
        <f>$C$17*(1+Underlying_Assets!H87)</f>
        <v>86.468827375762842</v>
      </c>
      <c r="D96" s="8">
        <f>$D$17*(1+Underlying_Assets!I87)</f>
        <v>144.39249530956849</v>
      </c>
      <c r="E96" s="62">
        <f>(LN(C96/Option_Portfolio!$E$4)+(Option_Portfolio!$H$4+0.5*Option_Portfolio!$G$4^2)*Option_Portfolio!$F$4)/(Option_Portfolio!$G$4*SQRT(Option_Portfolio!$F$4))</f>
        <v>0.24422399523665511</v>
      </c>
      <c r="F96" s="63">
        <f>(LN(D96/Option_Portfolio!$E$5)+(Option_Portfolio!$H$5+0.5*Option_Portfolio!$G$5^2)*Option_Portfolio!$F$5)/(Option_Portfolio!$G$5*SQRT(Option_Portfolio!$F$5))</f>
        <v>1.2994277022676759</v>
      </c>
      <c r="G96" s="62">
        <f>E96-Option_Portfolio!$G$4*SQRT(Option_Portfolio!$F$4)</f>
        <v>0.12401584243494201</v>
      </c>
      <c r="H96" s="63">
        <f>F96-Option_Portfolio!$G$5*SQRT(Option_Portfolio!$F$5)</f>
        <v>1.1438642104066354</v>
      </c>
      <c r="I96" s="115">
        <f t="shared" si="5"/>
        <v>0.59647132794003088</v>
      </c>
      <c r="J96" s="116">
        <f t="shared" si="6"/>
        <v>0.90310140507123671</v>
      </c>
      <c r="K96" s="115">
        <f t="shared" si="7"/>
        <v>0.54934863427569558</v>
      </c>
      <c r="L96" s="116">
        <f t="shared" si="8"/>
        <v>0.87366002219911887</v>
      </c>
      <c r="M96" s="62">
        <f>(1-K96)*Option_Portfolio!$E$4*EXP(-Option_Portfolio!$H$4*Option_Portfolio!$F$4)-(1-I96)*C96</f>
        <v>3.2216661906529254</v>
      </c>
      <c r="N96" s="116">
        <f>J96*D96-L96*Option_Portfolio!$E$5*EXP(-Option_Portfolio!$H$5*Option_Portfolio!$F$5)</f>
        <v>26.084750436627743</v>
      </c>
      <c r="O96" s="120">
        <f>M96 * -Option_Portfolio!$B$4 * 1000 + N96 * Option_Portfolio!$B$5 * 1000</f>
        <v>29617837.538685009</v>
      </c>
      <c r="P96" s="123">
        <f t="shared" si="9"/>
        <v>7.584714966828443E-3</v>
      </c>
    </row>
    <row r="97" spans="2:16">
      <c r="B97" s="57" t="s">
        <v>127</v>
      </c>
      <c r="C97" s="62">
        <f>$C$17*(1+Underlying_Assets!H88)</f>
        <v>85.258210503566005</v>
      </c>
      <c r="D97" s="8">
        <f>$D$17*(1+Underlying_Assets!I88)</f>
        <v>145.27676387582315</v>
      </c>
      <c r="E97" s="62">
        <f>(LN(C97/Option_Portfolio!$E$4)+(Option_Portfolio!$H$4+0.5*Option_Portfolio!$G$4^2)*Option_Portfolio!$F$4)/(Option_Portfolio!$G$4*SQRT(Option_Portfolio!$F$4))</f>
        <v>0.12693120701348884</v>
      </c>
      <c r="F97" s="63">
        <f>(LN(D97/Option_Portfolio!$E$5)+(Option_Portfolio!$H$5+0.5*Option_Portfolio!$G$5^2)*Option_Portfolio!$F$5)/(Option_Portfolio!$G$5*SQRT(Option_Portfolio!$F$5))</f>
        <v>1.338674609625303</v>
      </c>
      <c r="G97" s="62">
        <f>E97-Option_Portfolio!$G$4*SQRT(Option_Portfolio!$F$4)</f>
        <v>6.7230542117757419E-3</v>
      </c>
      <c r="H97" s="63">
        <f>F97-Option_Portfolio!$G$5*SQRT(Option_Portfolio!$F$5)</f>
        <v>1.1831111177642626</v>
      </c>
      <c r="I97" s="115">
        <f t="shared" si="5"/>
        <v>0.55050257661089219</v>
      </c>
      <c r="J97" s="116">
        <f t="shared" si="6"/>
        <v>0.90966168725872509</v>
      </c>
      <c r="K97" s="115">
        <f t="shared" si="7"/>
        <v>0.50268209037365452</v>
      </c>
      <c r="L97" s="116">
        <f t="shared" si="8"/>
        <v>0.88161744388526364</v>
      </c>
      <c r="M97" s="62">
        <f>(1-K97)*Option_Portfolio!$E$4*EXP(-Option_Portfolio!$H$4*Option_Portfolio!$F$4)-(1-I97)*C97</f>
        <v>3.7378437832406561</v>
      </c>
      <c r="N97" s="116">
        <f>J97*D97-L97*Option_Portfolio!$E$5*EXP(-Option_Portfolio!$H$5*Option_Portfolio!$F$5)</f>
        <v>26.886263121993679</v>
      </c>
      <c r="O97" s="120">
        <f>M97 * -Option_Portfolio!$B$4 * 1000 + N97 * Option_Portfolio!$B$5 * 1000</f>
        <v>27607619.761302758</v>
      </c>
      <c r="P97" s="123">
        <f t="shared" si="9"/>
        <v>-6.7871861838550096E-2</v>
      </c>
    </row>
    <row r="98" spans="2:16">
      <c r="B98" s="57" t="s">
        <v>128</v>
      </c>
      <c r="C98" s="62">
        <f>$C$17*(1+Underlying_Assets!H89)</f>
        <v>85.656142143012389</v>
      </c>
      <c r="D98" s="8">
        <f>$D$17*(1+Underlying_Assets!I89)</f>
        <v>145.68251289263949</v>
      </c>
      <c r="E98" s="62">
        <f>(LN(C98/Option_Portfolio!$E$4)+(Option_Portfolio!$H$4+0.5*Option_Portfolio!$G$4^2)*Option_Portfolio!$F$4)/(Option_Portfolio!$G$4*SQRT(Option_Portfolio!$F$4))</f>
        <v>0.16566827926143374</v>
      </c>
      <c r="F98" s="63">
        <f>(LN(D98/Option_Portfolio!$E$5)+(Option_Portfolio!$H$5+0.5*Option_Portfolio!$G$5^2)*Option_Portfolio!$F$5)/(Option_Portfolio!$G$5*SQRT(Option_Portfolio!$F$5))</f>
        <v>1.3566032708842526</v>
      </c>
      <c r="G98" s="62">
        <f>E98-Option_Portfolio!$G$4*SQRT(Option_Portfolio!$F$4)</f>
        <v>4.546012645972064E-2</v>
      </c>
      <c r="H98" s="63">
        <f>F98-Option_Portfolio!$G$5*SQRT(Option_Portfolio!$F$5)</f>
        <v>1.2010397790232121</v>
      </c>
      <c r="I98" s="115">
        <f t="shared" si="5"/>
        <v>0.56579099473609595</v>
      </c>
      <c r="J98" s="116">
        <f t="shared" si="6"/>
        <v>0.91254634904245269</v>
      </c>
      <c r="K98" s="115">
        <f t="shared" si="7"/>
        <v>0.5181297217519214</v>
      </c>
      <c r="L98" s="116">
        <f t="shared" si="8"/>
        <v>0.88513211441545403</v>
      </c>
      <c r="M98" s="62">
        <f>(1-K98)*Option_Portfolio!$E$4*EXP(-Option_Portfolio!$H$4*Option_Portfolio!$F$4)-(1-I98)*C98</f>
        <v>3.5620216430945248</v>
      </c>
      <c r="N98" s="116">
        <f>J98*D98-L98*Option_Portfolio!$E$5*EXP(-Option_Portfolio!$H$5*Option_Portfolio!$F$5)</f>
        <v>27.255945310198385</v>
      </c>
      <c r="O98" s="120">
        <f>M98 * -Option_Portfolio!$B$4 * 1000 + N98 * Option_Portfolio!$B$5 * 1000</f>
        <v>29577739.118735097</v>
      </c>
      <c r="P98" s="123">
        <f t="shared" si="9"/>
        <v>7.1361434794673162E-2</v>
      </c>
    </row>
    <row r="99" spans="2:16">
      <c r="B99" s="57" t="s">
        <v>129</v>
      </c>
      <c r="C99" s="62">
        <f>$C$17*(1+Underlying_Assets!H90)</f>
        <v>86.57939954313062</v>
      </c>
      <c r="D99" s="8">
        <f>$D$17*(1+Underlying_Assets!I90)</f>
        <v>145.87958993476235</v>
      </c>
      <c r="E99" s="62">
        <f>(LN(C99/Option_Portfolio!$E$4)+(Option_Portfolio!$H$4+0.5*Option_Portfolio!$G$4^2)*Option_Portfolio!$F$4)/(Option_Portfolio!$G$4*SQRT(Option_Portfolio!$F$4))</f>
        <v>0.25485501192441218</v>
      </c>
      <c r="F99" s="63">
        <f>(LN(D99/Option_Portfolio!$E$5)+(Option_Portfolio!$H$5+0.5*Option_Portfolio!$G$5^2)*Option_Portfolio!$F$5)/(Option_Portfolio!$G$5*SQRT(Option_Portfolio!$F$5))</f>
        <v>1.3652934222368851</v>
      </c>
      <c r="G99" s="62">
        <f>E99-Option_Portfolio!$G$4*SQRT(Option_Portfolio!$F$4)</f>
        <v>0.13464685912269908</v>
      </c>
      <c r="H99" s="63">
        <f>F99-Option_Portfolio!$G$5*SQRT(Option_Portfolio!$F$5)</f>
        <v>1.2097299303758446</v>
      </c>
      <c r="I99" s="115">
        <f t="shared" si="5"/>
        <v>0.60058245781731201</v>
      </c>
      <c r="J99" s="116">
        <f t="shared" si="6"/>
        <v>0.91391957722170569</v>
      </c>
      <c r="K99" s="115">
        <f t="shared" si="7"/>
        <v>0.5535544546457718</v>
      </c>
      <c r="L99" s="116">
        <f t="shared" si="8"/>
        <v>0.88680872948959566</v>
      </c>
      <c r="M99" s="62">
        <f>(1-K99)*Option_Portfolio!$E$4*EXP(-Option_Portfolio!$H$4*Option_Portfolio!$F$4)-(1-I99)*C99</f>
        <v>3.1772745879622022</v>
      </c>
      <c r="N99" s="116">
        <f>J99*D99-L99*Option_Portfolio!$E$5*EXP(-Option_Portfolio!$H$5*Option_Portfolio!$F$5)</f>
        <v>27.435922858555159</v>
      </c>
      <c r="O99" s="120">
        <f>M99 * -Option_Portfolio!$B$4 * 1000 + N99 * Option_Portfolio!$B$5 * 1000</f>
        <v>32630923.601374906</v>
      </c>
      <c r="P99" s="123">
        <f t="shared" si="9"/>
        <v>0.10322575604522344</v>
      </c>
    </row>
    <row r="100" spans="2:16">
      <c r="B100" s="57" t="s">
        <v>130</v>
      </c>
      <c r="C100" s="62">
        <f>$C$17*(1+Underlying_Assets!H91)</f>
        <v>86.183339437681781</v>
      </c>
      <c r="D100" s="8">
        <f>$D$17*(1+Underlying_Assets!I91)</f>
        <v>146.00555041628124</v>
      </c>
      <c r="E100" s="62">
        <f>(LN(C100/Option_Portfolio!$E$4)+(Option_Portfolio!$H$4+0.5*Option_Portfolio!$G$4^2)*Option_Portfolio!$F$4)/(Option_Portfolio!$G$4*SQRT(Option_Portfolio!$F$4))</f>
        <v>0.21671262644369299</v>
      </c>
      <c r="F100" s="63">
        <f>(LN(D100/Option_Portfolio!$E$5)+(Option_Portfolio!$H$5+0.5*Option_Portfolio!$G$5^2)*Option_Portfolio!$F$5)/(Option_Portfolio!$G$5*SQRT(Option_Portfolio!$F$5))</f>
        <v>1.3708415271627019</v>
      </c>
      <c r="G100" s="62">
        <f>E100-Option_Portfolio!$G$4*SQRT(Option_Portfolio!$F$4)</f>
        <v>9.6504473641979893E-2</v>
      </c>
      <c r="H100" s="63">
        <f>F100-Option_Portfolio!$G$5*SQRT(Option_Portfolio!$F$5)</f>
        <v>1.2152780353016615</v>
      </c>
      <c r="I100" s="115">
        <f t="shared" si="5"/>
        <v>0.58578384631998903</v>
      </c>
      <c r="J100" s="116">
        <f t="shared" si="6"/>
        <v>0.91478781878150373</v>
      </c>
      <c r="K100" s="115">
        <f t="shared" si="7"/>
        <v>0.5384400394703156</v>
      </c>
      <c r="L100" s="116">
        <f t="shared" si="8"/>
        <v>0.88786996683066544</v>
      </c>
      <c r="M100" s="62">
        <f>(1-K100)*Option_Portfolio!$E$4*EXP(-Option_Portfolio!$H$4*Option_Portfolio!$F$4)-(1-I100)*C100</f>
        <v>3.3383918797556689</v>
      </c>
      <c r="N100" s="116">
        <f>J100*D100-L100*Option_Portfolio!$E$5*EXP(-Option_Portfolio!$H$5*Option_Portfolio!$F$5)</f>
        <v>27.551095367674193</v>
      </c>
      <c r="O100" s="120">
        <f>M100 * -Option_Portfolio!$B$4 * 1000 + N100 * Option_Portfolio!$B$5 * 1000</f>
        <v>31733447.577058699</v>
      </c>
      <c r="P100" s="123">
        <f t="shared" si="9"/>
        <v>-2.7503849884236486E-2</v>
      </c>
    </row>
    <row r="101" spans="2:16">
      <c r="B101" s="57" t="s">
        <v>131</v>
      </c>
      <c r="C101" s="62">
        <f>$C$17*(1+Underlying_Assets!H92)</f>
        <v>86.199436287643337</v>
      </c>
      <c r="D101" s="8">
        <f>$D$17*(1+Underlying_Assets!I92)</f>
        <v>144.80000000000001</v>
      </c>
      <c r="E101" s="62">
        <f>(LN(C101/Option_Portfolio!$E$4)+(Option_Portfolio!$H$4+0.5*Option_Portfolio!$G$4^2)*Option_Portfolio!$F$4)/(Option_Portfolio!$G$4*SQRT(Option_Portfolio!$F$4))</f>
        <v>0.218266240349961</v>
      </c>
      <c r="F101" s="63">
        <f>(LN(D101/Option_Portfolio!$E$5)+(Option_Portfolio!$H$5+0.5*Option_Portfolio!$G$5^2)*Option_Portfolio!$F$5)/(Option_Portfolio!$G$5*SQRT(Option_Portfolio!$F$5))</f>
        <v>1.317543947603435</v>
      </c>
      <c r="G101" s="62">
        <f>E101-Option_Portfolio!$G$4*SQRT(Option_Portfolio!$F$4)</f>
        <v>9.8058087548247908E-2</v>
      </c>
      <c r="H101" s="63">
        <f>F101-Option_Portfolio!$G$5*SQRT(Option_Portfolio!$F$5)</f>
        <v>1.1619804557423945</v>
      </c>
      <c r="I101" s="115">
        <f t="shared" si="5"/>
        <v>0.58638916168860411</v>
      </c>
      <c r="J101" s="116">
        <f t="shared" si="6"/>
        <v>0.90617181996178064</v>
      </c>
      <c r="K101" s="115">
        <f t="shared" si="7"/>
        <v>0.53905691581615578</v>
      </c>
      <c r="L101" s="116">
        <f t="shared" si="8"/>
        <v>0.87737829806466738</v>
      </c>
      <c r="M101" s="62">
        <f>(1-K101)*Option_Portfolio!$E$4*EXP(-Option_Portfolio!$H$4*Option_Portfolio!$F$4)-(1-I101)*C101</f>
        <v>3.3317291767395716</v>
      </c>
      <c r="N101" s="116">
        <f>J101*D101-L101*Option_Portfolio!$E$5*EXP(-Option_Portfolio!$H$5*Option_Portfolio!$F$5)</f>
        <v>26.45339686480412</v>
      </c>
      <c r="O101" s="120">
        <f>M101 * -Option_Portfolio!$B$4 * 1000 + N101 * Option_Portfolio!$B$5 * 1000</f>
        <v>29584689.492431235</v>
      </c>
      <c r="P101" s="123">
        <f t="shared" si="9"/>
        <v>-6.771272107796078E-2</v>
      </c>
    </row>
    <row r="102" spans="2:16">
      <c r="B102" s="57" t="s">
        <v>132</v>
      </c>
      <c r="C102" s="62">
        <f>$C$17*(1+Underlying_Assets!H93)</f>
        <v>85.904515510073537</v>
      </c>
      <c r="D102" s="8">
        <f>$D$17*(1+Underlying_Assets!I93)</f>
        <v>145.9291743119266</v>
      </c>
      <c r="E102" s="62">
        <f>(LN(C102/Option_Portfolio!$E$4)+(Option_Portfolio!$H$4+0.5*Option_Portfolio!$G$4^2)*Option_Portfolio!$F$4)/(Option_Portfolio!$G$4*SQRT(Option_Portfolio!$F$4))</f>
        <v>0.18975533391225782</v>
      </c>
      <c r="F102" s="63">
        <f>(LN(D102/Option_Portfolio!$E$5)+(Option_Portfolio!$H$5+0.5*Option_Portfolio!$G$5^2)*Option_Portfolio!$F$5)/(Option_Portfolio!$G$5*SQRT(Option_Portfolio!$F$5))</f>
        <v>1.3674780067361152</v>
      </c>
      <c r="G102" s="62">
        <f>E102-Option_Portfolio!$G$4*SQRT(Option_Portfolio!$F$4)</f>
        <v>6.9547181110544726E-2</v>
      </c>
      <c r="H102" s="63">
        <f>F102-Option_Portfolio!$G$5*SQRT(Option_Portfolio!$F$5)</f>
        <v>1.2119145148750747</v>
      </c>
      <c r="I102" s="115">
        <f t="shared" si="5"/>
        <v>0.57524957087345552</v>
      </c>
      <c r="J102" s="116">
        <f t="shared" si="6"/>
        <v>0.91426223684677788</v>
      </c>
      <c r="K102" s="115">
        <f t="shared" si="7"/>
        <v>0.52772296077759062</v>
      </c>
      <c r="L102" s="116">
        <f t="shared" si="8"/>
        <v>0.88722744732155512</v>
      </c>
      <c r="M102" s="62">
        <f>(1-K102)*Option_Portfolio!$E$4*EXP(-Option_Portfolio!$H$4*Option_Portfolio!$F$4)-(1-I102)*C102</f>
        <v>3.4553517244982501</v>
      </c>
      <c r="N102" s="116">
        <f>J102*D102-L102*Option_Portfolio!$E$5*EXP(-Option_Portfolio!$H$5*Option_Portfolio!$F$5)</f>
        <v>27.4812474915595</v>
      </c>
      <c r="O102" s="120">
        <f>M102 * -Option_Portfolio!$B$4 * 1000 + N102 * Option_Portfolio!$B$5 * 1000</f>
        <v>30775032.911631253</v>
      </c>
      <c r="P102" s="123">
        <f t="shared" si="9"/>
        <v>4.0235116190911802E-2</v>
      </c>
    </row>
    <row r="103" spans="2:16">
      <c r="B103" s="57" t="s">
        <v>133</v>
      </c>
      <c r="C103" s="62">
        <f>$C$17*(1+Underlying_Assets!H94)</f>
        <v>85.995422917331624</v>
      </c>
      <c r="D103" s="8">
        <f>$D$17*(1+Underlying_Assets!I94)</f>
        <v>145.65680473372782</v>
      </c>
      <c r="E103" s="62">
        <f>(LN(C103/Option_Portfolio!$E$4)+(Option_Portfolio!$H$4+0.5*Option_Portfolio!$G$4^2)*Option_Portfolio!$F$4)/(Option_Portfolio!$G$4*SQRT(Option_Portfolio!$F$4))</f>
        <v>0.19855405726709882</v>
      </c>
      <c r="F103" s="63">
        <f>(LN(D103/Option_Portfolio!$E$5)+(Option_Portfolio!$H$5+0.5*Option_Portfolio!$G$5^2)*Option_Portfolio!$F$5)/(Option_Portfolio!$G$5*SQRT(Option_Portfolio!$F$5))</f>
        <v>1.3554687978148088</v>
      </c>
      <c r="G103" s="62">
        <f>E103-Option_Portfolio!$G$4*SQRT(Option_Portfolio!$F$4)</f>
        <v>7.8345904465385724E-2</v>
      </c>
      <c r="H103" s="63">
        <f>F103-Option_Portfolio!$G$5*SQRT(Option_Portfolio!$F$5)</f>
        <v>1.1999053059537683</v>
      </c>
      <c r="I103" s="115">
        <f t="shared" si="5"/>
        <v>0.57869420252941695</v>
      </c>
      <c r="J103" s="116">
        <f t="shared" si="6"/>
        <v>0.91236587838270777</v>
      </c>
      <c r="K103" s="115">
        <f t="shared" si="7"/>
        <v>0.53122354841483821</v>
      </c>
      <c r="L103" s="116">
        <f t="shared" si="8"/>
        <v>0.88491194047025612</v>
      </c>
      <c r="M103" s="62">
        <f>(1-K103)*Option_Portfolio!$E$4*EXP(-Option_Portfolio!$H$4*Option_Portfolio!$F$4)-(1-I103)*C103</f>
        <v>3.4168954077000677</v>
      </c>
      <c r="N103" s="116">
        <f>J103*D103-L103*Option_Portfolio!$E$5*EXP(-Option_Portfolio!$H$5*Option_Portfolio!$F$5)</f>
        <v>27.232487742764107</v>
      </c>
      <c r="O103" s="120">
        <f>M103 * -Option_Portfolio!$B$4 * 1000 + N103 * Option_Portfolio!$B$5 * 1000</f>
        <v>30546707.631627742</v>
      </c>
      <c r="P103" s="123">
        <f t="shared" si="9"/>
        <v>-7.4191725695024191E-3</v>
      </c>
    </row>
    <row r="104" spans="2:16">
      <c r="B104" s="57" t="s">
        <v>134</v>
      </c>
      <c r="C104" s="62">
        <f>$C$17*(1+Underlying_Assets!H95)</f>
        <v>86.840513418903143</v>
      </c>
      <c r="D104" s="8">
        <f>$D$17*(1+Underlying_Assets!I95)</f>
        <v>146.5035294117647</v>
      </c>
      <c r="E104" s="62">
        <f>(LN(C104/Option_Portfolio!$E$4)+(Option_Portfolio!$H$4+0.5*Option_Portfolio!$G$4^2)*Option_Portfolio!$F$4)/(Option_Portfolio!$G$4*SQRT(Option_Portfolio!$F$4))</f>
        <v>0.27990614578020062</v>
      </c>
      <c r="F104" s="63">
        <f>(LN(D104/Option_Portfolio!$E$5)+(Option_Portfolio!$H$5+0.5*Option_Portfolio!$G$5^2)*Option_Portfolio!$F$5)/(Option_Portfolio!$G$5*SQRT(Option_Portfolio!$F$5))</f>
        <v>1.3927289387814346</v>
      </c>
      <c r="G104" s="62">
        <f>E104-Option_Portfolio!$G$4*SQRT(Option_Portfolio!$F$4)</f>
        <v>0.15969799297848752</v>
      </c>
      <c r="H104" s="63">
        <f>F104-Option_Portfolio!$G$5*SQRT(Option_Portfolio!$F$5)</f>
        <v>1.2371654469203941</v>
      </c>
      <c r="I104" s="115">
        <f t="shared" si="5"/>
        <v>0.61022524401352007</v>
      </c>
      <c r="J104" s="116">
        <f t="shared" si="6"/>
        <v>0.91814911292507906</v>
      </c>
      <c r="K104" s="115">
        <f t="shared" si="7"/>
        <v>0.56344050900852627</v>
      </c>
      <c r="L104" s="116">
        <f t="shared" si="8"/>
        <v>0.8919871667430006</v>
      </c>
      <c r="M104" s="62">
        <f>(1-K104)*Option_Portfolio!$E$4*EXP(-Option_Portfolio!$H$4*Option_Portfolio!$F$4)-(1-I104)*C104</f>
        <v>3.0742420953607379</v>
      </c>
      <c r="N104" s="116">
        <f>J104*D104-L104*Option_Portfolio!$E$5*EXP(-Option_Portfolio!$H$5*Option_Portfolio!$F$5)</f>
        <v>28.007482107123835</v>
      </c>
      <c r="O104" s="120">
        <f>M104 * -Option_Portfolio!$B$4 * 1000 + N104 * Option_Portfolio!$B$5 * 1000</f>
        <v>34495269.546722502</v>
      </c>
      <c r="P104" s="123">
        <f t="shared" si="9"/>
        <v>0.12926309318541618</v>
      </c>
    </row>
    <row r="105" spans="2:16">
      <c r="B105" s="57" t="s">
        <v>135</v>
      </c>
      <c r="C105" s="62">
        <f>$C$17*(1+Underlying_Assets!H96)</f>
        <v>85.380804356933382</v>
      </c>
      <c r="D105" s="8">
        <f>$D$17*(1+Underlying_Assets!I96)</f>
        <v>146.54847942754921</v>
      </c>
      <c r="E105" s="62">
        <f>(LN(C105/Option_Portfolio!$E$4)+(Option_Portfolio!$H$4+0.5*Option_Portfolio!$G$4^2)*Option_Portfolio!$F$4)/(Option_Portfolio!$G$4*SQRT(Option_Portfolio!$F$4))</f>
        <v>0.13888447090953446</v>
      </c>
      <c r="F105" s="63">
        <f>(LN(D105/Option_Portfolio!$E$5)+(Option_Portfolio!$H$5+0.5*Option_Portfolio!$G$5^2)*Option_Portfolio!$F$5)/(Option_Portfolio!$G$5*SQRT(Option_Portfolio!$F$5))</f>
        <v>1.3947009412846345</v>
      </c>
      <c r="G105" s="62">
        <f>E105-Option_Portfolio!$G$4*SQRT(Option_Portfolio!$F$4)</f>
        <v>1.867631810782136E-2</v>
      </c>
      <c r="H105" s="63">
        <f>F105-Option_Portfolio!$G$5*SQRT(Option_Portfolio!$F$5)</f>
        <v>1.2391374494235941</v>
      </c>
      <c r="I105" s="115">
        <f t="shared" si="5"/>
        <v>0.55522927877407591</v>
      </c>
      <c r="J105" s="116">
        <f t="shared" si="6"/>
        <v>0.91844697953155063</v>
      </c>
      <c r="K105" s="115">
        <f t="shared" si="7"/>
        <v>0.50745033981379895</v>
      </c>
      <c r="L105" s="116">
        <f t="shared" si="8"/>
        <v>0.89235269984936993</v>
      </c>
      <c r="M105" s="62">
        <f>(1-K105)*Option_Portfolio!$E$4*EXP(-Option_Portfolio!$H$4*Option_Portfolio!$F$4)-(1-I105)*C105</f>
        <v>3.6830280404449525</v>
      </c>
      <c r="N105" s="116">
        <f>J105*D105-L105*Option_Portfolio!$E$5*EXP(-Option_Portfolio!$H$5*Option_Portfolio!$F$5)</f>
        <v>28.048759622205552</v>
      </c>
      <c r="O105" s="120">
        <f>M105 * -Option_Portfolio!$B$4 * 1000 + N105 * Option_Portfolio!$B$5 * 1000</f>
        <v>30316322.961296435</v>
      </c>
      <c r="P105" s="123">
        <f t="shared" si="9"/>
        <v>-0.12114549734901603</v>
      </c>
    </row>
    <row r="106" spans="2:16">
      <c r="B106" s="57" t="s">
        <v>136</v>
      </c>
      <c r="C106" s="62">
        <f>$C$17*(1+Underlying_Assets!H97)</f>
        <v>85.875265039966337</v>
      </c>
      <c r="D106" s="8">
        <f>$D$17*(1+Underlying_Assets!I97)</f>
        <v>145.5678303137428</v>
      </c>
      <c r="E106" s="62">
        <f>(LN(C106/Option_Portfolio!$E$4)+(Option_Portfolio!$H$4+0.5*Option_Portfolio!$G$4^2)*Option_Portfolio!$F$4)/(Option_Portfolio!$G$4*SQRT(Option_Portfolio!$F$4))</f>
        <v>0.18692226666639003</v>
      </c>
      <c r="F106" s="63">
        <f>(LN(D106/Option_Portfolio!$E$5)+(Option_Portfolio!$H$5+0.5*Option_Portfolio!$G$5^2)*Option_Portfolio!$F$5)/(Option_Portfolio!$G$5*SQRT(Option_Portfolio!$F$5))</f>
        <v>1.3515409072257958</v>
      </c>
      <c r="G106" s="62">
        <f>E106-Option_Portfolio!$G$4*SQRT(Option_Portfolio!$F$4)</f>
        <v>6.6714113864676933E-2</v>
      </c>
      <c r="H106" s="63">
        <f>F106-Option_Portfolio!$G$5*SQRT(Option_Portfolio!$F$5)</f>
        <v>1.1959774153647553</v>
      </c>
      <c r="I106" s="115">
        <f t="shared" si="5"/>
        <v>0.57413920969368526</v>
      </c>
      <c r="J106" s="116">
        <f t="shared" si="6"/>
        <v>0.91173888742206277</v>
      </c>
      <c r="K106" s="115">
        <f t="shared" si="7"/>
        <v>0.5265953509468001</v>
      </c>
      <c r="L106" s="116">
        <f t="shared" si="8"/>
        <v>0.88414731371766653</v>
      </c>
      <c r="M106" s="62">
        <f>(1-K106)*Option_Portfolio!$E$4*EXP(-Option_Portfolio!$H$4*Option_Portfolio!$F$4)-(1-I106)*C106</f>
        <v>3.4677921111558163</v>
      </c>
      <c r="N106" s="116">
        <f>J106*D106-L106*Option_Portfolio!$E$5*EXP(-Option_Portfolio!$H$5*Option_Portfolio!$F$5)</f>
        <v>27.151338383443587</v>
      </c>
      <c r="O106" s="120">
        <f>M106 * -Option_Portfolio!$B$4 * 1000 + N106 * Option_Portfolio!$B$5 * 1000</f>
        <v>30028131.988796461</v>
      </c>
      <c r="P106" s="123">
        <f t="shared" si="9"/>
        <v>-9.5061321542159183E-3</v>
      </c>
    </row>
    <row r="107" spans="2:16">
      <c r="B107" s="57" t="s">
        <v>137</v>
      </c>
      <c r="C107" s="62">
        <f>$C$17*(1+Underlying_Assets!H98)</f>
        <v>85.25381287409428</v>
      </c>
      <c r="D107" s="8">
        <f>$D$17*(1+Underlying_Assets!I98)</f>
        <v>145.88202197802198</v>
      </c>
      <c r="E107" s="62">
        <f>(LN(C107/Option_Portfolio!$E$4)+(Option_Portfolio!$H$4+0.5*Option_Portfolio!$G$4^2)*Option_Portfolio!$F$4)/(Option_Portfolio!$G$4*SQRT(Option_Portfolio!$F$4))</f>
        <v>0.12650210584345359</v>
      </c>
      <c r="F107" s="63">
        <f>(LN(D107/Option_Portfolio!$E$5)+(Option_Portfolio!$H$5+0.5*Option_Portfolio!$G$5^2)*Option_Portfolio!$F$5)/(Option_Portfolio!$G$5*SQRT(Option_Portfolio!$F$5))</f>
        <v>1.3654005903189985</v>
      </c>
      <c r="G107" s="62">
        <f>E107-Option_Portfolio!$G$4*SQRT(Option_Portfolio!$F$4)</f>
        <v>6.293953041740491E-3</v>
      </c>
      <c r="H107" s="63">
        <f>F107-Option_Portfolio!$G$5*SQRT(Option_Portfolio!$F$5)</f>
        <v>1.2098370984579581</v>
      </c>
      <c r="I107" s="115">
        <f t="shared" si="5"/>
        <v>0.55033275889157984</v>
      </c>
      <c r="J107" s="116">
        <f t="shared" si="6"/>
        <v>0.91393641076812759</v>
      </c>
      <c r="K107" s="115">
        <f t="shared" si="7"/>
        <v>0.50251090740141779</v>
      </c>
      <c r="L107" s="116">
        <f t="shared" si="8"/>
        <v>0.88682929616061679</v>
      </c>
      <c r="M107" s="62">
        <f>(1-K107)*Option_Portfolio!$E$4*EXP(-Option_Portfolio!$H$4*Option_Portfolio!$F$4)-(1-I107)*C107</f>
        <v>3.7398208797483363</v>
      </c>
      <c r="N107" s="116">
        <f>J107*D107-L107*Option_Portfolio!$E$5*EXP(-Option_Portfolio!$H$5*Option_Portfolio!$F$5)</f>
        <v>27.438145570973305</v>
      </c>
      <c r="O107" s="120">
        <f>M107 * -Option_Portfolio!$B$4 * 1000 + N107 * Option_Portfolio!$B$5 * 1000</f>
        <v>28697544.983708259</v>
      </c>
      <c r="P107" s="123">
        <f t="shared" si="9"/>
        <v>-4.4311347958129632E-2</v>
      </c>
    </row>
    <row r="108" spans="2:16">
      <c r="B108" s="57" t="s">
        <v>138</v>
      </c>
      <c r="C108" s="62">
        <f>$C$17*(1+Underlying_Assets!H99)</f>
        <v>84.943176681803777</v>
      </c>
      <c r="D108" s="8">
        <f>$D$17*(1+Underlying_Assets!I99)</f>
        <v>146.56893542757419</v>
      </c>
      <c r="E108" s="62">
        <f>(LN(C108/Option_Portfolio!$E$4)+(Option_Portfolio!$H$4+0.5*Option_Portfolio!$G$4^2)*Option_Portfolio!$F$4)/(Option_Portfolio!$G$4*SQRT(Option_Portfolio!$F$4))</f>
        <v>9.6135466294269348E-2</v>
      </c>
      <c r="F108" s="63">
        <f>(LN(D108/Option_Portfolio!$E$5)+(Option_Portfolio!$H$5+0.5*Option_Portfolio!$G$5^2)*Option_Portfolio!$F$5)/(Option_Portfolio!$G$5*SQRT(Option_Portfolio!$F$5))</f>
        <v>1.3955981663694408</v>
      </c>
      <c r="G108" s="62">
        <f>E108-Option_Portfolio!$G$4*SQRT(Option_Portfolio!$F$4)</f>
        <v>-2.407268650744375E-2</v>
      </c>
      <c r="H108" s="63">
        <f>F108-Option_Portfolio!$G$5*SQRT(Option_Portfolio!$F$5)</f>
        <v>1.2400346745084003</v>
      </c>
      <c r="I108" s="115">
        <f t="shared" si="5"/>
        <v>0.53829350814222698</v>
      </c>
      <c r="J108" s="116">
        <f t="shared" si="6"/>
        <v>0.91858223253457871</v>
      </c>
      <c r="K108" s="115">
        <f t="shared" si="7"/>
        <v>0.49039731500838774</v>
      </c>
      <c r="L108" s="116">
        <f t="shared" si="8"/>
        <v>0.89251871539685657</v>
      </c>
      <c r="M108" s="62">
        <f>(1-K108)*Option_Portfolio!$E$4*EXP(-Option_Portfolio!$H$4*Option_Portfolio!$F$4)-(1-I108)*C108</f>
        <v>3.8813715217132767</v>
      </c>
      <c r="N108" s="116">
        <f>J108*D108-L108*Option_Portfolio!$E$5*EXP(-Option_Portfolio!$H$5*Option_Portfolio!$F$5)</f>
        <v>28.0675487573303</v>
      </c>
      <c r="O108" s="120">
        <f>M108 * -Option_Portfolio!$B$4 * 1000 + N108 * Option_Portfolio!$B$5 * 1000</f>
        <v>28965496.862667661</v>
      </c>
      <c r="P108" s="123">
        <f t="shared" si="9"/>
        <v>9.3371011043459351E-3</v>
      </c>
    </row>
    <row r="109" spans="2:16">
      <c r="B109" s="57" t="s">
        <v>139</v>
      </c>
      <c r="C109" s="62">
        <f>$C$17*(1+Underlying_Assets!H100)</f>
        <v>86.416341541413473</v>
      </c>
      <c r="D109" s="8">
        <f>$D$17*(1+Underlying_Assets!I100)</f>
        <v>144.9248275862069</v>
      </c>
      <c r="E109" s="62">
        <f>(LN(C109/Option_Portfolio!$E$4)+(Option_Portfolio!$H$4+0.5*Option_Portfolio!$G$4^2)*Option_Portfolio!$F$4)/(Option_Portfolio!$G$4*SQRT(Option_Portfolio!$F$4))</f>
        <v>0.23917295937111668</v>
      </c>
      <c r="F109" s="63">
        <f>(LN(D109/Option_Portfolio!$E$5)+(Option_Portfolio!$H$5+0.5*Option_Portfolio!$G$5^2)*Option_Portfolio!$F$5)/(Option_Portfolio!$G$5*SQRT(Option_Portfolio!$F$5))</f>
        <v>1.3230831495535353</v>
      </c>
      <c r="G109" s="62">
        <f>E109-Option_Portfolio!$G$4*SQRT(Option_Portfolio!$F$4)</f>
        <v>0.11896480656940359</v>
      </c>
      <c r="H109" s="63">
        <f>F109-Option_Portfolio!$G$5*SQRT(Option_Portfolio!$F$5)</f>
        <v>1.1675196576924949</v>
      </c>
      <c r="I109" s="115">
        <f t="shared" si="5"/>
        <v>0.59451426522770778</v>
      </c>
      <c r="J109" s="116">
        <f t="shared" si="6"/>
        <v>0.90709613614314022</v>
      </c>
      <c r="K109" s="115">
        <f t="shared" si="7"/>
        <v>0.54734838099255145</v>
      </c>
      <c r="L109" s="116">
        <f t="shared" si="8"/>
        <v>0.87849971276494732</v>
      </c>
      <c r="M109" s="62">
        <f>(1-K109)*Option_Portfolio!$E$4*EXP(-Option_Portfolio!$H$4*Option_Portfolio!$F$4)-(1-I109)*C109</f>
        <v>3.2428970730771383</v>
      </c>
      <c r="N109" s="116">
        <f>J109*D109-L109*Option_Portfolio!$E$5*EXP(-Option_Portfolio!$H$5*Option_Portfolio!$F$5)</f>
        <v>26.566569874461919</v>
      </c>
      <c r="O109" s="120">
        <f>M109 * -Option_Portfolio!$B$4 * 1000 + N109 * Option_Portfolio!$B$5 * 1000</f>
        <v>30432860.237383872</v>
      </c>
      <c r="P109" s="123">
        <f t="shared" si="9"/>
        <v>5.065900929210132E-2</v>
      </c>
    </row>
    <row r="110" spans="2:16">
      <c r="B110" s="57" t="s">
        <v>140</v>
      </c>
      <c r="C110" s="62">
        <f>$C$17*(1+Underlying_Assets!H101)</f>
        <v>86.111796932839752</v>
      </c>
      <c r="D110" s="8">
        <f>$D$17*(1+Underlying_Assets!I101)</f>
        <v>145.29888027562447</v>
      </c>
      <c r="E110" s="62">
        <f>(LN(C110/Option_Portfolio!$E$4)+(Option_Portfolio!$H$4+0.5*Option_Portfolio!$G$4^2)*Option_Portfolio!$F$4)/(Option_Portfolio!$G$4*SQRT(Option_Portfolio!$F$4))</f>
        <v>0.20980407142651822</v>
      </c>
      <c r="F110" s="63">
        <f>(LN(D110/Option_Portfolio!$E$5)+(Option_Portfolio!$H$5+0.5*Option_Portfolio!$G$5^2)*Option_Portfolio!$F$5)/(Option_Portfolio!$G$5*SQRT(Option_Portfolio!$F$5))</f>
        <v>1.3396531472669506</v>
      </c>
      <c r="G110" s="62">
        <f>E110-Option_Portfolio!$G$4*SQRT(Option_Portfolio!$F$4)</f>
        <v>8.9595918624805121E-2</v>
      </c>
      <c r="H110" s="63">
        <f>F110-Option_Portfolio!$G$5*SQRT(Option_Portfolio!$F$5)</f>
        <v>1.1840896554059102</v>
      </c>
      <c r="I110" s="115">
        <f t="shared" si="5"/>
        <v>0.58308970237556101</v>
      </c>
      <c r="J110" s="116">
        <f t="shared" si="6"/>
        <v>0.9098209317666297</v>
      </c>
      <c r="K110" s="115">
        <f t="shared" si="7"/>
        <v>0.53569583608530369</v>
      </c>
      <c r="L110" s="116">
        <f t="shared" si="8"/>
        <v>0.88181121270546703</v>
      </c>
      <c r="M110" s="62">
        <f>(1-K110)*Option_Portfolio!$E$4*EXP(-Option_Portfolio!$H$4*Option_Portfolio!$F$4)-(1-I110)*C110</f>
        <v>3.3681222768355639</v>
      </c>
      <c r="N110" s="116">
        <f>J110*D110-L110*Option_Portfolio!$E$5*EXP(-Option_Portfolio!$H$5*Option_Portfolio!$F$5)</f>
        <v>26.906383324939938</v>
      </c>
      <c r="O110" s="120">
        <f>M110 * -Option_Portfolio!$B$4 * 1000 + N110 * Option_Portfolio!$B$5 * 1000</f>
        <v>30235910.712030932</v>
      </c>
      <c r="P110" s="123">
        <f t="shared" si="9"/>
        <v>-6.4716074603794471E-3</v>
      </c>
    </row>
    <row r="111" spans="2:16">
      <c r="B111" s="57" t="s">
        <v>141</v>
      </c>
      <c r="C111" s="62">
        <f>$C$17*(1+Underlying_Assets!H102)</f>
        <v>85.198256107834879</v>
      </c>
      <c r="D111" s="8">
        <f>$D$17*(1+Underlying_Assets!I102)</f>
        <v>143.68137339055795</v>
      </c>
      <c r="E111" s="62">
        <f>(LN(C111/Option_Portfolio!$E$4)+(Option_Portfolio!$H$4+0.5*Option_Portfolio!$G$4^2)*Option_Portfolio!$F$4)/(Option_Portfolio!$G$4*SQRT(Option_Portfolio!$F$4))</f>
        <v>0.12107921616252354</v>
      </c>
      <c r="F111" s="63">
        <f>(LN(D111/Option_Portfolio!$E$5)+(Option_Portfolio!$H$5+0.5*Option_Portfolio!$G$5^2)*Option_Portfolio!$F$5)/(Option_Portfolio!$G$5*SQRT(Option_Portfolio!$F$5))</f>
        <v>1.2676908832713119</v>
      </c>
      <c r="G111" s="62">
        <f>E111-Option_Portfolio!$G$4*SQRT(Option_Portfolio!$F$4)</f>
        <v>8.7106336081044233E-4</v>
      </c>
      <c r="H111" s="63">
        <f>F111-Option_Portfolio!$G$5*SQRT(Option_Portfolio!$F$5)</f>
        <v>1.1121273914102714</v>
      </c>
      <c r="I111" s="115">
        <f t="shared" si="5"/>
        <v>0.54818585442597711</v>
      </c>
      <c r="J111" s="116">
        <f t="shared" si="6"/>
        <v>0.89754581911749609</v>
      </c>
      <c r="K111" s="115">
        <f t="shared" si="7"/>
        <v>0.50034750395959104</v>
      </c>
      <c r="L111" s="116">
        <f t="shared" si="8"/>
        <v>0.86695830948927088</v>
      </c>
      <c r="M111" s="62">
        <f>(1-K111)*Option_Portfolio!$E$4*EXP(-Option_Portfolio!$H$4*Option_Portfolio!$F$4)-(1-I111)*C111</f>
        <v>3.764862561940042</v>
      </c>
      <c r="N111" s="116">
        <f>J111*D111-L111*Option_Portfolio!$E$5*EXP(-Option_Portfolio!$H$5*Option_Portfolio!$F$5)</f>
        <v>25.444495545961203</v>
      </c>
      <c r="O111" s="120">
        <f>M111 * -Option_Portfolio!$B$4 * 1000 + N111 * Option_Portfolio!$B$5 * 1000</f>
        <v>24534953.158342108</v>
      </c>
      <c r="P111" s="123">
        <f t="shared" si="9"/>
        <v>-0.18854922571987887</v>
      </c>
    </row>
    <row r="112" spans="2:16">
      <c r="B112" s="57" t="s">
        <v>142</v>
      </c>
      <c r="C112" s="62">
        <f>$C$17*(1+Underlying_Assets!H103)</f>
        <v>86.094372615515042</v>
      </c>
      <c r="D112" s="8">
        <f>$D$17*(1+Underlying_Assets!I103)</f>
        <v>144.54948096885815</v>
      </c>
      <c r="E112" s="62">
        <f>(LN(C112/Option_Portfolio!$E$4)+(Option_Portfolio!$H$4+0.5*Option_Portfolio!$G$4^2)*Option_Portfolio!$F$4)/(Option_Portfolio!$G$4*SQRT(Option_Portfolio!$F$4))</f>
        <v>0.20812061012070968</v>
      </c>
      <c r="F112" s="63">
        <f>(LN(D112/Option_Portfolio!$E$5)+(Option_Portfolio!$H$5+0.5*Option_Portfolio!$G$5^2)*Option_Portfolio!$F$5)/(Option_Portfolio!$G$5*SQRT(Option_Portfolio!$F$5))</f>
        <v>1.3064127873063607</v>
      </c>
      <c r="G112" s="62">
        <f>E112-Option_Portfolio!$G$4*SQRT(Option_Portfolio!$F$4)</f>
        <v>8.7912457318996579E-2</v>
      </c>
      <c r="H112" s="63">
        <f>F112-Option_Portfolio!$G$5*SQRT(Option_Portfolio!$F$5)</f>
        <v>1.1508492954453202</v>
      </c>
      <c r="I112" s="115">
        <f t="shared" si="5"/>
        <v>0.58243260253063911</v>
      </c>
      <c r="J112" s="116">
        <f t="shared" si="6"/>
        <v>0.90429389019630313</v>
      </c>
      <c r="K112" s="115">
        <f t="shared" si="7"/>
        <v>0.53502687228355628</v>
      </c>
      <c r="L112" s="116">
        <f t="shared" si="8"/>
        <v>0.87510287969281075</v>
      </c>
      <c r="M112" s="62">
        <f>(1-K112)*Option_Portfolio!$E$4*EXP(-Option_Portfolio!$H$4*Option_Portfolio!$F$4)-(1-I112)*C112</f>
        <v>3.3753923783866924</v>
      </c>
      <c r="N112" s="116">
        <f>J112*D112-L112*Option_Portfolio!$E$5*EXP(-Option_Portfolio!$H$5*Option_Portfolio!$F$5)</f>
        <v>26.226618166569324</v>
      </c>
      <c r="O112" s="120">
        <f>M112 * -Option_Portfolio!$B$4 * 1000 + N112 * Option_Portfolio!$B$5 * 1000</f>
        <v>28825489.684431799</v>
      </c>
      <c r="P112" s="123">
        <f t="shared" si="9"/>
        <v>0.17487445353572517</v>
      </c>
    </row>
    <row r="113" spans="2:16">
      <c r="B113" s="57" t="s">
        <v>143</v>
      </c>
      <c r="C113" s="62">
        <f>$C$17*(1+Underlying_Assets!H104)</f>
        <v>86.400582585751977</v>
      </c>
      <c r="D113" s="8">
        <f>$D$17*(1+Underlying_Assets!I104)</f>
        <v>145.6783362218371</v>
      </c>
      <c r="E113" s="62">
        <f>(LN(C113/Option_Portfolio!$E$4)+(Option_Portfolio!$H$4+0.5*Option_Portfolio!$G$4^2)*Option_Portfolio!$F$4)/(Option_Portfolio!$G$4*SQRT(Option_Portfolio!$F$4))</f>
        <v>0.23765577892817435</v>
      </c>
      <c r="F113" s="63">
        <f>(LN(D113/Option_Portfolio!$E$5)+(Option_Portfolio!$H$5+0.5*Option_Portfolio!$G$5^2)*Option_Portfolio!$F$5)/(Option_Portfolio!$G$5*SQRT(Option_Portfolio!$F$5))</f>
        <v>1.3564189725691171</v>
      </c>
      <c r="G113" s="62">
        <f>E113-Option_Portfolio!$G$4*SQRT(Option_Portfolio!$F$4)</f>
        <v>0.11744762612646126</v>
      </c>
      <c r="H113" s="63">
        <f>F113-Option_Portfolio!$G$5*SQRT(Option_Portfolio!$F$5)</f>
        <v>1.2008554807080767</v>
      </c>
      <c r="I113" s="115">
        <f t="shared" si="5"/>
        <v>0.59392595783375435</v>
      </c>
      <c r="J113" s="116">
        <f t="shared" si="6"/>
        <v>0.91251704996647387</v>
      </c>
      <c r="K113" s="115">
        <f t="shared" si="7"/>
        <v>0.54674732749972865</v>
      </c>
      <c r="L113" s="116">
        <f t="shared" si="8"/>
        <v>0.88509636694231386</v>
      </c>
      <c r="M113" s="62">
        <f>(1-K113)*Option_Portfolio!$E$4*EXP(-Option_Portfolio!$H$4*Option_Portfolio!$F$4)-(1-I113)*C113</f>
        <v>3.249291739927493</v>
      </c>
      <c r="N113" s="116">
        <f>J113*D113-L113*Option_Portfolio!$E$5*EXP(-Option_Portfolio!$H$5*Option_Portfolio!$F$5)</f>
        <v>27.252133965689964</v>
      </c>
      <c r="O113" s="120">
        <f>M113 * -Option_Portfolio!$B$4 * 1000 + N113 * Option_Portfolio!$B$5 * 1000</f>
        <v>31759225.751887478</v>
      </c>
      <c r="P113" s="123">
        <f t="shared" si="9"/>
        <v>0.10177575817697715</v>
      </c>
    </row>
    <row r="114" spans="2:16">
      <c r="B114" s="57" t="s">
        <v>144</v>
      </c>
      <c r="C114" s="62">
        <f>$C$17*(1+Underlying_Assets!H105)</f>
        <v>86.206954335986595</v>
      </c>
      <c r="D114" s="8">
        <f>$D$17*(1+Underlying_Assets!I105)</f>
        <v>145.61068044788979</v>
      </c>
      <c r="E114" s="62">
        <f>(LN(C114/Option_Portfolio!$E$4)+(Option_Portfolio!$H$4+0.5*Option_Portfolio!$G$4^2)*Option_Portfolio!$F$4)/(Option_Portfolio!$G$4*SQRT(Option_Portfolio!$F$4))</f>
        <v>0.21899175773996546</v>
      </c>
      <c r="F114" s="63">
        <f>(LN(D114/Option_Portfolio!$E$5)+(Option_Portfolio!$H$5+0.5*Option_Portfolio!$G$5^2)*Option_Portfolio!$F$5)/(Option_Portfolio!$G$5*SQRT(Option_Portfolio!$F$5))</f>
        <v>1.3534328813009902</v>
      </c>
      <c r="G114" s="62">
        <f>E114-Option_Portfolio!$G$4*SQRT(Option_Portfolio!$F$4)</f>
        <v>9.8783604938252362E-2</v>
      </c>
      <c r="H114" s="63">
        <f>F114-Option_Portfolio!$G$5*SQRT(Option_Portfolio!$F$5)</f>
        <v>1.1978693894399497</v>
      </c>
      <c r="I114" s="115">
        <f t="shared" si="5"/>
        <v>0.58667176584222402</v>
      </c>
      <c r="J114" s="116">
        <f t="shared" si="6"/>
        <v>0.91204131058490867</v>
      </c>
      <c r="K114" s="115">
        <f t="shared" si="7"/>
        <v>0.53934495690953654</v>
      </c>
      <c r="L114" s="116">
        <f t="shared" si="8"/>
        <v>0.8845160658767951</v>
      </c>
      <c r="M114" s="62">
        <f>(1-K114)*Option_Portfolio!$E$4*EXP(-Option_Portfolio!$H$4*Option_Portfolio!$F$4)-(1-I114)*C114</f>
        <v>3.3286206928212252</v>
      </c>
      <c r="N114" s="116">
        <f>J114*D114-L114*Option_Portfolio!$E$5*EXP(-Option_Portfolio!$H$5*Option_Portfolio!$F$5)</f>
        <v>27.1904129995944</v>
      </c>
      <c r="O114" s="120">
        <f>M114 * -Option_Portfolio!$B$4 * 1000 + N114 * Option_Portfolio!$B$5 * 1000</f>
        <v>31080481.149440225</v>
      </c>
      <c r="P114" s="123">
        <f t="shared" si="9"/>
        <v>-2.1371572712439724E-2</v>
      </c>
    </row>
    <row r="115" spans="2:16">
      <c r="B115" s="57" t="s">
        <v>145</v>
      </c>
      <c r="C115" s="62">
        <f>$C$17*(1+Underlying_Assets!H106)</f>
        <v>85.516718749999995</v>
      </c>
      <c r="D115" s="8">
        <f>$D$17*(1+Underlying_Assets!I106)</f>
        <v>143.80779443254821</v>
      </c>
      <c r="E115" s="62">
        <f>(LN(C115/Option_Portfolio!$E$4)+(Option_Portfolio!$H$4+0.5*Option_Portfolio!$G$4^2)*Option_Portfolio!$F$4)/(Option_Portfolio!$G$4*SQRT(Option_Portfolio!$F$4))</f>
        <v>0.1521164816715585</v>
      </c>
      <c r="F115" s="63">
        <f>(LN(D115/Option_Portfolio!$E$5)+(Option_Portfolio!$H$5+0.5*Option_Portfolio!$G$5^2)*Option_Portfolio!$F$5)/(Option_Portfolio!$G$5*SQRT(Option_Portfolio!$F$5))</f>
        <v>1.2733444200329953</v>
      </c>
      <c r="G115" s="62">
        <f>E115-Option_Portfolio!$G$4*SQRT(Option_Portfolio!$F$4)</f>
        <v>3.1908328869845404E-2</v>
      </c>
      <c r="H115" s="63">
        <f>F115-Option_Portfolio!$G$5*SQRT(Option_Portfolio!$F$5)</f>
        <v>1.1177809281719548</v>
      </c>
      <c r="I115" s="115">
        <f t="shared" si="5"/>
        <v>0.56045246750465805</v>
      </c>
      <c r="J115" s="116">
        <f t="shared" si="6"/>
        <v>0.89855207466023024</v>
      </c>
      <c r="K115" s="115">
        <f t="shared" si="7"/>
        <v>0.51272742172722507</v>
      </c>
      <c r="L115" s="116">
        <f t="shared" si="8"/>
        <v>0.868169715559165</v>
      </c>
      <c r="M115" s="62">
        <f>(1-K115)*Option_Portfolio!$E$4*EXP(-Option_Portfolio!$H$4*Option_Portfolio!$F$4)-(1-I115)*C115</f>
        <v>3.6229324590727146</v>
      </c>
      <c r="N115" s="116">
        <f>J115*D115-L115*Option_Portfolio!$E$5*EXP(-Option_Portfolio!$H$5*Option_Portfolio!$F$5)</f>
        <v>25.558027915054438</v>
      </c>
      <c r="O115" s="120">
        <f>M115 * -Option_Portfolio!$B$4 * 1000 + N115 * Option_Portfolio!$B$5 * 1000</f>
        <v>25755528.616599873</v>
      </c>
      <c r="P115" s="123">
        <f t="shared" si="9"/>
        <v>-0.17132786674817158</v>
      </c>
    </row>
    <row r="116" spans="2:16">
      <c r="B116" s="57" t="s">
        <v>146</v>
      </c>
      <c r="C116" s="62">
        <f>$C$17*(1+Underlying_Assets!H107)</f>
        <v>84.907225065274147</v>
      </c>
      <c r="D116" s="8">
        <f>$D$17*(1+Underlying_Assets!I107)</f>
        <v>144.05071151358345</v>
      </c>
      <c r="E116" s="62">
        <f>(LN(C116/Option_Portfolio!$E$4)+(Option_Portfolio!$H$4+0.5*Option_Portfolio!$G$4^2)*Option_Portfolio!$F$4)/(Option_Portfolio!$G$4*SQRT(Option_Portfolio!$F$4))</f>
        <v>9.2613802252626928E-2</v>
      </c>
      <c r="F116" s="63">
        <f>(LN(D116/Option_Portfolio!$E$5)+(Option_Portfolio!$H$5+0.5*Option_Portfolio!$G$5^2)*Option_Portfolio!$F$5)/(Option_Portfolio!$G$5*SQRT(Option_Portfolio!$F$5))</f>
        <v>1.2841937121483682</v>
      </c>
      <c r="G116" s="62">
        <f>E116-Option_Portfolio!$G$4*SQRT(Option_Portfolio!$F$4)</f>
        <v>-2.7594350549086169E-2</v>
      </c>
      <c r="H116" s="63">
        <f>F116-Option_Portfolio!$G$5*SQRT(Option_Portfolio!$F$5)</f>
        <v>1.1286302202873277</v>
      </c>
      <c r="I116" s="115">
        <f t="shared" si="5"/>
        <v>0.53689481086682223</v>
      </c>
      <c r="J116" s="116">
        <f t="shared" si="6"/>
        <v>0.900462907626839</v>
      </c>
      <c r="K116" s="115">
        <f t="shared" si="7"/>
        <v>0.48899284377999108</v>
      </c>
      <c r="L116" s="116">
        <f t="shared" si="8"/>
        <v>0.87047307159119802</v>
      </c>
      <c r="M116" s="62">
        <f>(1-K116)*Option_Portfolio!$E$4*EXP(-Option_Portfolio!$H$4*Option_Portfolio!$F$4)-(1-I116)*C116</f>
        <v>3.8979957560051588</v>
      </c>
      <c r="N116" s="116">
        <f>J116*D116-L116*Option_Portfolio!$E$5*EXP(-Option_Portfolio!$H$5*Option_Portfolio!$F$5)</f>
        <v>25.776534251105062</v>
      </c>
      <c r="O116" s="120">
        <f>M116 * -Option_Portfolio!$B$4 * 1000 + N116 * Option_Portfolio!$B$5 * 1000</f>
        <v>24267098.210174013</v>
      </c>
      <c r="P116" s="123">
        <f t="shared" si="9"/>
        <v>-5.7790714707619761E-2</v>
      </c>
    </row>
    <row r="117" spans="2:16">
      <c r="B117" s="57" t="s">
        <v>147</v>
      </c>
      <c r="C117" s="62">
        <f>$C$17*(1+Underlying_Assets!H108)</f>
        <v>85.21554102510018</v>
      </c>
      <c r="D117" s="8">
        <f>$D$17*(1+Underlying_Assets!I108)</f>
        <v>139.65322930212398</v>
      </c>
      <c r="E117" s="62">
        <f>(LN(C117/Option_Portfolio!$E$4)+(Option_Portfolio!$H$4+0.5*Option_Portfolio!$G$4^2)*Option_Portfolio!$F$4)/(Option_Portfolio!$G$4*SQRT(Option_Portfolio!$F$4))</f>
        <v>0.12276677384072113</v>
      </c>
      <c r="F117" s="63">
        <f>(LN(D117/Option_Portfolio!$E$5)+(Option_Portfolio!$H$5+0.5*Option_Portfolio!$G$5^2)*Option_Portfolio!$F$5)/(Option_Portfolio!$G$5*SQRT(Option_Portfolio!$F$5))</f>
        <v>1.0848989796842183</v>
      </c>
      <c r="G117" s="62">
        <f>E117-Option_Portfolio!$G$4*SQRT(Option_Portfolio!$F$4)</f>
        <v>2.55862103900803E-3</v>
      </c>
      <c r="H117" s="63">
        <f>F117-Option_Portfolio!$G$5*SQRT(Option_Portfolio!$F$5)</f>
        <v>0.92933548782317787</v>
      </c>
      <c r="I117" s="115">
        <f t="shared" si="5"/>
        <v>0.54885410709120397</v>
      </c>
      <c r="J117" s="116">
        <f t="shared" si="6"/>
        <v>0.86101680002524617</v>
      </c>
      <c r="K117" s="115">
        <f t="shared" si="7"/>
        <v>0.50102074099826432</v>
      </c>
      <c r="L117" s="116">
        <f t="shared" si="8"/>
        <v>0.82364237532408147</v>
      </c>
      <c r="M117" s="62">
        <f>(1-K117)*Option_Portfolio!$E$4*EXP(-Option_Portfolio!$H$4*Option_Portfolio!$F$4)-(1-I117)*C117</f>
        <v>3.7570587675538221</v>
      </c>
      <c r="N117" s="116">
        <f>J117*D117-L117*Option_Portfolio!$E$5*EXP(-Option_Portfolio!$H$5*Option_Portfolio!$F$5)</f>
        <v>21.899643586183032</v>
      </c>
      <c r="O117" s="120">
        <f>M117 * -Option_Portfolio!$B$4 * 1000 + N117 * Option_Portfolio!$B$5 * 1000</f>
        <v>17499875.799489312</v>
      </c>
      <c r="P117" s="123">
        <f t="shared" si="9"/>
        <v>-0.27886409623741226</v>
      </c>
    </row>
    <row r="118" spans="2:16">
      <c r="B118" s="57" t="s">
        <v>148</v>
      </c>
      <c r="C118" s="62">
        <f>$C$17*(1+Underlying_Assets!H109)</f>
        <v>86.231294567062818</v>
      </c>
      <c r="D118" s="8">
        <f>$D$17*(1+Underlying_Assets!I109)</f>
        <v>143.75874157303372</v>
      </c>
      <c r="E118" s="62">
        <f>(LN(C118/Option_Portfolio!$E$4)+(Option_Portfolio!$H$4+0.5*Option_Portfolio!$G$4^2)*Option_Portfolio!$F$4)/(Option_Portfolio!$G$4*SQRT(Option_Portfolio!$F$4))</f>
        <v>0.2213402393726922</v>
      </c>
      <c r="F118" s="63">
        <f>(LN(D118/Option_Portfolio!$E$5)+(Option_Portfolio!$H$5+0.5*Option_Portfolio!$G$5^2)*Option_Portfolio!$F$5)/(Option_Portfolio!$G$5*SQRT(Option_Portfolio!$F$5))</f>
        <v>1.2711513712098028</v>
      </c>
      <c r="G118" s="62">
        <f>E118-Option_Portfolio!$G$4*SQRT(Option_Portfolio!$F$4)</f>
        <v>0.10113208657097911</v>
      </c>
      <c r="H118" s="63">
        <f>F118-Option_Portfolio!$G$5*SQRT(Option_Portfolio!$F$5)</f>
        <v>1.1155878793487624</v>
      </c>
      <c r="I118" s="115">
        <f t="shared" si="5"/>
        <v>0.58758623980807845</v>
      </c>
      <c r="J118" s="116">
        <f t="shared" si="6"/>
        <v>0.89816259865936587</v>
      </c>
      <c r="K118" s="115">
        <f t="shared" si="7"/>
        <v>0.54027719639320537</v>
      </c>
      <c r="L118" s="116">
        <f t="shared" si="8"/>
        <v>0.86770070865055182</v>
      </c>
      <c r="M118" s="62">
        <f>(1-K118)*Option_Portfolio!$E$4*EXP(-Option_Portfolio!$H$4*Option_Portfolio!$F$4)-(1-I118)*C118</f>
        <v>3.3185713188280275</v>
      </c>
      <c r="N118" s="116">
        <f>J118*D118-L118*Option_Portfolio!$E$5*EXP(-Option_Portfolio!$H$5*Option_Portfolio!$F$5)</f>
        <v>25.513960913840236</v>
      </c>
      <c r="O118" s="120">
        <f>M118 * -Option_Portfolio!$B$4 * 1000 + N118 * Option_Portfolio!$B$5 * 1000</f>
        <v>27797922.595884286</v>
      </c>
      <c r="P118" s="123">
        <f t="shared" si="9"/>
        <v>0.58846399336705546</v>
      </c>
    </row>
    <row r="119" spans="2:16">
      <c r="B119" s="57" t="s">
        <v>149</v>
      </c>
      <c r="C119" s="62">
        <f>$C$17*(1+Underlying_Assets!H110)</f>
        <v>84.057404515720606</v>
      </c>
      <c r="D119" s="8">
        <f>$D$17*(1+Underlying_Assets!I110)</f>
        <v>142.37464916251696</v>
      </c>
      <c r="E119" s="62">
        <f>(LN(C119/Option_Portfolio!$E$4)+(Option_Portfolio!$H$4+0.5*Option_Portfolio!$G$4^2)*Option_Portfolio!$F$4)/(Option_Portfolio!$G$4*SQRT(Option_Portfolio!$F$4))</f>
        <v>8.9319735579977428E-3</v>
      </c>
      <c r="F119" s="63">
        <f>(LN(D119/Option_Portfolio!$E$5)+(Option_Portfolio!$H$5+0.5*Option_Portfolio!$G$5^2)*Option_Portfolio!$F$5)/(Option_Portfolio!$G$5*SQRT(Option_Portfolio!$F$5))</f>
        <v>1.2089611293328097</v>
      </c>
      <c r="G119" s="62">
        <f>E119-Option_Portfolio!$G$4*SQRT(Option_Portfolio!$F$4)</f>
        <v>-0.11127617924371536</v>
      </c>
      <c r="H119" s="63">
        <f>F119-Option_Portfolio!$G$5*SQRT(Option_Portfolio!$F$5)</f>
        <v>1.0533976374717693</v>
      </c>
      <c r="I119" s="115">
        <f t="shared" si="5"/>
        <v>0.50356329451962045</v>
      </c>
      <c r="J119" s="116">
        <f t="shared" si="6"/>
        <v>0.88666111037783513</v>
      </c>
      <c r="K119" s="115">
        <f t="shared" si="7"/>
        <v>0.45569867214376036</v>
      </c>
      <c r="L119" s="116">
        <f t="shared" si="8"/>
        <v>0.85392060673944814</v>
      </c>
      <c r="M119" s="62">
        <f>(1-K119)*Option_Portfolio!$E$4*EXP(-Option_Portfolio!$H$4*Option_Portfolio!$F$4)-(1-I119)*C119</f>
        <v>4.3056811919230995</v>
      </c>
      <c r="N119" s="116">
        <f>J119*D119-L119*Option_Portfolio!$E$5*EXP(-Option_Portfolio!$H$5*Option_Portfolio!$F$5)</f>
        <v>24.278665322627461</v>
      </c>
      <c r="O119" s="120">
        <f>M119 * -Option_Portfolio!$B$4 * 1000 + N119 * Option_Portfolio!$B$5 * 1000</f>
        <v>18417562.301793229</v>
      </c>
      <c r="P119" s="123">
        <f t="shared" si="9"/>
        <v>-0.33744824857811129</v>
      </c>
    </row>
    <row r="120" spans="2:16">
      <c r="B120" s="57" t="s">
        <v>150</v>
      </c>
      <c r="C120" s="62">
        <f>$C$17*(1+Underlying_Assets!H111)</f>
        <v>86.053727938011193</v>
      </c>
      <c r="D120" s="8">
        <f>$D$17*(1+Underlying_Assets!I111)</f>
        <v>145.00000000000003</v>
      </c>
      <c r="E120" s="62">
        <f>(LN(C120/Option_Portfolio!$E$4)+(Option_Portfolio!$H$4+0.5*Option_Portfolio!$G$4^2)*Option_Portfolio!$F$4)/(Option_Portfolio!$G$4*SQRT(Option_Portfolio!$F$4))</f>
        <v>0.20419237452196493</v>
      </c>
      <c r="F120" s="63">
        <f>(LN(D120/Option_Portfolio!$E$5)+(Option_Portfolio!$H$5+0.5*Option_Portfolio!$G$5^2)*Option_Portfolio!$F$5)/(Option_Portfolio!$G$5*SQRT(Option_Portfolio!$F$5))</f>
        <v>1.3264166107999606</v>
      </c>
      <c r="G120" s="62">
        <f>E120-Option_Portfolio!$G$4*SQRT(Option_Portfolio!$F$4)</f>
        <v>8.3984221720251828E-2</v>
      </c>
      <c r="H120" s="63">
        <f>F120-Option_Portfolio!$G$5*SQRT(Option_Portfolio!$F$5)</f>
        <v>1.1708531189389202</v>
      </c>
      <c r="I120" s="115">
        <f t="shared" si="5"/>
        <v>0.58089841496226813</v>
      </c>
      <c r="J120" s="116">
        <f t="shared" si="6"/>
        <v>0.90764913014246151</v>
      </c>
      <c r="K120" s="115">
        <f t="shared" si="7"/>
        <v>0.53346551165632849</v>
      </c>
      <c r="L120" s="116">
        <f t="shared" si="8"/>
        <v>0.87917108900006125</v>
      </c>
      <c r="M120" s="62">
        <f>(1-K120)*Option_Portfolio!$E$4*EXP(-Option_Portfolio!$H$4*Option_Portfolio!$F$4)-(1-I120)*C120</f>
        <v>3.3923954422104856</v>
      </c>
      <c r="N120" s="116">
        <f>J120*D120-L120*Option_Portfolio!$E$5*EXP(-Option_Portfolio!$H$5*Option_Portfolio!$F$5)</f>
        <v>26.634779282599212</v>
      </c>
      <c r="O120" s="120">
        <f>M120 * -Option_Portfolio!$B$4 * 1000 + N120 * Option_Portfolio!$B$5 * 1000</f>
        <v>29522790.469725024</v>
      </c>
      <c r="P120" s="123">
        <f t="shared" si="9"/>
        <v>0.6029694910737744</v>
      </c>
    </row>
    <row r="121" spans="2:16">
      <c r="B121" s="57" t="s">
        <v>151</v>
      </c>
      <c r="C121" s="62">
        <f>$C$17*(1+Underlying_Assets!H112)</f>
        <v>85.960647651726362</v>
      </c>
      <c r="D121" s="8">
        <f>$D$17*(1+Underlying_Assets!I112)</f>
        <v>141.27154022988506</v>
      </c>
      <c r="E121" s="62">
        <f>(LN(C121/Option_Portfolio!$E$4)+(Option_Portfolio!$H$4+0.5*Option_Portfolio!$G$4^2)*Option_Portfolio!$F$4)/(Option_Portfolio!$G$4*SQRT(Option_Portfolio!$F$4))</f>
        <v>0.19518933655593823</v>
      </c>
      <c r="F121" s="63">
        <f>(LN(D121/Option_Portfolio!$E$5)+(Option_Portfolio!$H$5+0.5*Option_Portfolio!$G$5^2)*Option_Portfolio!$F$5)/(Option_Portfolio!$G$5*SQRT(Option_Portfolio!$F$5))</f>
        <v>1.1589615960906996</v>
      </c>
      <c r="G121" s="62">
        <f>E121-Option_Portfolio!$G$4*SQRT(Option_Portfolio!$F$4)</f>
        <v>7.4981183754225134E-2</v>
      </c>
      <c r="H121" s="63">
        <f>F121-Option_Portfolio!$G$5*SQRT(Option_Portfolio!$F$5)</f>
        <v>1.0033981042296591</v>
      </c>
      <c r="I121" s="115">
        <f t="shared" si="5"/>
        <v>0.5773776366469987</v>
      </c>
      <c r="J121" s="116">
        <f t="shared" si="6"/>
        <v>0.87676408029577246</v>
      </c>
      <c r="K121" s="115">
        <f t="shared" si="7"/>
        <v>0.52988515853425522</v>
      </c>
      <c r="L121" s="116">
        <f t="shared" si="8"/>
        <v>0.84216559078210051</v>
      </c>
      <c r="M121" s="62">
        <f>(1-K121)*Option_Portfolio!$E$4*EXP(-Option_Portfolio!$H$4*Option_Portfolio!$F$4)-(1-I121)*C121</f>
        <v>3.4315693166017596</v>
      </c>
      <c r="N121" s="116">
        <f>J121*D121-L121*Option_Portfolio!$E$5*EXP(-Option_Portfolio!$H$5*Option_Portfolio!$F$5)</f>
        <v>23.305979356638261</v>
      </c>
      <c r="O121" s="120">
        <f>M121 * -Option_Portfolio!$B$4 * 1000 + N121 * Option_Portfolio!$B$5 * 1000</f>
        <v>22590973.497064203</v>
      </c>
      <c r="P121" s="123">
        <f t="shared" si="9"/>
        <v>-0.23479545335557783</v>
      </c>
    </row>
    <row r="122" spans="2:16">
      <c r="B122" s="57" t="s">
        <v>152</v>
      </c>
      <c r="C122" s="62">
        <f>$C$17*(1+Underlying_Assets!H113)</f>
        <v>85.703319786096245</v>
      </c>
      <c r="D122" s="8">
        <f>$D$17*(1+Underlying_Assets!I113)</f>
        <v>145.41413760603206</v>
      </c>
      <c r="E122" s="62">
        <f>(LN(C122/Option_Portfolio!$E$4)+(Option_Portfolio!$H$4+0.5*Option_Portfolio!$G$4^2)*Option_Portfolio!$F$4)/(Option_Portfolio!$G$4*SQRT(Option_Portfolio!$F$4))</f>
        <v>0.17024889893209902</v>
      </c>
      <c r="F122" s="63">
        <f>(LN(D122/Option_Portfolio!$E$5)+(Option_Portfolio!$H$5+0.5*Option_Portfolio!$G$5^2)*Option_Portfolio!$F$5)/(Option_Portfolio!$G$5*SQRT(Option_Portfolio!$F$5))</f>
        <v>1.3447502855048059</v>
      </c>
      <c r="G122" s="62">
        <f>E122-Option_Portfolio!$G$4*SQRT(Option_Portfolio!$F$4)</f>
        <v>5.0040746130385921E-2</v>
      </c>
      <c r="H122" s="63">
        <f>F122-Option_Portfolio!$G$5*SQRT(Option_Portfolio!$F$5)</f>
        <v>1.1891867936437654</v>
      </c>
      <c r="I122" s="115">
        <f t="shared" si="5"/>
        <v>0.567592801396264</v>
      </c>
      <c r="J122" s="116">
        <f t="shared" si="6"/>
        <v>0.91064705515429378</v>
      </c>
      <c r="K122" s="115">
        <f t="shared" si="7"/>
        <v>0.51995504086950528</v>
      </c>
      <c r="L122" s="116">
        <f t="shared" si="8"/>
        <v>0.88281691492462</v>
      </c>
      <c r="M122" s="62">
        <f>(1-K122)*Option_Portfolio!$E$4*EXP(-Option_Portfolio!$H$4*Option_Portfolio!$F$4)-(1-I122)*C122</f>
        <v>3.5415791974665751</v>
      </c>
      <c r="N122" s="116">
        <f>J122*D122-L122*Option_Portfolio!$E$5*EXP(-Option_Portfolio!$H$5*Option_Portfolio!$F$5)</f>
        <v>27.01129452564858</v>
      </c>
      <c r="O122" s="120">
        <f>M122 * -Option_Portfolio!$B$4 * 1000 + N122 * Option_Portfolio!$B$5 * 1000</f>
        <v>29231534.669031132</v>
      </c>
      <c r="P122" s="123">
        <f t="shared" si="9"/>
        <v>0.29394754382009691</v>
      </c>
    </row>
    <row r="123" spans="2:16">
      <c r="B123" s="57" t="s">
        <v>153</v>
      </c>
      <c r="C123" s="62">
        <f>$C$17*(1+Underlying_Assets!H114)</f>
        <v>86.070263214209277</v>
      </c>
      <c r="D123" s="8">
        <f>$D$17*(1+Underlying_Assets!I114)</f>
        <v>143.23716564992964</v>
      </c>
      <c r="E123" s="62">
        <f>(LN(C123/Option_Portfolio!$E$4)+(Option_Portfolio!$H$4+0.5*Option_Portfolio!$G$4^2)*Option_Portfolio!$F$4)/(Option_Portfolio!$G$4*SQRT(Option_Portfolio!$F$4))</f>
        <v>0.20579070330073088</v>
      </c>
      <c r="F123" s="63">
        <f>(LN(D123/Option_Portfolio!$E$5)+(Option_Portfolio!$H$5+0.5*Option_Portfolio!$G$5^2)*Option_Portfolio!$F$5)/(Option_Portfolio!$G$5*SQRT(Option_Portfolio!$F$5))</f>
        <v>1.2477864337578504</v>
      </c>
      <c r="G123" s="62">
        <f>E123-Option_Portfolio!$G$4*SQRT(Option_Portfolio!$F$4)</f>
        <v>8.5582550499017779E-2</v>
      </c>
      <c r="H123" s="63">
        <f>F123-Option_Portfolio!$G$5*SQRT(Option_Portfolio!$F$5)</f>
        <v>1.0922229418968099</v>
      </c>
      <c r="I123" s="115">
        <f t="shared" si="5"/>
        <v>0.58152279826587483</v>
      </c>
      <c r="J123" s="116">
        <f t="shared" si="6"/>
        <v>0.8939453609495609</v>
      </c>
      <c r="K123" s="115">
        <f t="shared" si="7"/>
        <v>0.53410086487804298</v>
      </c>
      <c r="L123" s="116">
        <f t="shared" si="8"/>
        <v>0.86263243954364388</v>
      </c>
      <c r="M123" s="62">
        <f>(1-K123)*Option_Portfolio!$E$4*EXP(-Option_Portfolio!$H$4*Option_Portfolio!$F$4)-(1-I123)*C123</f>
        <v>3.3854706443692137</v>
      </c>
      <c r="N123" s="116">
        <f>J123*D123-L123*Option_Portfolio!$E$5*EXP(-Option_Portfolio!$H$5*Option_Portfolio!$F$5)</f>
        <v>25.046594672036065</v>
      </c>
      <c r="O123" s="120">
        <f>M123 * -Option_Portfolio!$B$4 * 1000 + N123 * Option_Portfolio!$B$5 * 1000</f>
        <v>26394894.833487637</v>
      </c>
      <c r="P123" s="123">
        <f t="shared" si="9"/>
        <v>-9.7040400637901758E-2</v>
      </c>
    </row>
    <row r="124" spans="2:16">
      <c r="B124" s="57" t="s">
        <v>154</v>
      </c>
      <c r="C124" s="62">
        <f>$C$17*(1+Underlying_Assets!H115)</f>
        <v>85.0271754423364</v>
      </c>
      <c r="D124" s="8">
        <f>$D$17*(1+Underlying_Assets!I115)</f>
        <v>145.62428842504744</v>
      </c>
      <c r="E124" s="62">
        <f>(LN(C124/Option_Portfolio!$E$4)+(Option_Portfolio!$H$4+0.5*Option_Portfolio!$G$4^2)*Option_Portfolio!$F$4)/(Option_Portfolio!$G$4*SQRT(Option_Portfolio!$F$4))</f>
        <v>0.10435781348628335</v>
      </c>
      <c r="F124" s="63">
        <f>(LN(D124/Option_Portfolio!$E$5)+(Option_Portfolio!$H$5+0.5*Option_Portfolio!$G$5^2)*Option_Portfolio!$F$5)/(Option_Portfolio!$G$5*SQRT(Option_Portfolio!$F$5))</f>
        <v>1.3540336016790568</v>
      </c>
      <c r="G124" s="62">
        <f>E124-Option_Portfolio!$G$4*SQRT(Option_Portfolio!$F$4)</f>
        <v>-1.5850339315429743E-2</v>
      </c>
      <c r="H124" s="63">
        <f>F124-Option_Portfolio!$G$5*SQRT(Option_Portfolio!$F$5)</f>
        <v>1.1984701098180164</v>
      </c>
      <c r="I124" s="115">
        <f t="shared" si="5"/>
        <v>0.54155730010614422</v>
      </c>
      <c r="J124" s="116">
        <f t="shared" si="6"/>
        <v>0.91213717110314585</v>
      </c>
      <c r="K124" s="115">
        <f t="shared" si="7"/>
        <v>0.49367689425188249</v>
      </c>
      <c r="L124" s="116">
        <f t="shared" si="8"/>
        <v>0.8846329736854559</v>
      </c>
      <c r="M124" s="62">
        <f>(1-K124)*Option_Portfolio!$E$4*EXP(-Option_Portfolio!$H$4*Option_Portfolio!$F$4)-(1-I124)*C124</f>
        <v>3.8427258673194586</v>
      </c>
      <c r="N124" s="116">
        <f>J124*D124-L124*Option_Portfolio!$E$5*EXP(-Option_Portfolio!$H$5*Option_Portfolio!$F$5)</f>
        <v>27.202824689248104</v>
      </c>
      <c r="O124" s="120">
        <f>M124 * -Option_Portfolio!$B$4 * 1000 + N124 * Option_Portfolio!$B$5 * 1000</f>
        <v>27506568.307259995</v>
      </c>
      <c r="P124" s="123">
        <f t="shared" si="9"/>
        <v>4.2116988182198112E-2</v>
      </c>
    </row>
    <row r="125" spans="2:16">
      <c r="B125" s="57" t="s">
        <v>155</v>
      </c>
      <c r="C125" s="62">
        <f>$C$17*(1+Underlying_Assets!H116)</f>
        <v>85.242368873602743</v>
      </c>
      <c r="D125" s="8">
        <f>$D$17*(1+Underlying_Assets!I116)</f>
        <v>146.71245283018871</v>
      </c>
      <c r="E125" s="62">
        <f>(LN(C125/Option_Portfolio!$E$4)+(Option_Portfolio!$H$4+0.5*Option_Portfolio!$G$4^2)*Option_Portfolio!$F$4)/(Option_Portfolio!$G$4*SQRT(Option_Portfolio!$F$4))</f>
        <v>0.12538534730125403</v>
      </c>
      <c r="F125" s="63">
        <f>(LN(D125/Option_Portfolio!$E$5)+(Option_Portfolio!$H$5+0.5*Option_Portfolio!$G$5^2)*Option_Portfolio!$F$5)/(Option_Portfolio!$G$5*SQRT(Option_Portfolio!$F$5))</f>
        <v>1.4018894955576942</v>
      </c>
      <c r="G125" s="62">
        <f>E125-Option_Portfolio!$G$4*SQRT(Option_Portfolio!$F$4)</f>
        <v>5.1771944995409325E-3</v>
      </c>
      <c r="H125" s="63">
        <f>F125-Option_Portfolio!$G$5*SQRT(Option_Portfolio!$F$5)</f>
        <v>1.2463260036966537</v>
      </c>
      <c r="I125" s="115">
        <f t="shared" si="5"/>
        <v>0.54989075613711169</v>
      </c>
      <c r="J125" s="116">
        <f t="shared" si="6"/>
        <v>0.91952587611992143</v>
      </c>
      <c r="K125" s="115">
        <f t="shared" si="7"/>
        <v>0.50206539255315374</v>
      </c>
      <c r="L125" s="116">
        <f t="shared" si="8"/>
        <v>0.89367763252016863</v>
      </c>
      <c r="M125" s="62">
        <f>(1-K125)*Option_Portfolio!$E$4*EXP(-Option_Portfolio!$H$4*Option_Portfolio!$F$4)-(1-I125)*C125</f>
        <v>3.7449694009005938</v>
      </c>
      <c r="N125" s="116">
        <f>J125*D125-L125*Option_Portfolio!$E$5*EXP(-Option_Portfolio!$H$5*Option_Portfolio!$F$5)</f>
        <v>28.199449118429115</v>
      </c>
      <c r="O125" s="120">
        <f>M125 * -Option_Portfolio!$B$4 * 1000 + N125 * Option_Portfolio!$B$5 * 1000</f>
        <v>30184112.43055407</v>
      </c>
      <c r="P125" s="123">
        <f t="shared" si="9"/>
        <v>9.7341990952298119E-2</v>
      </c>
    </row>
    <row r="126" spans="2:16">
      <c r="B126" s="57" t="s">
        <v>156</v>
      </c>
      <c r="C126" s="62">
        <f>$C$17*(1+Underlying_Assets!H117)</f>
        <v>85.202387027027015</v>
      </c>
      <c r="D126" s="8">
        <f>$D$17*(1+Underlying_Assets!I117)</f>
        <v>131.91091247672256</v>
      </c>
      <c r="E126" s="62">
        <f>(LN(C126/Option_Portfolio!$E$4)+(Option_Portfolio!$H$4+0.5*Option_Portfolio!$G$4^2)*Option_Portfolio!$F$4)/(Option_Portfolio!$G$4*SQRT(Option_Portfolio!$F$4))</f>
        <v>0.12148255639302299</v>
      </c>
      <c r="F126" s="63">
        <f>(LN(D126/Option_Portfolio!$E$5)+(Option_Portfolio!$H$5+0.5*Option_Portfolio!$G$5^2)*Option_Portfolio!$F$5)/(Option_Portfolio!$G$5*SQRT(Option_Portfolio!$F$5))</f>
        <v>0.71826008234330407</v>
      </c>
      <c r="G126" s="62">
        <f>E126-Option_Portfolio!$G$4*SQRT(Option_Portfolio!$F$4)</f>
        <v>1.2744035913098972E-3</v>
      </c>
      <c r="H126" s="63">
        <f>F126-Option_Portfolio!$G$5*SQRT(Option_Portfolio!$F$5)</f>
        <v>0.56269659048226361</v>
      </c>
      <c r="I126" s="115">
        <f t="shared" si="5"/>
        <v>0.54834558482431461</v>
      </c>
      <c r="J126" s="116">
        <f t="shared" si="6"/>
        <v>0.76370153100097238</v>
      </c>
      <c r="K126" s="115">
        <f t="shared" si="7"/>
        <v>0.50050841333724949</v>
      </c>
      <c r="L126" s="116">
        <f t="shared" si="8"/>
        <v>0.71317924682908362</v>
      </c>
      <c r="M126" s="62">
        <f>(1-K126)*Option_Portfolio!$E$4*EXP(-Option_Portfolio!$H$4*Option_Portfolio!$F$4)-(1-I126)*C126</f>
        <v>3.7629964841368562</v>
      </c>
      <c r="N126" s="116">
        <f>J126*D126-L126*Option_Portfolio!$E$5*EXP(-Option_Portfolio!$H$5*Option_Portfolio!$F$5)</f>
        <v>15.585895754667106</v>
      </c>
      <c r="O126" s="120">
        <f>M126 * -Option_Portfolio!$B$4 * 1000 + N126 * Option_Portfolio!$B$5 * 1000</f>
        <v>4830816.1203762218</v>
      </c>
      <c r="P126" s="123">
        <f t="shared" si="9"/>
        <v>-0.83995500508783572</v>
      </c>
    </row>
    <row r="127" spans="2:16">
      <c r="B127" s="57" t="s">
        <v>157</v>
      </c>
      <c r="C127" s="62">
        <f>$C$17*(1+Underlying_Assets!H118)</f>
        <v>87.083185378590073</v>
      </c>
      <c r="D127" s="8">
        <f>$D$17*(1+Underlying_Assets!I118)</f>
        <v>145.09599345870811</v>
      </c>
      <c r="E127" s="62">
        <f>(LN(C127/Option_Portfolio!$E$4)+(Option_Portfolio!$H$4+0.5*Option_Portfolio!$G$4^2)*Option_Portfolio!$F$4)/(Option_Portfolio!$G$4*SQRT(Option_Portfolio!$F$4))</f>
        <v>0.30312053107928288</v>
      </c>
      <c r="F127" s="63">
        <f>(LN(D127/Option_Portfolio!$E$5)+(Option_Portfolio!$H$5+0.5*Option_Portfolio!$G$5^2)*Option_Portfolio!$F$5)/(Option_Portfolio!$G$5*SQRT(Option_Portfolio!$F$5))</f>
        <v>1.330670853258259</v>
      </c>
      <c r="G127" s="62">
        <f>E127-Option_Portfolio!$G$4*SQRT(Option_Portfolio!$F$4)</f>
        <v>0.18291237827756979</v>
      </c>
      <c r="H127" s="63">
        <f>F127-Option_Portfolio!$G$5*SQRT(Option_Portfolio!$F$5)</f>
        <v>1.1751073613972185</v>
      </c>
      <c r="I127" s="115">
        <f t="shared" si="5"/>
        <v>0.61910099588715106</v>
      </c>
      <c r="J127" s="116">
        <f t="shared" si="6"/>
        <v>0.9083513312277276</v>
      </c>
      <c r="K127" s="115">
        <f t="shared" si="7"/>
        <v>0.57256661485368154</v>
      </c>
      <c r="L127" s="116">
        <f t="shared" si="8"/>
        <v>0.88002411703893157</v>
      </c>
      <c r="M127" s="62">
        <f>(1-K127)*Option_Portfolio!$E$4*EXP(-Option_Portfolio!$H$4*Option_Portfolio!$F$4)-(1-I127)*C127</f>
        <v>2.9807333550739443</v>
      </c>
      <c r="N127" s="116">
        <f>J127*D127-L127*Option_Portfolio!$E$5*EXP(-Option_Portfolio!$H$5*Option_Portfolio!$F$5)</f>
        <v>26.721941400716148</v>
      </c>
      <c r="O127" s="120">
        <f>M127 * -Option_Portfolio!$B$4 * 1000 + N127 * Option_Portfolio!$B$5 * 1000</f>
        <v>32578749.315914687</v>
      </c>
      <c r="P127" s="123">
        <f t="shared" si="9"/>
        <v>5.7439431566228745</v>
      </c>
    </row>
    <row r="128" spans="2:16">
      <c r="B128" s="57" t="s">
        <v>158</v>
      </c>
      <c r="C128" s="62">
        <f>$C$17*(1+Underlying_Assets!H119)</f>
        <v>85.629794344472998</v>
      </c>
      <c r="D128" s="8">
        <f>$D$17*(1+Underlying_Assets!I119)</f>
        <v>144.74092207262342</v>
      </c>
      <c r="E128" s="62">
        <f>(LN(C128/Option_Portfolio!$E$4)+(Option_Portfolio!$H$4+0.5*Option_Portfolio!$G$4^2)*Option_Portfolio!$F$4)/(Option_Portfolio!$G$4*SQRT(Option_Portfolio!$F$4))</f>
        <v>0.1631089939557826</v>
      </c>
      <c r="F128" s="63">
        <f>(LN(D128/Option_Portfolio!$E$5)+(Option_Portfolio!$H$5+0.5*Option_Portfolio!$G$5^2)*Option_Portfolio!$F$5)/(Option_Portfolio!$G$5*SQRT(Option_Portfolio!$F$5))</f>
        <v>1.3149207100786275</v>
      </c>
      <c r="G128" s="62">
        <f>E128-Option_Portfolio!$G$4*SQRT(Option_Portfolio!$F$4)</f>
        <v>4.2900841154069502E-2</v>
      </c>
      <c r="H128" s="63">
        <f>F128-Option_Portfolio!$G$5*SQRT(Option_Portfolio!$F$5)</f>
        <v>1.1593572182175871</v>
      </c>
      <c r="I128" s="115">
        <f t="shared" si="5"/>
        <v>0.56478369075987112</v>
      </c>
      <c r="J128" s="116">
        <f t="shared" si="6"/>
        <v>0.90573172415958714</v>
      </c>
      <c r="K128" s="115">
        <f t="shared" si="7"/>
        <v>0.51710971088725488</v>
      </c>
      <c r="L128" s="116">
        <f t="shared" si="8"/>
        <v>0.87684469618235561</v>
      </c>
      <c r="M128" s="62">
        <f>(1-K128)*Option_Portfolio!$E$4*EXP(-Option_Portfolio!$H$4*Option_Portfolio!$F$4)-(1-I128)*C128</f>
        <v>3.5734753629994174</v>
      </c>
      <c r="N128" s="116">
        <f>J128*D128-L128*Option_Portfolio!$E$5*EXP(-Option_Portfolio!$H$5*Option_Portfolio!$F$5)</f>
        <v>26.399875103442483</v>
      </c>
      <c r="O128" s="120">
        <f>M128 * -Option_Portfolio!$B$4 * 1000 + N128 * Option_Portfolio!$B$5 * 1000</f>
        <v>27785422.665889043</v>
      </c>
      <c r="P128" s="123">
        <f t="shared" si="9"/>
        <v>-0.14713046850095346</v>
      </c>
    </row>
    <row r="129" spans="2:16">
      <c r="B129" s="57" t="s">
        <v>159</v>
      </c>
      <c r="C129" s="62">
        <f>$C$17*(1+Underlying_Assets!H120)</f>
        <v>87.579124839124844</v>
      </c>
      <c r="D129" s="8">
        <f>$D$17*(1+Underlying_Assets!I120)</f>
        <v>144.97730612244899</v>
      </c>
      <c r="E129" s="62">
        <f>(LN(C129/Option_Portfolio!$E$4)+(Option_Portfolio!$H$4+0.5*Option_Portfolio!$G$4^2)*Option_Portfolio!$F$4)/(Option_Portfolio!$G$4*SQRT(Option_Portfolio!$F$4))</f>
        <v>0.35036236019775213</v>
      </c>
      <c r="F129" s="63">
        <f>(LN(D129/Option_Portfolio!$E$5)+(Option_Portfolio!$H$5+0.5*Option_Portfolio!$G$5^2)*Option_Portfolio!$F$5)/(Option_Portfolio!$G$5*SQRT(Option_Portfolio!$F$5))</f>
        <v>1.3254104508882143</v>
      </c>
      <c r="G129" s="62">
        <f>E129-Option_Portfolio!$G$4*SQRT(Option_Portfolio!$F$4)</f>
        <v>0.23015420739603903</v>
      </c>
      <c r="H129" s="63">
        <f>F129-Option_Portfolio!$G$5*SQRT(Option_Portfolio!$F$5)</f>
        <v>1.1698469590271738</v>
      </c>
      <c r="I129" s="115">
        <f t="shared" si="5"/>
        <v>0.63696661471691396</v>
      </c>
      <c r="J129" s="116">
        <f t="shared" si="6"/>
        <v>0.90748247370224699</v>
      </c>
      <c r="K129" s="115">
        <f t="shared" si="7"/>
        <v>0.59101402806070369</v>
      </c>
      <c r="L129" s="116">
        <f t="shared" si="8"/>
        <v>0.87896871890566386</v>
      </c>
      <c r="M129" s="62">
        <f>(1-K129)*Option_Portfolio!$E$4*EXP(-Option_Portfolio!$H$4*Option_Portfolio!$F$4)-(1-I129)*C129</f>
        <v>2.7962762305420874</v>
      </c>
      <c r="N129" s="116">
        <f>J129*D129-L129*Option_Portfolio!$E$5*EXP(-Option_Portfolio!$H$5*Option_Portfolio!$F$5)</f>
        <v>26.614183094951073</v>
      </c>
      <c r="O129" s="120">
        <f>M129 * -Option_Portfolio!$B$4 * 1000 + N129 * Option_Portfolio!$B$5 * 1000</f>
        <v>33654432.576107532</v>
      </c>
      <c r="P129" s="123">
        <f t="shared" si="9"/>
        <v>0.2112262239373317</v>
      </c>
    </row>
    <row r="130" spans="2:16">
      <c r="B130" s="57" t="s">
        <v>160</v>
      </c>
      <c r="C130" s="62">
        <f>$C$17*(1+Underlying_Assets!H121)</f>
        <v>84.479647207055862</v>
      </c>
      <c r="D130" s="8">
        <f>$D$17*(1+Underlying_Assets!I121)</f>
        <v>146.54137790460661</v>
      </c>
      <c r="E130" s="62">
        <f>(LN(C130/Option_Portfolio!$E$4)+(Option_Portfolio!$H$4+0.5*Option_Portfolio!$G$4^2)*Option_Portfolio!$F$4)/(Option_Portfolio!$G$4*SQRT(Option_Portfolio!$F$4))</f>
        <v>5.0615430520000157E-2</v>
      </c>
      <c r="F130" s="63">
        <f>(LN(D130/Option_Portfolio!$E$5)+(Option_Portfolio!$H$5+0.5*Option_Portfolio!$G$5^2)*Option_Portfolio!$F$5)/(Option_Portfolio!$G$5*SQRT(Option_Portfolio!$F$5))</f>
        <v>1.3943894305495026</v>
      </c>
      <c r="G130" s="62">
        <f>E130-Option_Portfolio!$G$4*SQRT(Option_Portfolio!$F$4)</f>
        <v>-6.959272228171294E-2</v>
      </c>
      <c r="H130" s="63">
        <f>F130-Option_Portfolio!$G$5*SQRT(Option_Portfolio!$F$5)</f>
        <v>1.2388259386884621</v>
      </c>
      <c r="I130" s="115">
        <f t="shared" si="5"/>
        <v>0.52018401659536151</v>
      </c>
      <c r="J130" s="116">
        <f t="shared" si="6"/>
        <v>0.91839998096355013</v>
      </c>
      <c r="K130" s="115">
        <f t="shared" si="7"/>
        <v>0.47225891483766053</v>
      </c>
      <c r="L130" s="116">
        <f t="shared" si="8"/>
        <v>0.89229501714081416</v>
      </c>
      <c r="M130" s="62">
        <f>(1-K130)*Option_Portfolio!$E$4*EXP(-Option_Portfolio!$H$4*Option_Portfolio!$F$4)-(1-I130)*C130</f>
        <v>4.0995770668029223</v>
      </c>
      <c r="N130" s="116">
        <f>J130*D130-L130*Option_Portfolio!$E$5*EXP(-Option_Portfolio!$H$5*Option_Portfolio!$F$5)</f>
        <v>28.042237416776103</v>
      </c>
      <c r="O130" s="120">
        <f>M130 * -Option_Portfolio!$B$4 * 1000 + N130 * Option_Portfolio!$B$5 * 1000</f>
        <v>27387435.365931757</v>
      </c>
      <c r="P130" s="123">
        <f t="shared" si="9"/>
        <v>-0.1862161008361477</v>
      </c>
    </row>
    <row r="131" spans="2:16">
      <c r="B131" s="57" t="s">
        <v>161</v>
      </c>
      <c r="C131" s="62">
        <f>$C$17*(1+Underlying_Assets!H122)</f>
        <v>86.123746803069054</v>
      </c>
      <c r="D131" s="8">
        <f>$D$17*(1+Underlying_Assets!I122)</f>
        <v>148.51842900302117</v>
      </c>
      <c r="E131" s="62">
        <f>(LN(C131/Option_Portfolio!$E$4)+(Option_Portfolio!$H$4+0.5*Option_Portfolio!$G$4^2)*Option_Portfolio!$F$4)/(Option_Portfolio!$G$4*SQRT(Option_Portfolio!$F$4))</f>
        <v>0.21095841869985096</v>
      </c>
      <c r="F131" s="63">
        <f>(LN(D131/Option_Portfolio!$E$5)+(Option_Portfolio!$H$5+0.5*Option_Portfolio!$G$5^2)*Option_Portfolio!$F$5)/(Option_Portfolio!$G$5*SQRT(Option_Portfolio!$F$5))</f>
        <v>1.480535735190315</v>
      </c>
      <c r="G131" s="62">
        <f>E131-Option_Portfolio!$G$4*SQRT(Option_Portfolio!$F$4)</f>
        <v>9.0750265898137866E-2</v>
      </c>
      <c r="H131" s="63">
        <f>F131-Option_Portfolio!$G$5*SQRT(Option_Portfolio!$F$5)</f>
        <v>1.3249722433292745</v>
      </c>
      <c r="I131" s="115">
        <f t="shared" si="5"/>
        <v>0.58354014090202122</v>
      </c>
      <c r="J131" s="116">
        <f t="shared" si="6"/>
        <v>0.93063483431850247</v>
      </c>
      <c r="K131" s="115">
        <f t="shared" si="7"/>
        <v>0.53615448551583555</v>
      </c>
      <c r="L131" s="116">
        <f t="shared" si="8"/>
        <v>0.90740982118076929</v>
      </c>
      <c r="M131" s="62">
        <f>(1-K131)*Option_Portfolio!$E$4*EXP(-Option_Portfolio!$H$4*Option_Portfolio!$F$4)-(1-I131)*C131</f>
        <v>3.3631429443938288</v>
      </c>
      <c r="N131" s="116">
        <f>J131*D131-L131*Option_Portfolio!$E$5*EXP(-Option_Portfolio!$H$5*Option_Portfolio!$F$5)</f>
        <v>29.870332070446977</v>
      </c>
      <c r="O131" s="120">
        <f>M131 * -Option_Portfolio!$B$4 * 1000 + N131 * Option_Portfolio!$B$5 * 1000</f>
        <v>36198663.530137151</v>
      </c>
      <c r="P131" s="123">
        <f t="shared" si="9"/>
        <v>0.32172520159247942</v>
      </c>
    </row>
    <row r="132" spans="2:16">
      <c r="B132" s="57" t="s">
        <v>162</v>
      </c>
      <c r="C132" s="62">
        <f>$C$17*(1+Underlying_Assets!H123)</f>
        <v>85.485308720560141</v>
      </c>
      <c r="D132" s="8">
        <f>$D$17*(1+Underlying_Assets!I123)</f>
        <v>143.23613156602849</v>
      </c>
      <c r="E132" s="62">
        <f>(LN(C132/Option_Portfolio!$E$4)+(Option_Portfolio!$H$4+0.5*Option_Portfolio!$G$4^2)*Option_Portfolio!$F$4)/(Option_Portfolio!$G$4*SQRT(Option_Portfolio!$F$4))</f>
        <v>0.14906041263404263</v>
      </c>
      <c r="F132" s="63">
        <f>(LN(D132/Option_Portfolio!$E$5)+(Option_Portfolio!$H$5+0.5*Option_Portfolio!$G$5^2)*Option_Portfolio!$F$5)/(Option_Portfolio!$G$5*SQRT(Option_Portfolio!$F$5))</f>
        <v>1.2477400256413187</v>
      </c>
      <c r="G132" s="62">
        <f>E132-Option_Portfolio!$G$4*SQRT(Option_Portfolio!$F$4)</f>
        <v>2.885225983232953E-2</v>
      </c>
      <c r="H132" s="63">
        <f>F132-Option_Portfolio!$G$5*SQRT(Option_Portfolio!$F$5)</f>
        <v>1.0921765337802782</v>
      </c>
      <c r="I132" s="115">
        <f t="shared" si="5"/>
        <v>0.55924701850890601</v>
      </c>
      <c r="J132" s="116">
        <f t="shared" si="6"/>
        <v>0.89393686083792256</v>
      </c>
      <c r="K132" s="115">
        <f t="shared" si="7"/>
        <v>0.51150878955589341</v>
      </c>
      <c r="L132" s="116">
        <f t="shared" si="8"/>
        <v>0.86262224262376197</v>
      </c>
      <c r="M132" s="62">
        <f>(1-K132)*Option_Portfolio!$E$4*EXP(-Option_Portfolio!$H$4*Option_Portfolio!$F$4)-(1-I132)*C132</f>
        <v>3.6367575889916068</v>
      </c>
      <c r="N132" s="116">
        <f>J132*D132-L132*Option_Portfolio!$E$5*EXP(-Option_Portfolio!$H$5*Option_Portfolio!$F$5)</f>
        <v>25.045670261924656</v>
      </c>
      <c r="O132" s="120">
        <f>M132 * -Option_Portfolio!$B$4 * 1000 + N132 * Option_Portfolio!$B$5 * 1000</f>
        <v>24634037.400908068</v>
      </c>
      <c r="P132" s="123">
        <f t="shared" si="9"/>
        <v>-0.31947660497468278</v>
      </c>
    </row>
    <row r="133" spans="2:16">
      <c r="B133" s="57" t="s">
        <v>163</v>
      </c>
      <c r="C133" s="62">
        <f>$C$17*(1+Underlying_Assets!H124)</f>
        <v>84.006588635879964</v>
      </c>
      <c r="D133" s="8">
        <f>$D$17*(1+Underlying_Assets!I124)</f>
        <v>143.00347394540944</v>
      </c>
      <c r="E133" s="62">
        <f>(LN(C133/Option_Portfolio!$E$4)+(Option_Portfolio!$H$4+0.5*Option_Portfolio!$G$4^2)*Option_Portfolio!$F$4)/(Option_Portfolio!$G$4*SQRT(Option_Portfolio!$F$4))</f>
        <v>3.90136116013353E-3</v>
      </c>
      <c r="F133" s="63">
        <f>(LN(D133/Option_Portfolio!$E$5)+(Option_Portfolio!$H$5+0.5*Option_Portfolio!$G$5^2)*Option_Portfolio!$F$5)/(Option_Portfolio!$G$5*SQRT(Option_Portfolio!$F$5))</f>
        <v>1.2372901778217866</v>
      </c>
      <c r="G133" s="62">
        <f>E133-Option_Portfolio!$G$4*SQRT(Option_Portfolio!$F$4)</f>
        <v>-0.11630679164157957</v>
      </c>
      <c r="H133" s="63">
        <f>F133-Option_Portfolio!$G$5*SQRT(Option_Portfolio!$F$5)</f>
        <v>1.0817266859607462</v>
      </c>
      <c r="I133" s="115">
        <f t="shared" si="5"/>
        <v>0.50155641396962825</v>
      </c>
      <c r="J133" s="116">
        <f t="shared" si="6"/>
        <v>0.89201031347872461</v>
      </c>
      <c r="K133" s="115">
        <f t="shared" si="7"/>
        <v>0.45370470159662074</v>
      </c>
      <c r="L133" s="116">
        <f t="shared" si="8"/>
        <v>0.86031300414591305</v>
      </c>
      <c r="M133" s="62">
        <f>(1-K133)*Option_Portfolio!$E$4*EXP(-Option_Portfolio!$H$4*Option_Portfolio!$F$4)-(1-I133)*C133</f>
        <v>4.3309590451841871</v>
      </c>
      <c r="N133" s="116">
        <f>J133*D133-L133*Option_Portfolio!$E$5*EXP(-Option_Portfolio!$H$5*Option_Portfolio!$F$5)</f>
        <v>24.83791260615979</v>
      </c>
      <c r="O133" s="120">
        <f>M133 * -Option_Portfolio!$B$4 * 1000 + N133 * Option_Portfolio!$B$5 * 1000</f>
        <v>19359111.896030266</v>
      </c>
      <c r="P133" s="123">
        <f t="shared" si="9"/>
        <v>-0.21413158626946616</v>
      </c>
    </row>
    <row r="134" spans="2:16">
      <c r="B134" s="57" t="s">
        <v>164</v>
      </c>
      <c r="C134" s="62">
        <f>$C$17*(1+Underlying_Assets!H125)</f>
        <v>86.317311033883584</v>
      </c>
      <c r="D134" s="8">
        <f>$D$17*(1+Underlying_Assets!I125)</f>
        <v>144.80000000000001</v>
      </c>
      <c r="E134" s="62">
        <f>(LN(C134/Option_Portfolio!$E$4)+(Option_Portfolio!$H$4+0.5*Option_Portfolio!$G$4^2)*Option_Portfolio!$F$4)/(Option_Portfolio!$G$4*SQRT(Option_Portfolio!$F$4))</f>
        <v>0.22963428182138645</v>
      </c>
      <c r="F134" s="63">
        <f>(LN(D134/Option_Portfolio!$E$5)+(Option_Portfolio!$H$5+0.5*Option_Portfolio!$G$5^2)*Option_Portfolio!$F$5)/(Option_Portfolio!$G$5*SQRT(Option_Portfolio!$F$5))</f>
        <v>1.317543947603435</v>
      </c>
      <c r="G134" s="62">
        <f>E134-Option_Portfolio!$G$4*SQRT(Option_Portfolio!$F$4)</f>
        <v>0.10942612901967336</v>
      </c>
      <c r="H134" s="63">
        <f>F134-Option_Portfolio!$G$5*SQRT(Option_Portfolio!$F$5)</f>
        <v>1.1619804557423945</v>
      </c>
      <c r="I134" s="115">
        <f t="shared" si="5"/>
        <v>0.59081201720239918</v>
      </c>
      <c r="J134" s="116">
        <f t="shared" si="6"/>
        <v>0.90617181996178064</v>
      </c>
      <c r="K134" s="115">
        <f t="shared" si="7"/>
        <v>0.54356774488861748</v>
      </c>
      <c r="L134" s="116">
        <f t="shared" si="8"/>
        <v>0.87737829806466738</v>
      </c>
      <c r="M134" s="62">
        <f>(1-K134)*Option_Portfolio!$E$4*EXP(-Option_Portfolio!$H$4*Option_Portfolio!$F$4)-(1-I134)*C134</f>
        <v>3.2832357455921866</v>
      </c>
      <c r="N134" s="116">
        <f>J134*D134-L134*Option_Portfolio!$E$5*EXP(-Option_Portfolio!$H$5*Option_Portfolio!$F$5)</f>
        <v>26.45339686480412</v>
      </c>
      <c r="O134" s="120">
        <f>M134 * -Option_Portfolio!$B$4 * 1000 + N134 * Option_Portfolio!$B$5 * 1000</f>
        <v>29924143.510462929</v>
      </c>
      <c r="P134" s="123">
        <f t="shared" si="9"/>
        <v>0.5457394776771296</v>
      </c>
    </row>
    <row r="135" spans="2:16">
      <c r="B135" s="57" t="s">
        <v>165</v>
      </c>
      <c r="C135" s="62">
        <f>$C$17*(1+Underlying_Assets!H126)</f>
        <v>85.166550161812296</v>
      </c>
      <c r="D135" s="8">
        <f>$D$17*(1+Underlying_Assets!I126)</f>
        <v>145.96422110552766</v>
      </c>
      <c r="E135" s="62">
        <f>(LN(C135/Option_Portfolio!$E$4)+(Option_Portfolio!$H$4+0.5*Option_Portfolio!$G$4^2)*Option_Portfolio!$F$4)/(Option_Portfolio!$G$4*SQRT(Option_Portfolio!$F$4))</f>
        <v>0.11798281722810294</v>
      </c>
      <c r="F135" s="63">
        <f>(LN(D135/Option_Portfolio!$E$5)+(Option_Portfolio!$H$5+0.5*Option_Portfolio!$G$5^2)*Option_Portfolio!$F$5)/(Option_Portfolio!$G$5*SQRT(Option_Portfolio!$F$5))</f>
        <v>1.3690216478500725</v>
      </c>
      <c r="G135" s="62">
        <f>E135-Option_Portfolio!$G$4*SQRT(Option_Portfolio!$F$4)</f>
        <v>-2.2253355736101543E-3</v>
      </c>
      <c r="H135" s="63">
        <f>F135-Option_Portfolio!$G$5*SQRT(Option_Portfolio!$F$5)</f>
        <v>1.2134581559890321</v>
      </c>
      <c r="I135" s="115">
        <f t="shared" si="5"/>
        <v>0.54695936367554654</v>
      </c>
      <c r="J135" s="116">
        <f t="shared" si="6"/>
        <v>0.91450374591521655</v>
      </c>
      <c r="K135" s="115">
        <f t="shared" si="7"/>
        <v>0.49911222028433733</v>
      </c>
      <c r="L135" s="116">
        <f t="shared" si="8"/>
        <v>0.88752264838756589</v>
      </c>
      <c r="M135" s="62">
        <f>(1-K135)*Option_Portfolio!$E$4*EXP(-Option_Portfolio!$H$4*Option_Portfolio!$F$4)-(1-I135)*C135</f>
        <v>3.7792071979710471</v>
      </c>
      <c r="N135" s="116">
        <f>J135*D135-L135*Option_Portfolio!$E$5*EXP(-Option_Portfolio!$H$5*Option_Portfolio!$F$5)</f>
        <v>27.513293685189879</v>
      </c>
      <c r="O135" s="120">
        <f>M135 * -Option_Portfolio!$B$4 * 1000 + N135 * Option_Portfolio!$B$5 * 1000</f>
        <v>28572136.984582424</v>
      </c>
      <c r="P135" s="123">
        <f t="shared" si="9"/>
        <v>-4.5181126918729553E-2</v>
      </c>
    </row>
    <row r="136" spans="2:16">
      <c r="B136" s="57" t="s">
        <v>166</v>
      </c>
      <c r="C136" s="62">
        <f>$C$17*(1+Underlying_Assets!H127)</f>
        <v>85.851737619461332</v>
      </c>
      <c r="D136" s="8">
        <f>$D$17*(1+Underlying_Assets!I127)</f>
        <v>144.10703888334996</v>
      </c>
      <c r="E136" s="62">
        <f>(LN(C136/Option_Portfolio!$E$4)+(Option_Portfolio!$H$4+0.5*Option_Portfolio!$G$4^2)*Option_Portfolio!$F$4)/(Option_Portfolio!$G$4*SQRT(Option_Portfolio!$F$4))</f>
        <v>0.18464280758932899</v>
      </c>
      <c r="F136" s="63">
        <f>(LN(D136/Option_Portfolio!$E$5)+(Option_Portfolio!$H$5+0.5*Option_Portfolio!$G$5^2)*Option_Portfolio!$F$5)/(Option_Portfolio!$G$5*SQRT(Option_Portfolio!$F$5))</f>
        <v>1.2867068220732893</v>
      </c>
      <c r="G136" s="62">
        <f>E136-Option_Portfolio!$G$4*SQRT(Option_Portfolio!$F$4)</f>
        <v>6.4434654787615897E-2</v>
      </c>
      <c r="H136" s="63">
        <f>F136-Option_Portfolio!$G$5*SQRT(Option_Portfolio!$F$5)</f>
        <v>1.1311433302122489</v>
      </c>
      <c r="I136" s="115">
        <f t="shared" si="5"/>
        <v>0.57324539620380122</v>
      </c>
      <c r="J136" s="116">
        <f t="shared" si="6"/>
        <v>0.90090175282317875</v>
      </c>
      <c r="K136" s="115">
        <f t="shared" si="7"/>
        <v>0.52568793159088312</v>
      </c>
      <c r="L136" s="116">
        <f t="shared" si="8"/>
        <v>0.87100261532504775</v>
      </c>
      <c r="M136" s="62">
        <f>(1-K136)*Option_Portfolio!$E$4*EXP(-Option_Portfolio!$H$4*Option_Portfolio!$F$4)-(1-I136)*C136</f>
        <v>3.4778220303865481</v>
      </c>
      <c r="N136" s="116">
        <f>J136*D136-L136*Option_Portfolio!$E$5*EXP(-Option_Portfolio!$H$5*Option_Portfolio!$F$5)</f>
        <v>25.827267325221626</v>
      </c>
      <c r="O136" s="120">
        <f>M136 * -Option_Portfolio!$B$4 * 1000 + N136 * Option_Portfolio!$B$5 * 1000</f>
        <v>27309780.43773742</v>
      </c>
      <c r="P136" s="123">
        <f t="shared" si="9"/>
        <v>-4.4181383686007547E-2</v>
      </c>
    </row>
    <row r="137" spans="2:16">
      <c r="B137" s="57" t="s">
        <v>167</v>
      </c>
      <c r="C137" s="62">
        <f>$C$17*(1+Underlying_Assets!H128)</f>
        <v>85.386624728850322</v>
      </c>
      <c r="D137" s="8">
        <f>$D$17*(1+Underlying_Assets!I128)</f>
        <v>143.90062111801245</v>
      </c>
      <c r="E137" s="62">
        <f>(LN(C137/Option_Portfolio!$E$4)+(Option_Portfolio!$H$4+0.5*Option_Portfolio!$G$4^2)*Option_Portfolio!$F$4)/(Option_Portfolio!$G$4*SQRT(Option_Portfolio!$F$4))</f>
        <v>0.13945154756428138</v>
      </c>
      <c r="F137" s="63">
        <f>(LN(D137/Option_Portfolio!$E$5)+(Option_Portfolio!$H$5+0.5*Option_Portfolio!$G$5^2)*Option_Portfolio!$F$5)/(Option_Portfolio!$G$5*SQRT(Option_Portfolio!$F$5))</f>
        <v>1.2774924568834816</v>
      </c>
      <c r="G137" s="62">
        <f>E137-Option_Portfolio!$G$4*SQRT(Option_Portfolio!$F$4)</f>
        <v>1.9243394762568283E-2</v>
      </c>
      <c r="H137" s="63">
        <f>F137-Option_Portfolio!$G$5*SQRT(Option_Portfolio!$F$5)</f>
        <v>1.1219289650224411</v>
      </c>
      <c r="I137" s="115">
        <f t="shared" si="5"/>
        <v>0.55545332940884928</v>
      </c>
      <c r="J137" s="116">
        <f t="shared" si="6"/>
        <v>0.8992857790969373</v>
      </c>
      <c r="K137" s="115">
        <f t="shared" si="7"/>
        <v>0.5076765300059316</v>
      </c>
      <c r="L137" s="116">
        <f t="shared" si="8"/>
        <v>0.86905367798008748</v>
      </c>
      <c r="M137" s="62">
        <f>(1-K137)*Option_Portfolio!$E$4*EXP(-Option_Portfolio!$H$4*Option_Portfolio!$F$4)-(1-I137)*C137</f>
        <v>3.6804399614746544</v>
      </c>
      <c r="N137" s="116">
        <f>J137*D137-L137*Option_Portfolio!$E$5*EXP(-Option_Portfolio!$H$5*Option_Portfolio!$F$5)</f>
        <v>25.641471613226699</v>
      </c>
      <c r="O137" s="120">
        <f>M137 * -Option_Portfolio!$B$4 * 1000 + N137 * Option_Portfolio!$B$5 * 1000</f>
        <v>25519863.496130813</v>
      </c>
      <c r="P137" s="123">
        <f t="shared" si="9"/>
        <v>-6.5541242474921213E-2</v>
      </c>
    </row>
    <row r="138" spans="2:16">
      <c r="B138" s="57" t="s">
        <v>168</v>
      </c>
      <c r="C138" s="62">
        <f>$C$17*(1+Underlying_Assets!H129)</f>
        <v>85.646621651056421</v>
      </c>
      <c r="D138" s="8">
        <f>$D$17*(1+Underlying_Assets!I129)</f>
        <v>145.35467741935483</v>
      </c>
      <c r="E138" s="62">
        <f>(LN(C138/Option_Portfolio!$E$4)+(Option_Portfolio!$H$4+0.5*Option_Portfolio!$G$4^2)*Option_Portfolio!$F$4)/(Option_Portfolio!$G$4*SQRT(Option_Portfolio!$F$4))</f>
        <v>0.16474360005189334</v>
      </c>
      <c r="F138" s="63">
        <f>(LN(D138/Option_Portfolio!$E$5)+(Option_Portfolio!$H$5+0.5*Option_Portfolio!$G$5^2)*Option_Portfolio!$F$5)/(Option_Portfolio!$G$5*SQRT(Option_Portfolio!$F$5))</f>
        <v>1.3421212239133842</v>
      </c>
      <c r="G138" s="62">
        <f>E138-Option_Portfolio!$G$4*SQRT(Option_Portfolio!$F$4)</f>
        <v>4.4535447250180243E-2</v>
      </c>
      <c r="H138" s="63">
        <f>F138-Option_Portfolio!$G$5*SQRT(Option_Portfolio!$F$5)</f>
        <v>1.1865577320523437</v>
      </c>
      <c r="I138" s="115">
        <f t="shared" si="5"/>
        <v>0.56542710103036853</v>
      </c>
      <c r="J138" s="116">
        <f t="shared" si="6"/>
        <v>0.91022165335295269</v>
      </c>
      <c r="K138" s="115">
        <f t="shared" si="7"/>
        <v>0.51776120141160931</v>
      </c>
      <c r="L138" s="116">
        <f t="shared" si="8"/>
        <v>0.88229894168450917</v>
      </c>
      <c r="M138" s="62">
        <f>(1-K138)*Option_Portfolio!$E$4*EXP(-Option_Portfolio!$H$4*Option_Portfolio!$F$4)-(1-I138)*C138</f>
        <v>3.5661572585837007</v>
      </c>
      <c r="N138" s="116">
        <f>J138*D138-L138*Option_Portfolio!$E$5*EXP(-Option_Portfolio!$H$5*Option_Portfolio!$F$5)</f>
        <v>26.95715992068024</v>
      </c>
      <c r="O138" s="120">
        <f>M138 * -Option_Portfolio!$B$4 * 1000 + N138 * Option_Portfolio!$B$5 * 1000</f>
        <v>28951219.031274583</v>
      </c>
      <c r="P138" s="123">
        <f t="shared" si="9"/>
        <v>0.13445822449888944</v>
      </c>
    </row>
    <row r="139" spans="2:16">
      <c r="B139" s="57" t="s">
        <v>169</v>
      </c>
      <c r="C139" s="62">
        <f>$C$17*(1+Underlying_Assets!H130)</f>
        <v>85.403471434801574</v>
      </c>
      <c r="D139" s="8">
        <f>$D$17*(1+Underlying_Assets!I130)</f>
        <v>147.66459128339025</v>
      </c>
      <c r="E139" s="62">
        <f>(LN(C139/Option_Portfolio!$E$4)+(Option_Portfolio!$H$4+0.5*Option_Portfolio!$G$4^2)*Option_Portfolio!$F$4)/(Option_Portfolio!$G$4*SQRT(Option_Portfolio!$F$4))</f>
        <v>0.14109269797605015</v>
      </c>
      <c r="F139" s="63">
        <f>(LN(D139/Option_Portfolio!$E$5)+(Option_Portfolio!$H$5+0.5*Option_Portfolio!$G$5^2)*Option_Portfolio!$F$5)/(Option_Portfolio!$G$5*SQRT(Option_Portfolio!$F$5))</f>
        <v>1.4434728951861751</v>
      </c>
      <c r="G139" s="62">
        <f>E139-Option_Portfolio!$G$4*SQRT(Option_Portfolio!$F$4)</f>
        <v>2.0884545174337049E-2</v>
      </c>
      <c r="H139" s="63">
        <f>F139-Option_Portfolio!$G$5*SQRT(Option_Portfolio!$F$5)</f>
        <v>1.2879094033251346</v>
      </c>
      <c r="I139" s="115">
        <f t="shared" si="5"/>
        <v>0.55610164394122641</v>
      </c>
      <c r="J139" s="116">
        <f t="shared" si="6"/>
        <v>0.92555634873218851</v>
      </c>
      <c r="K139" s="115">
        <f t="shared" si="7"/>
        <v>0.50833112244966405</v>
      </c>
      <c r="L139" s="116">
        <f t="shared" si="8"/>
        <v>0.90111124910402562</v>
      </c>
      <c r="M139" s="62">
        <f>(1-K139)*Option_Portfolio!$E$4*EXP(-Option_Portfolio!$H$4*Option_Portfolio!$F$4)-(1-I139)*C139</f>
        <v>3.6729562758048147</v>
      </c>
      <c r="N139" s="116">
        <f>J139*D139-L139*Option_Portfolio!$E$5*EXP(-Option_Portfolio!$H$5*Option_Portfolio!$F$5)</f>
        <v>29.077867385356271</v>
      </c>
      <c r="O139" s="120">
        <f>M139 * -Option_Portfolio!$B$4 * 1000 + N139 * Option_Portfolio!$B$5 * 1000</f>
        <v>32445040.840078846</v>
      </c>
      <c r="P139" s="123">
        <f t="shared" si="9"/>
        <v>0.12067960955392087</v>
      </c>
    </row>
    <row r="140" spans="2:16">
      <c r="B140" s="57" t="s">
        <v>170</v>
      </c>
      <c r="C140" s="62">
        <f>$C$17*(1+Underlying_Assets!H131)</f>
        <v>86.490788091068296</v>
      </c>
      <c r="D140" s="8">
        <f>$D$17*(1+Underlying_Assets!I131)</f>
        <v>146.15460364352538</v>
      </c>
      <c r="E140" s="62">
        <f>(LN(C140/Option_Portfolio!$E$4)+(Option_Portfolio!$H$4+0.5*Option_Portfolio!$G$4^2)*Option_Portfolio!$F$4)/(Option_Portfolio!$G$4*SQRT(Option_Portfolio!$F$4))</f>
        <v>0.24633650072171823</v>
      </c>
      <c r="F140" s="63">
        <f>(LN(D140/Option_Portfolio!$E$5)+(Option_Portfolio!$H$5+0.5*Option_Portfolio!$G$5^2)*Option_Portfolio!$F$5)/(Option_Portfolio!$G$5*SQRT(Option_Portfolio!$F$5))</f>
        <v>1.3774006044621467</v>
      </c>
      <c r="G140" s="62">
        <f>E140-Option_Portfolio!$G$4*SQRT(Option_Portfolio!$F$4)</f>
        <v>0.12612834792000513</v>
      </c>
      <c r="H140" s="63">
        <f>F140-Option_Portfolio!$G$5*SQRT(Option_Portfolio!$F$5)</f>
        <v>1.2218371126011063</v>
      </c>
      <c r="I140" s="115">
        <f t="shared" si="5"/>
        <v>0.59728912159375569</v>
      </c>
      <c r="J140" s="116">
        <f t="shared" si="6"/>
        <v>0.91580578694564618</v>
      </c>
      <c r="K140" s="115">
        <f t="shared" si="7"/>
        <v>0.55018483586953448</v>
      </c>
      <c r="L140" s="116">
        <f t="shared" si="8"/>
        <v>0.88911538455219941</v>
      </c>
      <c r="M140" s="62">
        <f>(1-K140)*Option_Portfolio!$E$4*EXP(-Option_Portfolio!$H$4*Option_Portfolio!$F$4)-(1-I140)*C140</f>
        <v>3.2128133931905651</v>
      </c>
      <c r="N140" s="116">
        <f>J140*D140-L140*Option_Portfolio!$E$5*EXP(-Option_Portfolio!$H$5*Option_Portfolio!$F$5)</f>
        <v>27.687523436891084</v>
      </c>
      <c r="O140" s="120">
        <f>M140 * -Option_Portfolio!$B$4 * 1000 + N140 * Option_Portfolio!$B$5 * 1000</f>
        <v>32885353.121448211</v>
      </c>
      <c r="P140" s="123">
        <f t="shared" si="9"/>
        <v>1.3571019483059388E-2</v>
      </c>
    </row>
    <row r="141" spans="2:16">
      <c r="B141" s="57" t="s">
        <v>171</v>
      </c>
      <c r="C141" s="62">
        <f>$C$17*(1+Underlying_Assets!H132)</f>
        <v>87.637890624999997</v>
      </c>
      <c r="D141" s="8">
        <f>$D$17*(1+Underlying_Assets!I132)</f>
        <v>146.21268292682927</v>
      </c>
      <c r="E141" s="62">
        <f>(LN(C141/Option_Portfolio!$E$4)+(Option_Portfolio!$H$4+0.5*Option_Portfolio!$G$4^2)*Option_Portfolio!$F$4)/(Option_Portfolio!$G$4*SQRT(Option_Portfolio!$F$4))</f>
        <v>0.35594249072963924</v>
      </c>
      <c r="F141" s="63">
        <f>(LN(D141/Option_Portfolio!$E$5)+(Option_Portfolio!$H$5+0.5*Option_Portfolio!$G$5^2)*Option_Portfolio!$F$5)/(Option_Portfolio!$G$5*SQRT(Option_Portfolio!$F$5))</f>
        <v>1.3799545685711962</v>
      </c>
      <c r="G141" s="62">
        <f>E141-Option_Portfolio!$G$4*SQRT(Option_Portfolio!$F$4)</f>
        <v>0.23573433792792614</v>
      </c>
      <c r="H141" s="63">
        <f>F141-Option_Portfolio!$G$5*SQRT(Option_Portfolio!$F$5)</f>
        <v>1.2243910767101558</v>
      </c>
      <c r="I141" s="115">
        <f t="shared" si="5"/>
        <v>0.63905818304821194</v>
      </c>
      <c r="J141" s="116">
        <f t="shared" si="6"/>
        <v>0.91619968327510548</v>
      </c>
      <c r="K141" s="115">
        <f t="shared" si="7"/>
        <v>0.59318058857067335</v>
      </c>
      <c r="L141" s="116">
        <f t="shared" si="8"/>
        <v>0.889597633052017</v>
      </c>
      <c r="M141" s="62">
        <f>(1-K141)*Option_Portfolio!$E$4*EXP(-Option_Portfolio!$H$4*Option_Portfolio!$F$4)-(1-I141)*C141</f>
        <v>2.7750037717406109</v>
      </c>
      <c r="N141" s="116">
        <f>J141*D141-L141*Option_Portfolio!$E$5*EXP(-Option_Portfolio!$H$5*Option_Portfolio!$F$5)</f>
        <v>27.740724226720843</v>
      </c>
      <c r="O141" s="120">
        <f>M141 * -Option_Portfolio!$B$4 * 1000 + N141 * Option_Portfolio!$B$5 * 1000</f>
        <v>36056422.051257409</v>
      </c>
      <c r="P141" s="123">
        <f t="shared" si="9"/>
        <v>9.6428003010890162E-2</v>
      </c>
    </row>
    <row r="142" spans="2:16">
      <c r="B142" s="57" t="s">
        <v>172</v>
      </c>
      <c r="C142" s="62">
        <f>$C$17*(1+Underlying_Assets!H133)</f>
        <v>86.631987261146506</v>
      </c>
      <c r="D142" s="8">
        <f>$D$17*(1+Underlying_Assets!I133)</f>
        <v>148.36753623188406</v>
      </c>
      <c r="E142" s="62">
        <f>(LN(C142/Option_Portfolio!$E$4)+(Option_Portfolio!$H$4+0.5*Option_Portfolio!$G$4^2)*Option_Portfolio!$F$4)/(Option_Portfolio!$G$4*SQRT(Option_Portfolio!$F$4))</f>
        <v>0.25990632134326047</v>
      </c>
      <c r="F142" s="63">
        <f>(LN(D142/Option_Portfolio!$E$5)+(Option_Portfolio!$H$5+0.5*Option_Portfolio!$G$5^2)*Option_Portfolio!$F$5)/(Option_Portfolio!$G$5*SQRT(Option_Portfolio!$F$5))</f>
        <v>1.4740014043890466</v>
      </c>
      <c r="G142" s="62">
        <f>E142-Option_Portfolio!$G$4*SQRT(Option_Portfolio!$F$4)</f>
        <v>0.13969816854154737</v>
      </c>
      <c r="H142" s="63">
        <f>F142-Option_Portfolio!$G$5*SQRT(Option_Portfolio!$F$5)</f>
        <v>1.3184379125280061</v>
      </c>
      <c r="I142" s="115">
        <f t="shared" si="5"/>
        <v>0.60253198246185424</v>
      </c>
      <c r="J142" s="116">
        <f t="shared" si="6"/>
        <v>0.92975939347981418</v>
      </c>
      <c r="K142" s="115">
        <f t="shared" si="7"/>
        <v>0.55555076324527453</v>
      </c>
      <c r="L142" s="116">
        <f t="shared" si="8"/>
        <v>0.90632145181801516</v>
      </c>
      <c r="M142" s="62">
        <f>(1-K142)*Option_Portfolio!$E$4*EXP(-Option_Portfolio!$H$4*Option_Portfolio!$F$4)-(1-I142)*C142</f>
        <v>3.1563214077044606</v>
      </c>
      <c r="N142" s="116">
        <f>J142*D142-L142*Option_Portfolio!$E$5*EXP(-Option_Portfolio!$H$5*Option_Portfolio!$F$5)</f>
        <v>29.729971932776365</v>
      </c>
      <c r="O142" s="120">
        <f>M142 * -Option_Portfolio!$B$4 * 1000 + N142 * Option_Portfolio!$B$5 * 1000</f>
        <v>37365694.011621505</v>
      </c>
      <c r="P142" s="123">
        <f t="shared" si="9"/>
        <v>3.6311754907429439E-2</v>
      </c>
    </row>
    <row r="143" spans="2:16">
      <c r="B143" s="57" t="s">
        <v>173</v>
      </c>
      <c r="C143" s="62">
        <f>$C$17*(1+Underlying_Assets!H134)</f>
        <v>85.577852490018898</v>
      </c>
      <c r="D143" s="8">
        <f>$D$17*(1+Underlying_Assets!I134)</f>
        <v>143.16152758132955</v>
      </c>
      <c r="E143" s="62">
        <f>(LN(C143/Option_Portfolio!$E$4)+(Option_Portfolio!$H$4+0.5*Option_Portfolio!$G$4^2)*Option_Portfolio!$F$4)/(Option_Portfolio!$G$4*SQRT(Option_Portfolio!$F$4))</f>
        <v>0.15806133065227615</v>
      </c>
      <c r="F143" s="63">
        <f>(LN(D143/Option_Portfolio!$E$5)+(Option_Portfolio!$H$5+0.5*Option_Portfolio!$G$5^2)*Option_Portfolio!$F$5)/(Option_Portfolio!$G$5*SQRT(Option_Portfolio!$F$5))</f>
        <v>1.2443910276823009</v>
      </c>
      <c r="G143" s="62">
        <f>E143-Option_Portfolio!$G$4*SQRT(Option_Portfolio!$F$4)</f>
        <v>3.7853177850563052E-2</v>
      </c>
      <c r="H143" s="63">
        <f>F143-Option_Portfolio!$G$5*SQRT(Option_Portfolio!$F$5)</f>
        <v>1.0888275358212605</v>
      </c>
      <c r="I143" s="115">
        <f t="shared" si="5"/>
        <v>0.56279576441158696</v>
      </c>
      <c r="J143" s="116">
        <f t="shared" si="6"/>
        <v>0.89332215825853822</v>
      </c>
      <c r="K143" s="115">
        <f t="shared" si="7"/>
        <v>0.51509762753390964</v>
      </c>
      <c r="L143" s="116">
        <f t="shared" si="8"/>
        <v>0.86188502681151768</v>
      </c>
      <c r="M143" s="62">
        <f>(1-K143)*Option_Portfolio!$E$4*EXP(-Option_Portfolio!$H$4*Option_Portfolio!$F$4)-(1-I143)*C143</f>
        <v>3.5961329212846564</v>
      </c>
      <c r="N143" s="116">
        <f>J143*D143-L143*Option_Portfolio!$E$5*EXP(-Option_Portfolio!$H$5*Option_Portfolio!$F$5)</f>
        <v>24.979001921728994</v>
      </c>
      <c r="O143" s="120">
        <f>M143 * -Option_Portfolio!$B$4 * 1000 + N143 * Option_Portfolio!$B$5 * 1000</f>
        <v>24785073.394465394</v>
      </c>
      <c r="P143" s="123">
        <f t="shared" si="9"/>
        <v>-0.33668906599843362</v>
      </c>
    </row>
    <row r="144" spans="2:16">
      <c r="B144" s="57" t="s">
        <v>174</v>
      </c>
      <c r="C144" s="62">
        <f>$C$17*(1+Underlying_Assets!H135)</f>
        <v>85.41509052631578</v>
      </c>
      <c r="D144" s="8">
        <f>$D$17*(1+Underlying_Assets!I135)</f>
        <v>142.79752026704818</v>
      </c>
      <c r="E144" s="62">
        <f>(LN(C144/Option_Portfolio!$E$4)+(Option_Portfolio!$H$4+0.5*Option_Portfolio!$G$4^2)*Option_Portfolio!$F$4)/(Option_Portfolio!$G$4*SQRT(Option_Portfolio!$F$4))</f>
        <v>0.14222440284317589</v>
      </c>
      <c r="F144" s="63">
        <f>(LN(D144/Option_Portfolio!$E$5)+(Option_Portfolio!$H$5+0.5*Option_Portfolio!$G$5^2)*Option_Portfolio!$F$5)/(Option_Portfolio!$G$5*SQRT(Option_Portfolio!$F$5))</f>
        <v>1.2280255451363604</v>
      </c>
      <c r="G144" s="62">
        <f>E144-Option_Portfolio!$G$4*SQRT(Option_Portfolio!$F$4)</f>
        <v>2.2016250041462793E-2</v>
      </c>
      <c r="H144" s="63">
        <f>F144-Option_Portfolio!$G$5*SQRT(Option_Portfolio!$F$5)</f>
        <v>1.07246205327532</v>
      </c>
      <c r="I144" s="115">
        <f t="shared" si="5"/>
        <v>0.55654862148188189</v>
      </c>
      <c r="J144" s="116">
        <f t="shared" si="6"/>
        <v>0.89028131066106964</v>
      </c>
      <c r="K144" s="115">
        <f t="shared" si="7"/>
        <v>0.50878250348944598</v>
      </c>
      <c r="L144" s="116">
        <f t="shared" si="8"/>
        <v>0.85824372540440252</v>
      </c>
      <c r="M144" s="62">
        <f>(1-K144)*Option_Portfolio!$E$4*EXP(-Option_Portfolio!$H$4*Option_Portfolio!$F$4)-(1-I144)*C144</f>
        <v>3.6678011770474939</v>
      </c>
      <c r="N144" s="116">
        <f>J144*D144-L144*Option_Portfolio!$E$5*EXP(-Option_Portfolio!$H$5*Option_Portfolio!$F$5)</f>
        <v>24.654377466554536</v>
      </c>
      <c r="O144" s="120">
        <f>M144 * -Option_Portfolio!$B$4 * 1000 + N144 * Option_Portfolio!$B$5 * 1000</f>
        <v>23634146.693776611</v>
      </c>
      <c r="P144" s="123">
        <f t="shared" si="9"/>
        <v>-4.6436283741075779E-2</v>
      </c>
    </row>
    <row r="145" spans="2:16">
      <c r="B145" s="57" t="s">
        <v>175</v>
      </c>
      <c r="C145" s="62">
        <f>$C$17*(1+Underlying_Assets!H136)</f>
        <v>86.555363482671183</v>
      </c>
      <c r="D145" s="8">
        <f>$D$17*(1+Underlying_Assets!I136)</f>
        <v>145.22011605415861</v>
      </c>
      <c r="E145" s="62">
        <f>(LN(C145/Option_Portfolio!$E$4)+(Option_Portfolio!$H$4+0.5*Option_Portfolio!$G$4^2)*Option_Portfolio!$F$4)/(Option_Portfolio!$G$4*SQRT(Option_Portfolio!$F$4))</f>
        <v>0.25254520815468767</v>
      </c>
      <c r="F145" s="63">
        <f>(LN(D145/Option_Portfolio!$E$5)+(Option_Portfolio!$H$5+0.5*Option_Portfolio!$G$5^2)*Option_Portfolio!$F$5)/(Option_Portfolio!$G$5*SQRT(Option_Portfolio!$F$5))</f>
        <v>1.3361675534796817</v>
      </c>
      <c r="G145" s="62">
        <f>E145-Option_Portfolio!$G$4*SQRT(Option_Portfolio!$F$4)</f>
        <v>0.13233705535297458</v>
      </c>
      <c r="H145" s="63">
        <f>F145-Option_Portfolio!$G$5*SQRT(Option_Portfolio!$F$5)</f>
        <v>1.1806040616186413</v>
      </c>
      <c r="I145" s="115">
        <f t="shared" si="5"/>
        <v>0.59969016242271311</v>
      </c>
      <c r="J145" s="116">
        <f t="shared" si="6"/>
        <v>0.9092527431095625</v>
      </c>
      <c r="K145" s="115">
        <f t="shared" si="7"/>
        <v>0.55264115041245931</v>
      </c>
      <c r="L145" s="116">
        <f t="shared" si="8"/>
        <v>0.88111997531313513</v>
      </c>
      <c r="M145" s="62">
        <f>(1-K145)*Option_Portfolio!$E$4*EXP(-Option_Portfolio!$H$4*Option_Portfolio!$F$4)-(1-I145)*C145</f>
        <v>3.1868857342441004</v>
      </c>
      <c r="N145" s="116">
        <f>J145*D145-L145*Option_Portfolio!$E$5*EXP(-Option_Portfolio!$H$5*Option_Portfolio!$F$5)</f>
        <v>26.834744344630622</v>
      </c>
      <c r="O145" s="120">
        <f>M145 * -Option_Portfolio!$B$4 * 1000 + N145 * Option_Portfolio!$B$5 * 1000</f>
        <v>31361288.549552538</v>
      </c>
      <c r="P145" s="123">
        <f t="shared" si="9"/>
        <v>0.32694820574210337</v>
      </c>
    </row>
    <row r="146" spans="2:16">
      <c r="B146" s="57" t="s">
        <v>176</v>
      </c>
      <c r="C146" s="62">
        <f>$C$17*(1+Underlying_Assets!H137)</f>
        <v>85.632308980531704</v>
      </c>
      <c r="D146" s="8">
        <f>$D$17*(1+Underlying_Assets!I137)</f>
        <v>150.31552555448411</v>
      </c>
      <c r="E146" s="62">
        <f>(LN(C146/Option_Portfolio!$E$4)+(Option_Portfolio!$H$4+0.5*Option_Portfolio!$G$4^2)*Option_Portfolio!$F$4)/(Option_Portfolio!$G$4*SQRT(Option_Portfolio!$F$4))</f>
        <v>0.16335328634531507</v>
      </c>
      <c r="F146" s="63">
        <f>(LN(D146/Option_Portfolio!$E$5)+(Option_Portfolio!$H$5+0.5*Option_Portfolio!$G$5^2)*Option_Portfolio!$F$5)/(Option_Portfolio!$G$5*SQRT(Option_Portfolio!$F$5))</f>
        <v>1.5578516710137804</v>
      </c>
      <c r="G146" s="62">
        <f>E146-Option_Portfolio!$G$4*SQRT(Option_Portfolio!$F$4)</f>
        <v>4.3145133543601971E-2</v>
      </c>
      <c r="H146" s="63">
        <f>F146-Option_Portfolio!$G$5*SQRT(Option_Portfolio!$F$5)</f>
        <v>1.40228817915274</v>
      </c>
      <c r="I146" s="115">
        <f t="shared" ref="I146:I209" si="10">_xlfn.NORM.S.DIST(E146,TRUE)</f>
        <v>0.56487985957013365</v>
      </c>
      <c r="J146" s="116">
        <f t="shared" ref="J146:J209" si="11">_xlfn.NORM.S.DIST(F146,TRUE)</f>
        <v>0.94036579302339585</v>
      </c>
      <c r="K146" s="115">
        <f t="shared" ref="K146:K209" si="12">_xlfn.NORM.S.DIST(G146,TRUE)</f>
        <v>0.51720707929490239</v>
      </c>
      <c r="L146" s="116">
        <f t="shared" ref="L146:L209" si="13">_xlfn.NORM.S.DIST(H146,TRUE)</f>
        <v>0.91958539556258945</v>
      </c>
      <c r="M146" s="62">
        <f>(1-K146)*Option_Portfolio!$E$4*EXP(-Option_Portfolio!$H$4*Option_Portfolio!$F$4)-(1-I146)*C146</f>
        <v>3.5723810732910337</v>
      </c>
      <c r="N146" s="116">
        <f>J146*D146-L146*Option_Portfolio!$E$5*EXP(-Option_Portfolio!$H$5*Option_Portfolio!$F$5)</f>
        <v>31.551705079597099</v>
      </c>
      <c r="O146" s="120">
        <f>M146 * -Option_Portfolio!$B$4 * 1000 + N146 * Option_Portfolio!$B$5 * 1000</f>
        <v>38096742.646156959</v>
      </c>
      <c r="P146" s="123">
        <f t="shared" si="9"/>
        <v>0.21476968607211533</v>
      </c>
    </row>
    <row r="147" spans="2:16">
      <c r="B147" s="57" t="s">
        <v>177</v>
      </c>
      <c r="C147" s="62">
        <f>$C$17*(1+Underlying_Assets!H138)</f>
        <v>86.818264514776772</v>
      </c>
      <c r="D147" s="8">
        <f>$D$17*(1+Underlying_Assets!I138)</f>
        <v>148.09549465861591</v>
      </c>
      <c r="E147" s="62">
        <f>(LN(C147/Option_Portfolio!$E$4)+(Option_Portfolio!$H$4+0.5*Option_Portfolio!$G$4^2)*Option_Portfolio!$F$4)/(Option_Portfolio!$G$4*SQRT(Option_Portfolio!$F$4))</f>
        <v>0.27777453475134278</v>
      </c>
      <c r="F147" s="63">
        <f>(LN(D147/Option_Portfolio!$E$5)+(Option_Portfolio!$H$5+0.5*Option_Portfolio!$G$5^2)*Option_Portfolio!$F$5)/(Option_Portfolio!$G$5*SQRT(Option_Portfolio!$F$5))</f>
        <v>1.4622039809380181</v>
      </c>
      <c r="G147" s="62">
        <f>E147-Option_Portfolio!$G$4*SQRT(Option_Portfolio!$F$4)</f>
        <v>0.15756638194962969</v>
      </c>
      <c r="H147" s="63">
        <f>F147-Option_Portfolio!$G$5*SQRT(Option_Portfolio!$F$5)</f>
        <v>1.3066404890769776</v>
      </c>
      <c r="I147" s="115">
        <f t="shared" si="10"/>
        <v>0.60940727974927833</v>
      </c>
      <c r="J147" s="116">
        <f t="shared" si="11"/>
        <v>0.92815733946606582</v>
      </c>
      <c r="K147" s="115">
        <f t="shared" si="12"/>
        <v>0.56260075204471605</v>
      </c>
      <c r="L147" s="116">
        <f t="shared" si="13"/>
        <v>0.90433258062656119</v>
      </c>
      <c r="M147" s="62">
        <f>(1-K147)*Option_Portfolio!$E$4*EXP(-Option_Portfolio!$H$4*Option_Portfolio!$F$4)-(1-I147)*C147</f>
        <v>3.0829232546518028</v>
      </c>
      <c r="N147" s="116">
        <f>J147*D147-L147*Option_Portfolio!$E$5*EXP(-Option_Portfolio!$H$5*Option_Portfolio!$F$5)</f>
        <v>29.477255941577795</v>
      </c>
      <c r="O147" s="120">
        <f>M147 * -Option_Portfolio!$B$4 * 1000 + N147 * Option_Portfolio!$B$5 * 1000</f>
        <v>37374049.100592971</v>
      </c>
      <c r="P147" s="123">
        <f t="shared" ref="P147:P210" si="14">(O147/O146)-1</f>
        <v>-1.8969956362841156E-2</v>
      </c>
    </row>
    <row r="148" spans="2:16">
      <c r="B148" s="57" t="s">
        <v>178</v>
      </c>
      <c r="C148" s="62">
        <f>$C$17*(1+Underlying_Assets!H139)</f>
        <v>84.568640033119422</v>
      </c>
      <c r="D148" s="8">
        <f>$D$17*(1+Underlying_Assets!I139)</f>
        <v>145.0630336058129</v>
      </c>
      <c r="E148" s="62">
        <f>(LN(C148/Option_Portfolio!$E$4)+(Option_Portfolio!$H$4+0.5*Option_Portfolio!$G$4^2)*Option_Portfolio!$F$4)/(Option_Portfolio!$G$4*SQRT(Option_Portfolio!$F$4))</f>
        <v>5.9374144324331898E-2</v>
      </c>
      <c r="F148" s="63">
        <f>(LN(D148/Option_Portfolio!$E$5)+(Option_Portfolio!$H$5+0.5*Option_Portfolio!$G$5^2)*Option_Portfolio!$F$5)/(Option_Portfolio!$G$5*SQRT(Option_Portfolio!$F$5))</f>
        <v>1.3292104543725405</v>
      </c>
      <c r="G148" s="62">
        <f>E148-Option_Portfolio!$G$4*SQRT(Option_Portfolio!$F$4)</f>
        <v>-6.0834008477381199E-2</v>
      </c>
      <c r="H148" s="63">
        <f>F148-Option_Portfolio!$G$5*SQRT(Option_Portfolio!$F$5)</f>
        <v>1.1736469625115</v>
      </c>
      <c r="I148" s="115">
        <f t="shared" si="10"/>
        <v>0.52367294672066511</v>
      </c>
      <c r="J148" s="116">
        <f t="shared" si="11"/>
        <v>0.90811072652466918</v>
      </c>
      <c r="K148" s="115">
        <f t="shared" si="12"/>
        <v>0.47574570280976775</v>
      </c>
      <c r="L148" s="116">
        <f t="shared" si="13"/>
        <v>0.87973176884758097</v>
      </c>
      <c r="M148" s="62">
        <f>(1-K148)*Option_Portfolio!$E$4*EXP(-Option_Portfolio!$H$4*Option_Portfolio!$F$4)-(1-I148)*C148</f>
        <v>4.0570321710303929</v>
      </c>
      <c r="N148" s="116">
        <f>J148*D148-L148*Option_Portfolio!$E$5*EXP(-Option_Portfolio!$H$5*Option_Portfolio!$F$5)</f>
        <v>26.692006238175836</v>
      </c>
      <c r="O148" s="120">
        <f>M148 * -Option_Portfolio!$B$4 * 1000 + N148 * Option_Portfolio!$B$5 * 1000</f>
        <v>24984787.279138923</v>
      </c>
      <c r="P148" s="123">
        <f t="shared" si="14"/>
        <v>-0.33149370002988199</v>
      </c>
    </row>
    <row r="149" spans="2:16">
      <c r="B149" s="57" t="s">
        <v>179</v>
      </c>
      <c r="C149" s="62">
        <f>$C$17*(1+Underlying_Assets!H140)</f>
        <v>85.524075550891922</v>
      </c>
      <c r="D149" s="8">
        <f>$D$17*(1+Underlying_Assets!I140)</f>
        <v>145.32511332728922</v>
      </c>
      <c r="E149" s="62">
        <f>(LN(C149/Option_Portfolio!$E$4)+(Option_Portfolio!$H$4+0.5*Option_Portfolio!$G$4^2)*Option_Portfolio!$F$4)/(Option_Portfolio!$G$4*SQRT(Option_Portfolio!$F$4))</f>
        <v>0.15283210645060039</v>
      </c>
      <c r="F149" s="63">
        <f>(LN(D149/Option_Portfolio!$E$5)+(Option_Portfolio!$H$5+0.5*Option_Portfolio!$G$5^2)*Option_Portfolio!$F$5)/(Option_Portfolio!$G$5*SQRT(Option_Portfolio!$F$5))</f>
        <v>1.340813632616471</v>
      </c>
      <c r="G149" s="62">
        <f>E149-Option_Portfolio!$G$4*SQRT(Option_Portfolio!$F$4)</f>
        <v>3.2623953648887288E-2</v>
      </c>
      <c r="H149" s="63">
        <f>F149-Option_Portfolio!$G$5*SQRT(Option_Portfolio!$F$5)</f>
        <v>1.1852501407554306</v>
      </c>
      <c r="I149" s="115">
        <f t="shared" si="10"/>
        <v>0.56073466106474124</v>
      </c>
      <c r="J149" s="116">
        <f t="shared" si="11"/>
        <v>0.91000951554261089</v>
      </c>
      <c r="K149" s="115">
        <f t="shared" si="12"/>
        <v>0.5130127661271553</v>
      </c>
      <c r="L149" s="116">
        <f t="shared" si="13"/>
        <v>0.88204071974607889</v>
      </c>
      <c r="M149" s="62">
        <f>(1-K149)*Option_Portfolio!$E$4*EXP(-Option_Portfolio!$H$4*Option_Portfolio!$F$4)-(1-I149)*C149</f>
        <v>3.6196998334482728</v>
      </c>
      <c r="N149" s="116">
        <f>J149*D149-L149*Option_Portfolio!$E$5*EXP(-Option_Portfolio!$H$5*Option_Portfolio!$F$5)</f>
        <v>26.930253178728222</v>
      </c>
      <c r="O149" s="120">
        <f>M149 * -Option_Portfolio!$B$4 * 1000 + N149 * Option_Portfolio!$B$5 * 1000</f>
        <v>28522607.523318529</v>
      </c>
      <c r="P149" s="123">
        <f t="shared" si="14"/>
        <v>0.1415989739938075</v>
      </c>
    </row>
    <row r="150" spans="2:16">
      <c r="B150" s="57" t="s">
        <v>180</v>
      </c>
      <c r="C150" s="62">
        <f>$C$17*(1+Underlying_Assets!H141)</f>
        <v>84.152556280244042</v>
      </c>
      <c r="D150" s="8">
        <f>$D$17*(1+Underlying_Assets!I141)</f>
        <v>145.45401987353208</v>
      </c>
      <c r="E150" s="62">
        <f>(LN(C150/Option_Portfolio!$E$4)+(Option_Portfolio!$H$4+0.5*Option_Portfolio!$G$4^2)*Option_Portfolio!$F$4)/(Option_Portfolio!$G$4*SQRT(Option_Portfolio!$F$4))</f>
        <v>1.8343525755582124E-2</v>
      </c>
      <c r="F150" s="63">
        <f>(LN(D150/Option_Portfolio!$E$5)+(Option_Portfolio!$H$5+0.5*Option_Portfolio!$G$5^2)*Option_Portfolio!$F$5)/(Option_Portfolio!$G$5*SQRT(Option_Portfolio!$F$5))</f>
        <v>1.3465130974211592</v>
      </c>
      <c r="G150" s="62">
        <f>E150-Option_Portfolio!$G$4*SQRT(Option_Portfolio!$F$4)</f>
        <v>-0.10186462704613097</v>
      </c>
      <c r="H150" s="63">
        <f>F150-Option_Portfolio!$G$5*SQRT(Option_Portfolio!$F$5)</f>
        <v>1.1909496055601188</v>
      </c>
      <c r="I150" s="115">
        <f t="shared" si="10"/>
        <v>0.50731759761633743</v>
      </c>
      <c r="J150" s="116">
        <f t="shared" si="11"/>
        <v>0.91093145033152201</v>
      </c>
      <c r="K150" s="115">
        <f t="shared" si="12"/>
        <v>0.45943206369837897</v>
      </c>
      <c r="L150" s="116">
        <f t="shared" si="13"/>
        <v>0.88316331550553273</v>
      </c>
      <c r="M150" s="62">
        <f>(1-K150)*Option_Portfolio!$E$4*EXP(-Option_Portfolio!$H$4*Option_Portfolio!$F$4)-(1-I150)*C150</f>
        <v>4.2586230152045701</v>
      </c>
      <c r="N150" s="116">
        <f>J150*D150-L150*Option_Portfolio!$E$5*EXP(-Option_Portfolio!$H$5*Option_Portfolio!$F$5)</f>
        <v>27.047618868763905</v>
      </c>
      <c r="O150" s="120">
        <f>M150 * -Option_Portfolio!$B$4 * 1000 + N150 * Option_Portfolio!$B$5 * 1000</f>
        <v>24284876.631095819</v>
      </c>
      <c r="P150" s="123">
        <f t="shared" si="14"/>
        <v>-0.14857445585079032</v>
      </c>
    </row>
    <row r="151" spans="2:16">
      <c r="B151" s="57" t="s">
        <v>181</v>
      </c>
      <c r="C151" s="62">
        <f>$C$17*(1+Underlying_Assets!H142)</f>
        <v>84.931305466237944</v>
      </c>
      <c r="D151" s="8">
        <f>$D$17*(1+Underlying_Assets!I142)</f>
        <v>145.90683453237412</v>
      </c>
      <c r="E151" s="62">
        <f>(LN(C151/Option_Portfolio!$E$4)+(Option_Portfolio!$H$4+0.5*Option_Portfolio!$G$4^2)*Option_Portfolio!$F$4)/(Option_Portfolio!$G$4*SQRT(Option_Portfolio!$F$4))</f>
        <v>9.4972778486735826E-2</v>
      </c>
      <c r="F151" s="63">
        <f>(LN(D151/Option_Portfolio!$E$5)+(Option_Portfolio!$H$5+0.5*Option_Portfolio!$G$5^2)*Option_Portfolio!$F$5)/(Option_Portfolio!$G$5*SQRT(Option_Portfolio!$F$5))</f>
        <v>1.3664938544186931</v>
      </c>
      <c r="G151" s="62">
        <f>E151-Option_Portfolio!$G$4*SQRT(Option_Portfolio!$F$4)</f>
        <v>-2.5235374314977271E-2</v>
      </c>
      <c r="H151" s="63">
        <f>F151-Option_Portfolio!$G$5*SQRT(Option_Portfolio!$F$5)</f>
        <v>1.2109303625576526</v>
      </c>
      <c r="I151" s="115">
        <f t="shared" si="10"/>
        <v>0.53783177560711437</v>
      </c>
      <c r="J151" s="116">
        <f t="shared" si="11"/>
        <v>0.91410799575429336</v>
      </c>
      <c r="K151" s="115">
        <f t="shared" si="12"/>
        <v>0.48993361065525459</v>
      </c>
      <c r="L151" s="116">
        <f t="shared" si="13"/>
        <v>0.88703895260033627</v>
      </c>
      <c r="M151" s="62">
        <f>(1-K151)*Option_Portfolio!$E$4*EXP(-Option_Portfolio!$H$4*Option_Portfolio!$F$4)-(1-I151)*C151</f>
        <v>3.8868552795549149</v>
      </c>
      <c r="N151" s="116">
        <f>J151*D151-L151*Option_Portfolio!$E$5*EXP(-Option_Portfolio!$H$5*Option_Portfolio!$F$5)</f>
        <v>27.460824797160925</v>
      </c>
      <c r="O151" s="120">
        <f>M151 * -Option_Portfolio!$B$4 * 1000 + N151 * Option_Portfolio!$B$5 * 1000</f>
        <v>27713662.637437444</v>
      </c>
      <c r="P151" s="123">
        <f t="shared" si="14"/>
        <v>0.1411901760271328</v>
      </c>
    </row>
    <row r="152" spans="2:16">
      <c r="B152" s="57" t="s">
        <v>182</v>
      </c>
      <c r="C152" s="62">
        <f>$C$17*(1+Underlying_Assets!H143)</f>
        <v>85.016377407487553</v>
      </c>
      <c r="D152" s="8">
        <f>$D$17*(1+Underlying_Assets!I143)</f>
        <v>144.47692994199019</v>
      </c>
      <c r="E152" s="62">
        <f>(LN(C152/Option_Portfolio!$E$4)+(Option_Portfolio!$H$4+0.5*Option_Portfolio!$G$4^2)*Option_Portfolio!$F$4)/(Option_Portfolio!$G$4*SQRT(Option_Portfolio!$F$4))</f>
        <v>0.10330128642083329</v>
      </c>
      <c r="F152" s="63">
        <f>(LN(D152/Option_Portfolio!$E$5)+(Option_Portfolio!$H$5+0.5*Option_Portfolio!$G$5^2)*Option_Portfolio!$F$5)/(Option_Portfolio!$G$5*SQRT(Option_Portfolio!$F$5))</f>
        <v>1.3031855689169207</v>
      </c>
      <c r="G152" s="62">
        <f>E152-Option_Portfolio!$G$4*SQRT(Option_Portfolio!$F$4)</f>
        <v>-1.6906866380879806E-2</v>
      </c>
      <c r="H152" s="63">
        <f>F152-Option_Portfolio!$G$5*SQRT(Option_Portfolio!$F$5)</f>
        <v>1.1476220770558803</v>
      </c>
      <c r="I152" s="115">
        <f t="shared" si="10"/>
        <v>0.54113807266658687</v>
      </c>
      <c r="J152" s="116">
        <f t="shared" si="11"/>
        <v>0.90374429214815499</v>
      </c>
      <c r="K152" s="115">
        <f t="shared" si="12"/>
        <v>0.49325545748550076</v>
      </c>
      <c r="L152" s="116">
        <f t="shared" si="13"/>
        <v>0.87443769406574035</v>
      </c>
      <c r="M152" s="62">
        <f>(1-K152)*Option_Portfolio!$E$4*EXP(-Option_Portfolio!$H$4*Option_Portfolio!$F$4)-(1-I152)*C152</f>
        <v>3.8476784108960587</v>
      </c>
      <c r="N152" s="116">
        <f>J152*D152-L152*Option_Portfolio!$E$5*EXP(-Option_Portfolio!$H$5*Option_Portfolio!$F$5)</f>
        <v>26.161030637536371</v>
      </c>
      <c r="O152" s="120">
        <f>M152 * -Option_Portfolio!$B$4 * 1000 + N152 * Option_Portfolio!$B$5 * 1000</f>
        <v>25388312.398800328</v>
      </c>
      <c r="P152" s="123">
        <f t="shared" si="14"/>
        <v>-8.3906276447771933E-2</v>
      </c>
    </row>
    <row r="153" spans="2:16">
      <c r="B153" s="57" t="s">
        <v>183</v>
      </c>
      <c r="C153" s="62">
        <f>$C$17*(1+Underlying_Assets!H144)</f>
        <v>85.309615888258406</v>
      </c>
      <c r="D153" s="8">
        <f>$D$17*(1+Underlying_Assets!I144)</f>
        <v>146.80751341681577</v>
      </c>
      <c r="E153" s="62">
        <f>(LN(C153/Option_Portfolio!$E$4)+(Option_Portfolio!$H$4+0.5*Option_Portfolio!$G$4^2)*Option_Portfolio!$F$4)/(Option_Portfolio!$G$4*SQRT(Option_Portfolio!$F$4))</f>
        <v>0.1319454754926502</v>
      </c>
      <c r="F153" s="63">
        <f>(LN(D153/Option_Portfolio!$E$5)+(Option_Portfolio!$H$5+0.5*Option_Portfolio!$G$5^2)*Option_Portfolio!$F$5)/(Option_Portfolio!$G$5*SQRT(Option_Portfolio!$F$5))</f>
        <v>1.4060532505756158</v>
      </c>
      <c r="G153" s="62">
        <f>E153-Option_Portfolio!$G$4*SQRT(Option_Portfolio!$F$4)</f>
        <v>1.1737322690937108E-2</v>
      </c>
      <c r="H153" s="63">
        <f>F153-Option_Portfolio!$G$5*SQRT(Option_Portfolio!$F$5)</f>
        <v>1.2504897587145754</v>
      </c>
      <c r="I153" s="115">
        <f t="shared" si="10"/>
        <v>0.55248629059818621</v>
      </c>
      <c r="J153" s="116">
        <f t="shared" si="11"/>
        <v>0.92014584355634932</v>
      </c>
      <c r="K153" s="115">
        <f t="shared" si="12"/>
        <v>0.50468240676812148</v>
      </c>
      <c r="L153" s="116">
        <f t="shared" si="13"/>
        <v>0.89443965293464378</v>
      </c>
      <c r="M153" s="62">
        <f>(1-K153)*Option_Portfolio!$E$4*EXP(-Option_Portfolio!$H$4*Option_Portfolio!$F$4)-(1-I153)*C153</f>
        <v>3.7147881927009081</v>
      </c>
      <c r="N153" s="116">
        <f>J153*D153-L153*Option_Portfolio!$E$5*EXP(-Option_Portfolio!$H$5*Option_Portfolio!$F$5)</f>
        <v>28.286889286756946</v>
      </c>
      <c r="O153" s="120">
        <f>M153 * -Option_Portfolio!$B$4 * 1000 + N153 * Option_Portfolio!$B$5 * 1000</f>
        <v>30570261.224607531</v>
      </c>
      <c r="P153" s="123">
        <f t="shared" si="14"/>
        <v>0.20410765175758838</v>
      </c>
    </row>
    <row r="154" spans="2:16">
      <c r="B154" s="57" t="s">
        <v>184</v>
      </c>
      <c r="C154" s="62">
        <f>$C$17*(1+Underlying_Assets!H145)</f>
        <v>88.52339986839219</v>
      </c>
      <c r="D154" s="8">
        <f>$D$17*(1+Underlying_Assets!I145)</f>
        <v>143.26704896338777</v>
      </c>
      <c r="E154" s="62">
        <f>(LN(C154/Option_Portfolio!$E$4)+(Option_Portfolio!$H$4+0.5*Option_Portfolio!$G$4^2)*Option_Portfolio!$F$4)/(Option_Portfolio!$G$4*SQRT(Option_Portfolio!$F$4))</f>
        <v>0.43957639008377231</v>
      </c>
      <c r="F154" s="63">
        <f>(LN(D154/Option_Portfolio!$E$5)+(Option_Portfolio!$H$5+0.5*Option_Portfolio!$G$5^2)*Option_Portfolio!$F$5)/(Option_Portfolio!$G$5*SQRT(Option_Portfolio!$F$5))</f>
        <v>1.2491274068071683</v>
      </c>
      <c r="G154" s="62">
        <f>E154-Option_Portfolio!$G$4*SQRT(Option_Portfolio!$F$4)</f>
        <v>0.31936823728205921</v>
      </c>
      <c r="H154" s="63">
        <f>F154-Option_Portfolio!$G$5*SQRT(Option_Portfolio!$F$5)</f>
        <v>1.0935639149461278</v>
      </c>
      <c r="I154" s="115">
        <f t="shared" si="10"/>
        <v>0.66987802811955111</v>
      </c>
      <c r="J154" s="116">
        <f t="shared" si="11"/>
        <v>0.89419076105289963</v>
      </c>
      <c r="K154" s="115">
        <f t="shared" si="12"/>
        <v>0.6252763531773986</v>
      </c>
      <c r="L154" s="116">
        <f t="shared" si="13"/>
        <v>0.86292685863822061</v>
      </c>
      <c r="M154" s="62">
        <f>(1-K154)*Option_Portfolio!$E$4*EXP(-Option_Portfolio!$H$4*Option_Portfolio!$F$4)-(1-I154)*C154</f>
        <v>2.469130589036677</v>
      </c>
      <c r="N154" s="116">
        <f>J154*D154-L154*Option_Portfolio!$E$5*EXP(-Option_Portfolio!$H$5*Option_Portfolio!$F$5)</f>
        <v>25.073312389306423</v>
      </c>
      <c r="O154" s="120">
        <f>M154 * -Option_Portfolio!$B$4 * 1000 + N154 * Option_Portfolio!$B$5 * 1000</f>
        <v>32862710.655356105</v>
      </c>
      <c r="P154" s="123">
        <f t="shared" si="14"/>
        <v>7.4989527040850712E-2</v>
      </c>
    </row>
    <row r="155" spans="2:16">
      <c r="B155" s="57" t="s">
        <v>185</v>
      </c>
      <c r="C155" s="62">
        <f>$C$17*(1+Underlying_Assets!H146)</f>
        <v>87.033295092415543</v>
      </c>
      <c r="D155" s="8">
        <f>$D$17*(1+Underlying_Assets!I146)</f>
        <v>148.0923762817655</v>
      </c>
      <c r="E155" s="62">
        <f>(LN(C155/Option_Portfolio!$E$4)+(Option_Portfolio!$H$4+0.5*Option_Portfolio!$G$4^2)*Option_Portfolio!$F$4)/(Option_Portfolio!$G$4*SQRT(Option_Portfolio!$F$4))</f>
        <v>0.29835323418775561</v>
      </c>
      <c r="F155" s="63">
        <f>(LN(D155/Option_Portfolio!$E$5)+(Option_Portfolio!$H$5+0.5*Option_Portfolio!$G$5^2)*Option_Portfolio!$F$5)/(Option_Portfolio!$G$5*SQRT(Option_Portfolio!$F$5))</f>
        <v>1.4620686230278639</v>
      </c>
      <c r="G155" s="62">
        <f>E155-Option_Portfolio!$G$4*SQRT(Option_Portfolio!$F$4)</f>
        <v>0.17814508138604251</v>
      </c>
      <c r="H155" s="63">
        <f>F155-Option_Portfolio!$G$5*SQRT(Option_Portfolio!$F$5)</f>
        <v>1.3065051311668234</v>
      </c>
      <c r="I155" s="115">
        <f t="shared" si="10"/>
        <v>0.61728321089238924</v>
      </c>
      <c r="J155" s="116">
        <f t="shared" si="11"/>
        <v>0.92813879701711655</v>
      </c>
      <c r="K155" s="115">
        <f t="shared" si="12"/>
        <v>0.57069548079711951</v>
      </c>
      <c r="L155" s="116">
        <f t="shared" si="13"/>
        <v>0.90430958238705417</v>
      </c>
      <c r="M155" s="62">
        <f>(1-K155)*Option_Portfolio!$E$4*EXP(-Option_Portfolio!$H$4*Option_Portfolio!$F$4)-(1-I155)*C155</f>
        <v>2.9997818451333984</v>
      </c>
      <c r="N155" s="116">
        <f>J155*D155-L155*Option_Portfolio!$E$5*EXP(-Option_Portfolio!$H$5*Option_Portfolio!$F$5)</f>
        <v>29.474361626126935</v>
      </c>
      <c r="O155" s="120">
        <f>M155 * -Option_Portfolio!$B$4 * 1000 + N155 * Option_Portfolio!$B$5 * 1000</f>
        <v>37950250.33632008</v>
      </c>
      <c r="P155" s="123">
        <f t="shared" si="14"/>
        <v>0.15481193058962672</v>
      </c>
    </row>
    <row r="156" spans="2:16">
      <c r="B156" s="57" t="s">
        <v>186</v>
      </c>
      <c r="C156" s="62">
        <f>$C$17*(1+Underlying_Assets!H147)</f>
        <v>86.547513604018405</v>
      </c>
      <c r="D156" s="8">
        <f>$D$17*(1+Underlying_Assets!I147)</f>
        <v>143.3482127288579</v>
      </c>
      <c r="E156" s="62">
        <f>(LN(C156/Option_Portfolio!$E$4)+(Option_Portfolio!$H$4+0.5*Option_Portfolio!$G$4^2)*Option_Portfolio!$F$4)/(Option_Portfolio!$G$4*SQRT(Option_Portfolio!$F$4))</f>
        <v>0.25179071599792696</v>
      </c>
      <c r="F156" s="63">
        <f>(LN(D156/Option_Portfolio!$E$5)+(Option_Portfolio!$H$5+0.5*Option_Portfolio!$G$5^2)*Option_Portfolio!$F$5)/(Option_Portfolio!$G$5*SQRT(Option_Portfolio!$F$5))</f>
        <v>1.2527681093703955</v>
      </c>
      <c r="G156" s="62">
        <f>E156-Option_Portfolio!$G$4*SQRT(Option_Portfolio!$F$4)</f>
        <v>0.13158256319621386</v>
      </c>
      <c r="H156" s="63">
        <f>F156-Option_Portfolio!$G$5*SQRT(Option_Portfolio!$F$5)</f>
        <v>1.0972046175093551</v>
      </c>
      <c r="I156" s="115">
        <f t="shared" si="10"/>
        <v>0.59939858312943439</v>
      </c>
      <c r="J156" s="116">
        <f t="shared" si="11"/>
        <v>0.89485494463206405</v>
      </c>
      <c r="K156" s="115">
        <f t="shared" si="12"/>
        <v>0.5523427609271736</v>
      </c>
      <c r="L156" s="116">
        <f t="shared" si="13"/>
        <v>0.86372402244406654</v>
      </c>
      <c r="M156" s="62">
        <f>(1-K156)*Option_Portfolio!$E$4*EXP(-Option_Portfolio!$H$4*Option_Portfolio!$F$4)-(1-I156)*C156</f>
        <v>3.1900292622700377</v>
      </c>
      <c r="N156" s="116">
        <f>J156*D156-L156*Option_Portfolio!$E$5*EXP(-Option_Portfolio!$H$5*Option_Portfolio!$F$5)</f>
        <v>25.145915255345898</v>
      </c>
      <c r="O156" s="120">
        <f>M156 * -Option_Portfolio!$B$4 * 1000 + N156 * Option_Portfolio!$B$5 * 1000</f>
        <v>27961625.674801536</v>
      </c>
      <c r="P156" s="123">
        <f t="shared" si="14"/>
        <v>-0.26320312970265136</v>
      </c>
    </row>
    <row r="157" spans="2:16">
      <c r="B157" s="57" t="s">
        <v>187</v>
      </c>
      <c r="C157" s="62">
        <f>$C$17*(1+Underlying_Assets!H148)</f>
        <v>86.753307070288187</v>
      </c>
      <c r="D157" s="8">
        <f>$D$17*(1+Underlying_Assets!I148)</f>
        <v>142.2495816820784</v>
      </c>
      <c r="E157" s="62">
        <f>(LN(C157/Option_Portfolio!$E$4)+(Option_Portfolio!$H$4+0.5*Option_Portfolio!$G$4^2)*Option_Portfolio!$F$4)/(Option_Portfolio!$G$4*SQRT(Option_Portfolio!$F$4))</f>
        <v>0.2715479998397422</v>
      </c>
      <c r="F157" s="63">
        <f>(LN(D157/Option_Portfolio!$E$5)+(Option_Portfolio!$H$5+0.5*Option_Portfolio!$G$5^2)*Option_Portfolio!$F$5)/(Option_Portfolio!$G$5*SQRT(Option_Portfolio!$F$5))</f>
        <v>1.2033118262976246</v>
      </c>
      <c r="G157" s="62">
        <f>E157-Option_Portfolio!$G$4*SQRT(Option_Portfolio!$F$4)</f>
        <v>0.15133984703802911</v>
      </c>
      <c r="H157" s="63">
        <f>F157-Option_Portfolio!$G$5*SQRT(Option_Portfolio!$F$5)</f>
        <v>1.0477483344365841</v>
      </c>
      <c r="I157" s="115">
        <f t="shared" si="10"/>
        <v>0.60701520627693295</v>
      </c>
      <c r="J157" s="116">
        <f t="shared" si="11"/>
        <v>0.88557216285878571</v>
      </c>
      <c r="K157" s="115">
        <f t="shared" si="12"/>
        <v>0.56014618106636238</v>
      </c>
      <c r="L157" s="116">
        <f t="shared" si="13"/>
        <v>0.8526227139914162</v>
      </c>
      <c r="M157" s="62">
        <f>(1-K157)*Option_Portfolio!$E$4*EXP(-Option_Portfolio!$H$4*Option_Portfolio!$F$4)-(1-I157)*C157</f>
        <v>3.1083728192487783</v>
      </c>
      <c r="N157" s="116">
        <f>J157*D157-L157*Option_Portfolio!$E$5*EXP(-Option_Portfolio!$H$5*Option_Portfolio!$F$5)</f>
        <v>24.167840860204592</v>
      </c>
      <c r="O157" s="120">
        <f>M157 * -Option_Portfolio!$B$4 * 1000 + N157 * Option_Portfolio!$B$5 * 1000</f>
        <v>26577071.985667739</v>
      </c>
      <c r="P157" s="123">
        <f t="shared" si="14"/>
        <v>-4.9516208579443499E-2</v>
      </c>
    </row>
    <row r="158" spans="2:16">
      <c r="B158" s="57" t="s">
        <v>188</v>
      </c>
      <c r="C158" s="62">
        <f>$C$17*(1+Underlying_Assets!H149)</f>
        <v>85.845418032786881</v>
      </c>
      <c r="D158" s="8">
        <f>$D$17*(1+Underlying_Assets!I149)</f>
        <v>146.42259076647244</v>
      </c>
      <c r="E158" s="62">
        <f>(LN(C158/Option_Portfolio!$E$4)+(Option_Portfolio!$H$4+0.5*Option_Portfolio!$G$4^2)*Option_Portfolio!$F$4)/(Option_Portfolio!$G$4*SQRT(Option_Portfolio!$F$4))</f>
        <v>0.18403042667578748</v>
      </c>
      <c r="F158" s="63">
        <f>(LN(D158/Option_Portfolio!$E$5)+(Option_Portfolio!$H$5+0.5*Option_Portfolio!$G$5^2)*Option_Portfolio!$F$5)/(Option_Portfolio!$G$5*SQRT(Option_Portfolio!$F$5))</f>
        <v>1.3891765527353064</v>
      </c>
      <c r="G158" s="62">
        <f>E158-Option_Portfolio!$G$4*SQRT(Option_Portfolio!$F$4)</f>
        <v>6.3822273874074381E-2</v>
      </c>
      <c r="H158" s="63">
        <f>F158-Option_Portfolio!$G$5*SQRT(Option_Portfolio!$F$5)</f>
        <v>1.2336130608742659</v>
      </c>
      <c r="I158" s="115">
        <f t="shared" si="10"/>
        <v>0.57300520724206072</v>
      </c>
      <c r="J158" s="116">
        <f t="shared" si="11"/>
        <v>0.91761046510076105</v>
      </c>
      <c r="K158" s="115">
        <f t="shared" si="12"/>
        <v>0.52544412878695668</v>
      </c>
      <c r="L158" s="116">
        <f t="shared" si="13"/>
        <v>0.89132643810600676</v>
      </c>
      <c r="M158" s="62">
        <f>(1-K158)*Option_Portfolio!$E$4*EXP(-Option_Portfolio!$H$4*Option_Portfolio!$F$4)-(1-I158)*C158</f>
        <v>3.4805197020178511</v>
      </c>
      <c r="N158" s="116">
        <f>J158*D158-L158*Option_Portfolio!$E$5*EXP(-Option_Portfolio!$H$5*Option_Portfolio!$F$5)</f>
        <v>27.933190140500287</v>
      </c>
      <c r="O158" s="120">
        <f>M158 * -Option_Portfolio!$B$4 * 1000 + N158 * Option_Portfolio!$B$5 * 1000</f>
        <v>31502742.366875615</v>
      </c>
      <c r="P158" s="123">
        <f t="shared" si="14"/>
        <v>0.18533532903339212</v>
      </c>
    </row>
    <row r="159" spans="2:16">
      <c r="B159" s="57" t="s">
        <v>189</v>
      </c>
      <c r="C159" s="62">
        <f>$C$17*(1+Underlying_Assets!H150)</f>
        <v>86.283990994678675</v>
      </c>
      <c r="D159" s="8">
        <f>$D$17*(1+Underlying_Assets!I150)</f>
        <v>145.18510638297872</v>
      </c>
      <c r="E159" s="62">
        <f>(LN(C159/Option_Portfolio!$E$4)+(Option_Portfolio!$H$4+0.5*Option_Portfolio!$G$4^2)*Option_Portfolio!$F$4)/(Option_Portfolio!$G$4*SQRT(Option_Portfolio!$F$4))</f>
        <v>0.22642241511409697</v>
      </c>
      <c r="F159" s="63">
        <f>(LN(D159/Option_Portfolio!$E$5)+(Option_Portfolio!$H$5+0.5*Option_Portfolio!$G$5^2)*Option_Portfolio!$F$5)/(Option_Portfolio!$G$5*SQRT(Option_Portfolio!$F$5))</f>
        <v>1.3346176454636549</v>
      </c>
      <c r="G159" s="62">
        <f>E159-Option_Portfolio!$G$4*SQRT(Option_Portfolio!$F$4)</f>
        <v>0.10621426231238387</v>
      </c>
      <c r="H159" s="63">
        <f>F159-Option_Portfolio!$G$5*SQRT(Option_Portfolio!$F$5)</f>
        <v>1.1790541536026145</v>
      </c>
      <c r="I159" s="115">
        <f t="shared" si="10"/>
        <v>0.58956355208301847</v>
      </c>
      <c r="J159" s="116">
        <f t="shared" si="11"/>
        <v>0.90899924009582111</v>
      </c>
      <c r="K159" s="115">
        <f t="shared" si="12"/>
        <v>0.54229382236536283</v>
      </c>
      <c r="L159" s="116">
        <f t="shared" si="13"/>
        <v>0.8808116936030419</v>
      </c>
      <c r="M159" s="62">
        <f>(1-K159)*Option_Portfolio!$E$4*EXP(-Option_Portfolio!$H$4*Option_Portfolio!$F$4)-(1-I159)*C159</f>
        <v>3.2968907007972206</v>
      </c>
      <c r="N159" s="116">
        <f>J159*D159-L159*Option_Portfolio!$E$5*EXP(-Option_Portfolio!$H$5*Option_Portfolio!$F$5)</f>
        <v>26.802916140894439</v>
      </c>
      <c r="O159" s="120">
        <f>M159 * -Option_Portfolio!$B$4 * 1000 + N159 * Option_Portfolio!$B$5 * 1000</f>
        <v>30527597.376208335</v>
      </c>
      <c r="P159" s="123">
        <f t="shared" si="14"/>
        <v>-3.0954288973033095E-2</v>
      </c>
    </row>
    <row r="160" spans="2:16">
      <c r="B160" s="57" t="s">
        <v>190</v>
      </c>
      <c r="C160" s="62">
        <f>$C$17*(1+Underlying_Assets!H151)</f>
        <v>85.46100061012811</v>
      </c>
      <c r="D160" s="8">
        <f>$D$17*(1+Underlying_Assets!I151)</f>
        <v>145.50415561450046</v>
      </c>
      <c r="E160" s="62">
        <f>(LN(C160/Option_Portfolio!$E$4)+(Option_Portfolio!$H$4+0.5*Option_Portfolio!$G$4^2)*Option_Portfolio!$F$4)/(Option_Portfolio!$G$4*SQRT(Option_Portfolio!$F$4))</f>
        <v>0.1466945607775042</v>
      </c>
      <c r="F160" s="63">
        <f>(LN(D160/Option_Portfolio!$E$5)+(Option_Portfolio!$H$5+0.5*Option_Portfolio!$G$5^2)*Option_Portfolio!$F$5)/(Option_Portfolio!$G$5*SQRT(Option_Portfolio!$F$5))</f>
        <v>1.3487284313048613</v>
      </c>
      <c r="G160" s="62">
        <f>E160-Option_Portfolio!$G$4*SQRT(Option_Portfolio!$F$4)</f>
        <v>2.6486407975791104E-2</v>
      </c>
      <c r="H160" s="63">
        <f>F160-Option_Portfolio!$G$5*SQRT(Option_Portfolio!$F$5)</f>
        <v>1.1931649394438208</v>
      </c>
      <c r="I160" s="115">
        <f t="shared" si="10"/>
        <v>0.55831344398530891</v>
      </c>
      <c r="J160" s="116">
        <f t="shared" si="11"/>
        <v>0.91128789505699981</v>
      </c>
      <c r="K160" s="115">
        <f t="shared" si="12"/>
        <v>0.51056531266943683</v>
      </c>
      <c r="L160" s="116">
        <f t="shared" si="13"/>
        <v>0.88359760862261161</v>
      </c>
      <c r="M160" s="62">
        <f>(1-K160)*Option_Portfolio!$E$4*EXP(-Option_Portfolio!$H$4*Option_Portfolio!$F$4)-(1-I160)*C160</f>
        <v>3.6474828066558089</v>
      </c>
      <c r="N160" s="116">
        <f>J160*D160-L160*Option_Portfolio!$E$5*EXP(-Option_Portfolio!$H$5*Option_Portfolio!$F$5)</f>
        <v>27.093298032267043</v>
      </c>
      <c r="O160" s="120">
        <f>M160 * -Option_Portfolio!$B$4 * 1000 + N160 * Option_Portfolio!$B$5 * 1000</f>
        <v>28654216.417943425</v>
      </c>
      <c r="P160" s="123">
        <f t="shared" si="14"/>
        <v>-6.1366799855822496E-2</v>
      </c>
    </row>
    <row r="161" spans="2:16">
      <c r="B161" s="57" t="s">
        <v>191</v>
      </c>
      <c r="C161" s="62">
        <f>$C$17*(1+Underlying_Assets!H152)</f>
        <v>83.62317894307283</v>
      </c>
      <c r="D161" s="8">
        <f>$D$17*(1+Underlying_Assets!I152)</f>
        <v>143.0162780466344</v>
      </c>
      <c r="E161" s="62">
        <f>(LN(C161/Option_Portfolio!$E$4)+(Option_Portfolio!$H$4+0.5*Option_Portfolio!$G$4^2)*Option_Portfolio!$F$4)/(Option_Portfolio!$G$4*SQRT(Option_Portfolio!$F$4))</f>
        <v>-3.4153380189640946E-2</v>
      </c>
      <c r="F161" s="63">
        <f>(LN(D161/Option_Portfolio!$E$5)+(Option_Portfolio!$H$5+0.5*Option_Portfolio!$G$5^2)*Option_Portfolio!$F$5)/(Option_Portfolio!$G$5*SQRT(Option_Portfolio!$F$5))</f>
        <v>1.2378657176543371</v>
      </c>
      <c r="G161" s="62">
        <f>E161-Option_Portfolio!$G$4*SQRT(Option_Portfolio!$F$4)</f>
        <v>-0.15436153299135405</v>
      </c>
      <c r="H161" s="63">
        <f>F161-Option_Portfolio!$G$5*SQRT(Option_Portfolio!$F$5)</f>
        <v>1.0823022257932966</v>
      </c>
      <c r="I161" s="115">
        <f t="shared" si="10"/>
        <v>0.48637742102574255</v>
      </c>
      <c r="J161" s="116">
        <f t="shared" si="11"/>
        <v>0.8921170720909406</v>
      </c>
      <c r="K161" s="115">
        <f t="shared" si="12"/>
        <v>0.43866234115577102</v>
      </c>
      <c r="L161" s="116">
        <f t="shared" si="13"/>
        <v>0.86044087135128688</v>
      </c>
      <c r="M161" s="62">
        <f>(1-K161)*Option_Portfolio!$E$4*EXP(-Option_Portfolio!$H$4*Option_Portfolio!$F$4)-(1-I161)*C161</f>
        <v>4.5249750944521665</v>
      </c>
      <c r="N161" s="116">
        <f>J161*D161-L161*Option_Portfolio!$E$5*EXP(-Option_Portfolio!$H$5*Option_Portfolio!$F$5)</f>
        <v>24.849334680072658</v>
      </c>
      <c r="O161" s="120">
        <f>M161 * -Option_Portfolio!$B$4 * 1000 + N161 * Option_Portfolio!$B$5 * 1000</f>
        <v>18023843.698980149</v>
      </c>
      <c r="P161" s="123">
        <f t="shared" si="14"/>
        <v>-0.3709880795172078</v>
      </c>
    </row>
    <row r="162" spans="2:16">
      <c r="B162" s="57" t="s">
        <v>192</v>
      </c>
      <c r="C162" s="62">
        <f>$C$17*(1+Underlying_Assets!H153)</f>
        <v>84.843138075313803</v>
      </c>
      <c r="D162" s="8">
        <f>$D$17*(1+Underlying_Assets!I153)</f>
        <v>143.83251670378621</v>
      </c>
      <c r="E162" s="62">
        <f>(LN(C162/Option_Portfolio!$E$4)+(Option_Portfolio!$H$4+0.5*Option_Portfolio!$G$4^2)*Option_Portfolio!$F$4)/(Option_Portfolio!$G$4*SQRT(Option_Portfolio!$F$4))</f>
        <v>8.6332419541543692E-2</v>
      </c>
      <c r="F162" s="63">
        <f>(LN(D162/Option_Portfolio!$E$5)+(Option_Portfolio!$H$5+0.5*Option_Portfolio!$G$5^2)*Option_Portfolio!$F$5)/(Option_Portfolio!$G$5*SQRT(Option_Portfolio!$F$5))</f>
        <v>1.2744494166052591</v>
      </c>
      <c r="G162" s="62">
        <f>E162-Option_Portfolio!$G$4*SQRT(Option_Portfolio!$F$4)</f>
        <v>-3.3875733260169405E-2</v>
      </c>
      <c r="H162" s="63">
        <f>F162-Option_Portfolio!$G$5*SQRT(Option_Portfolio!$F$5)</f>
        <v>1.1188859247442187</v>
      </c>
      <c r="I162" s="115">
        <f t="shared" si="10"/>
        <v>0.53439891619619484</v>
      </c>
      <c r="J162" s="116">
        <f t="shared" si="11"/>
        <v>0.89874790571677998</v>
      </c>
      <c r="K162" s="115">
        <f t="shared" si="12"/>
        <v>0.48648812206604786</v>
      </c>
      <c r="L162" s="116">
        <f t="shared" si="13"/>
        <v>0.86840559578654708</v>
      </c>
      <c r="M162" s="62">
        <f>(1-K162)*Option_Portfolio!$E$4*EXP(-Option_Portfolio!$H$4*Option_Portfolio!$F$4)-(1-I162)*C162</f>
        <v>3.9277547332439013</v>
      </c>
      <c r="N162" s="116">
        <f>J162*D162-L162*Option_Portfolio!$E$5*EXP(-Option_Portfolio!$H$5*Option_Portfolio!$F$5)</f>
        <v>25.580244584497166</v>
      </c>
      <c r="O162" s="120">
        <f>M162 * -Option_Portfolio!$B$4 * 1000 + N162 * Option_Portfolio!$B$5 * 1000</f>
        <v>23666206.036287017</v>
      </c>
      <c r="P162" s="123">
        <f t="shared" si="14"/>
        <v>0.31304989277210238</v>
      </c>
    </row>
    <row r="163" spans="2:16">
      <c r="B163" s="57" t="s">
        <v>193</v>
      </c>
      <c r="C163" s="62">
        <f>$C$17*(1+Underlying_Assets!H154)</f>
        <v>86.048156448202946</v>
      </c>
      <c r="D163" s="8">
        <f>$D$17*(1+Underlying_Assets!I154)</f>
        <v>145.5142600896861</v>
      </c>
      <c r="E163" s="62">
        <f>(LN(C163/Option_Portfolio!$E$4)+(Option_Portfolio!$H$4+0.5*Option_Portfolio!$G$4^2)*Option_Portfolio!$F$4)/(Option_Portfolio!$G$4*SQRT(Option_Portfolio!$F$4))</f>
        <v>0.20365375537577426</v>
      </c>
      <c r="F163" s="63">
        <f>(LN(D163/Option_Portfolio!$E$5)+(Option_Portfolio!$H$5+0.5*Option_Portfolio!$G$5^2)*Option_Portfolio!$F$5)/(Option_Portfolio!$G$5*SQRT(Option_Portfolio!$F$5))</f>
        <v>1.3491748224822142</v>
      </c>
      <c r="G163" s="62">
        <f>E163-Option_Portfolio!$G$4*SQRT(Option_Portfolio!$F$4)</f>
        <v>8.3445602574061167E-2</v>
      </c>
      <c r="H163" s="63">
        <f>F163-Option_Portfolio!$G$5*SQRT(Option_Portfolio!$F$5)</f>
        <v>1.1936113306211737</v>
      </c>
      <c r="I163" s="115">
        <f t="shared" si="10"/>
        <v>0.58068795869505796</v>
      </c>
      <c r="J163" s="116">
        <f t="shared" si="11"/>
        <v>0.91135959011897749</v>
      </c>
      <c r="K163" s="115">
        <f t="shared" si="12"/>
        <v>0.53325138534315886</v>
      </c>
      <c r="L163" s="116">
        <f t="shared" si="13"/>
        <v>0.88368498015356278</v>
      </c>
      <c r="M163" s="62">
        <f>(1-K163)*Option_Portfolio!$E$4*EXP(-Option_Portfolio!$H$4*Option_Portfolio!$F$4)-(1-I163)*C163</f>
        <v>3.3947310486805549</v>
      </c>
      <c r="N163" s="116">
        <f>J163*D163-L163*Option_Portfolio!$E$5*EXP(-Option_Portfolio!$H$5*Option_Portfolio!$F$5)</f>
        <v>27.102506480450671</v>
      </c>
      <c r="O163" s="120">
        <f>M163 * -Option_Portfolio!$B$4 * 1000 + N163 * Option_Portfolio!$B$5 * 1000</f>
        <v>30441895.620137457</v>
      </c>
      <c r="P163" s="123">
        <f t="shared" si="14"/>
        <v>0.28630231535470374</v>
      </c>
    </row>
    <row r="164" spans="2:16">
      <c r="B164" s="57" t="s">
        <v>194</v>
      </c>
      <c r="C164" s="62">
        <f>$C$17*(1+Underlying_Assets!H155)</f>
        <v>85.884495470823666</v>
      </c>
      <c r="D164" s="8">
        <f>$D$17*(1+Underlying_Assets!I155)</f>
        <v>142.92619366354307</v>
      </c>
      <c r="E164" s="62">
        <f>(LN(C164/Option_Portfolio!$E$4)+(Option_Portfolio!$H$4+0.5*Option_Portfolio!$G$4^2)*Option_Portfolio!$F$4)/(Option_Portfolio!$G$4*SQRT(Option_Portfolio!$F$4))</f>
        <v>0.18781638833539449</v>
      </c>
      <c r="F164" s="63">
        <f>(LN(D164/Option_Portfolio!$E$5)+(Option_Portfolio!$H$5+0.5*Option_Portfolio!$G$5^2)*Option_Portfolio!$F$5)/(Option_Portfolio!$G$5*SQRT(Option_Portfolio!$F$5))</f>
        <v>1.2338153619122849</v>
      </c>
      <c r="G164" s="62">
        <f>E164-Option_Portfolio!$G$4*SQRT(Option_Portfolio!$F$4)</f>
        <v>6.7608235533681393E-2</v>
      </c>
      <c r="H164" s="63">
        <f>F164-Option_Portfolio!$G$5*SQRT(Option_Portfolio!$F$5)</f>
        <v>1.0782518700512445</v>
      </c>
      <c r="I164" s="115">
        <f t="shared" si="10"/>
        <v>0.57448970582304115</v>
      </c>
      <c r="J164" s="116">
        <f t="shared" si="11"/>
        <v>0.89136414311556811</v>
      </c>
      <c r="K164" s="115">
        <f t="shared" si="12"/>
        <v>0.52695125030277201</v>
      </c>
      <c r="L164" s="116">
        <f t="shared" si="13"/>
        <v>0.85953931520235349</v>
      </c>
      <c r="M164" s="62">
        <f>(1-K164)*Option_Portfolio!$E$4*EXP(-Option_Portfolio!$H$4*Option_Portfolio!$F$4)-(1-I164)*C164</f>
        <v>3.4638628502653148</v>
      </c>
      <c r="N164" s="116">
        <f>J164*D164-L164*Option_Portfolio!$E$5*EXP(-Option_Portfolio!$H$5*Option_Portfolio!$F$5)</f>
        <v>24.76900274570491</v>
      </c>
      <c r="O164" s="120">
        <f>M164 * -Option_Portfolio!$B$4 * 1000 + N164 * Option_Portfolio!$B$5 * 1000</f>
        <v>25290965.539552618</v>
      </c>
      <c r="P164" s="123">
        <f t="shared" si="14"/>
        <v>-0.16920529998721479</v>
      </c>
    </row>
    <row r="165" spans="2:16">
      <c r="B165" s="57" t="s">
        <v>195</v>
      </c>
      <c r="C165" s="62">
        <f>$C$17*(1+Underlying_Assets!H156)</f>
        <v>85.90228391167193</v>
      </c>
      <c r="D165" s="8">
        <f>$D$17*(1+Underlying_Assets!I156)</f>
        <v>142.57432188065101</v>
      </c>
      <c r="E165" s="62">
        <f>(LN(C165/Option_Portfolio!$E$4)+(Option_Portfolio!$H$4+0.5*Option_Portfolio!$G$4^2)*Option_Portfolio!$F$4)/(Option_Portfolio!$G$4*SQRT(Option_Portfolio!$F$4))</f>
        <v>0.18953922545335122</v>
      </c>
      <c r="F165" s="63">
        <f>(LN(D165/Option_Portfolio!$E$5)+(Option_Portfolio!$H$5+0.5*Option_Portfolio!$G$5^2)*Option_Portfolio!$F$5)/(Option_Portfolio!$G$5*SQRT(Option_Portfolio!$F$5))</f>
        <v>1.2179700760992116</v>
      </c>
      <c r="G165" s="62">
        <f>E165-Option_Portfolio!$G$4*SQRT(Option_Portfolio!$F$4)</f>
        <v>6.9331072651638126E-2</v>
      </c>
      <c r="H165" s="63">
        <f>F165-Option_Portfolio!$G$5*SQRT(Option_Portfolio!$F$5)</f>
        <v>1.0624065842381711</v>
      </c>
      <c r="I165" s="115">
        <f t="shared" si="10"/>
        <v>0.57516489261957848</v>
      </c>
      <c r="J165" s="116">
        <f t="shared" si="11"/>
        <v>0.88838232780831561</v>
      </c>
      <c r="K165" s="115">
        <f t="shared" si="12"/>
        <v>0.52763695358092444</v>
      </c>
      <c r="L165" s="116">
        <f t="shared" si="13"/>
        <v>0.85597442699946347</v>
      </c>
      <c r="M165" s="62">
        <f>(1-K165)*Option_Portfolio!$E$4*EXP(-Option_Portfolio!$H$4*Option_Portfolio!$F$4)-(1-I165)*C165</f>
        <v>3.4562996913598525</v>
      </c>
      <c r="N165" s="116">
        <f>J165*D165-L165*Option_Portfolio!$E$5*EXP(-Option_Portfolio!$H$5*Option_Portfolio!$F$5)</f>
        <v>24.455879549912183</v>
      </c>
      <c r="O165" s="120">
        <f>M165 * -Option_Portfolio!$B$4 * 1000 + N165 * Option_Portfolio!$B$5 * 1000</f>
        <v>24717661.260305401</v>
      </c>
      <c r="P165" s="123">
        <f t="shared" si="14"/>
        <v>-2.2668342904924921E-2</v>
      </c>
    </row>
    <row r="166" spans="2:16">
      <c r="B166" s="57" t="s">
        <v>196</v>
      </c>
      <c r="C166" s="62">
        <f>$C$17*(1+Underlying_Assets!H157)</f>
        <v>85.578022670025177</v>
      </c>
      <c r="D166" s="8">
        <f>$D$17*(1+Underlying_Assets!I157)</f>
        <v>146.46207529843895</v>
      </c>
      <c r="E166" s="62">
        <f>(LN(C166/Option_Portfolio!$E$4)+(Option_Portfolio!$H$4+0.5*Option_Portfolio!$G$4^2)*Option_Portfolio!$F$4)/(Option_Portfolio!$G$4*SQRT(Option_Portfolio!$F$4))</f>
        <v>0.15807787359613817</v>
      </c>
      <c r="F166" s="63">
        <f>(LN(D166/Option_Portfolio!$E$5)+(Option_Portfolio!$H$5+0.5*Option_Portfolio!$G$5^2)*Option_Portfolio!$F$5)/(Option_Portfolio!$G$5*SQRT(Option_Portfolio!$F$5))</f>
        <v>1.3909097686768799</v>
      </c>
      <c r="G166" s="62">
        <f>E166-Option_Portfolio!$G$4*SQRT(Option_Portfolio!$F$4)</f>
        <v>3.7869720794425077E-2</v>
      </c>
      <c r="H166" s="63">
        <f>F166-Option_Portfolio!$G$5*SQRT(Option_Portfolio!$F$5)</f>
        <v>1.2353462768158394</v>
      </c>
      <c r="I166" s="115">
        <f t="shared" si="10"/>
        <v>0.56280228215442407</v>
      </c>
      <c r="J166" s="116">
        <f t="shared" si="11"/>
        <v>0.91787360490783265</v>
      </c>
      <c r="K166" s="115">
        <f t="shared" si="12"/>
        <v>0.51510422248506793</v>
      </c>
      <c r="L166" s="116">
        <f t="shared" si="13"/>
        <v>0.89164917111813513</v>
      </c>
      <c r="M166" s="62">
        <f>(1-K166)*Option_Portfolio!$E$4*EXP(-Option_Portfolio!$H$4*Option_Portfolio!$F$4)-(1-I166)*C166</f>
        <v>3.5960585184196816</v>
      </c>
      <c r="N166" s="116">
        <f>J166*D166-L166*Option_Portfolio!$E$5*EXP(-Option_Portfolio!$H$5*Option_Portfolio!$F$5)</f>
        <v>27.969426757537889</v>
      </c>
      <c r="O166" s="120">
        <f>M166 * -Option_Portfolio!$B$4 * 1000 + N166 * Option_Portfolio!$B$5 * 1000</f>
        <v>30766443.886138003</v>
      </c>
      <c r="P166" s="123">
        <f t="shared" si="14"/>
        <v>0.24471500608945007</v>
      </c>
    </row>
    <row r="167" spans="2:16">
      <c r="B167" s="57" t="s">
        <v>197</v>
      </c>
      <c r="C167" s="62">
        <f>$C$17*(1+Underlying_Assets!H158)</f>
        <v>85.559684542586751</v>
      </c>
      <c r="D167" s="8">
        <f>$D$17*(1+Underlying_Assets!I158)</f>
        <v>146.24602814344078</v>
      </c>
      <c r="E167" s="62">
        <f>(LN(C167/Option_Portfolio!$E$4)+(Option_Portfolio!$H$4+0.5*Option_Portfolio!$G$4^2)*Option_Portfolio!$F$4)/(Option_Portfolio!$G$4*SQRT(Option_Portfolio!$F$4))</f>
        <v>0.15629506240765009</v>
      </c>
      <c r="F167" s="63">
        <f>(LN(D167/Option_Portfolio!$E$5)+(Option_Portfolio!$H$5+0.5*Option_Portfolio!$G$5^2)*Option_Portfolio!$F$5)/(Option_Portfolio!$G$5*SQRT(Option_Portfolio!$F$5))</f>
        <v>1.3814204245269137</v>
      </c>
      <c r="G167" s="62">
        <f>E167-Option_Portfolio!$G$4*SQRT(Option_Portfolio!$F$4)</f>
        <v>3.6086909605936995E-2</v>
      </c>
      <c r="H167" s="63">
        <f>F167-Option_Portfolio!$G$5*SQRT(Option_Portfolio!$F$5)</f>
        <v>1.2258569326658733</v>
      </c>
      <c r="I167" s="115">
        <f t="shared" si="10"/>
        <v>0.56209977592995697</v>
      </c>
      <c r="J167" s="116">
        <f t="shared" si="11"/>
        <v>0.91642513525511804</v>
      </c>
      <c r="K167" s="115">
        <f t="shared" si="12"/>
        <v>0.51439346992425805</v>
      </c>
      <c r="L167" s="116">
        <f t="shared" si="13"/>
        <v>0.88987374094865124</v>
      </c>
      <c r="M167" s="62">
        <f>(1-K167)*Option_Portfolio!$E$4*EXP(-Option_Portfolio!$H$4*Option_Portfolio!$F$4)-(1-I167)*C167</f>
        <v>3.6040823466787515</v>
      </c>
      <c r="N167" s="116">
        <f>J167*D167-L167*Option_Portfolio!$E$5*EXP(-Option_Portfolio!$H$5*Option_Portfolio!$F$5)</f>
        <v>27.771278863902424</v>
      </c>
      <c r="O167" s="120">
        <f>M167 * -Option_Portfolio!$B$4 * 1000 + N167 * Option_Portfolio!$B$5 * 1000</f>
        <v>30313981.301053595</v>
      </c>
      <c r="P167" s="123">
        <f t="shared" si="14"/>
        <v>-1.470636602523534E-2</v>
      </c>
    </row>
    <row r="168" spans="2:16">
      <c r="B168" s="57" t="s">
        <v>198</v>
      </c>
      <c r="C168" s="62">
        <f>$C$17*(1+Underlying_Assets!H159)</f>
        <v>85.74</v>
      </c>
      <c r="D168" s="8">
        <f>$D$17*(1+Underlying_Assets!I159)</f>
        <v>147.27298876404498</v>
      </c>
      <c r="E168" s="62">
        <f>(LN(C168/Option_Portfolio!$E$4)+(Option_Portfolio!$H$4+0.5*Option_Portfolio!$G$4^2)*Option_Portfolio!$F$4)/(Option_Portfolio!$G$4*SQRT(Option_Portfolio!$F$4))</f>
        <v>0.17380854952474384</v>
      </c>
      <c r="F168" s="63">
        <f>(LN(D168/Option_Portfolio!$E$5)+(Option_Portfolio!$H$5+0.5*Option_Portfolio!$G$5^2)*Option_Portfolio!$F$5)/(Option_Portfolio!$G$5*SQRT(Option_Portfolio!$F$5))</f>
        <v>1.4264027217965729</v>
      </c>
      <c r="G168" s="62">
        <f>E168-Option_Portfolio!$G$4*SQRT(Option_Portfolio!$F$4)</f>
        <v>5.3600396723030741E-2</v>
      </c>
      <c r="H168" s="63">
        <f>F168-Option_Portfolio!$G$5*SQRT(Option_Portfolio!$F$5)</f>
        <v>1.2708392299355324</v>
      </c>
      <c r="I168" s="115">
        <f t="shared" si="10"/>
        <v>0.56899203744105553</v>
      </c>
      <c r="J168" s="116">
        <f t="shared" si="11"/>
        <v>0.92312393574896057</v>
      </c>
      <c r="K168" s="115">
        <f t="shared" si="12"/>
        <v>0.52137322978555622</v>
      </c>
      <c r="L168" s="116">
        <f t="shared" si="13"/>
        <v>0.89810707535507639</v>
      </c>
      <c r="M168" s="62">
        <f>(1-K168)*Option_Portfolio!$E$4*EXP(-Option_Portfolio!$H$4*Option_Portfolio!$F$4)-(1-I168)*C168</f>
        <v>3.5257440755162008</v>
      </c>
      <c r="N168" s="116">
        <f>J168*D168-L168*Option_Portfolio!$E$5*EXP(-Option_Portfolio!$H$5*Option_Portfolio!$F$5)</f>
        <v>28.715891301832414</v>
      </c>
      <c r="O168" s="120">
        <f>M168 * -Option_Portfolio!$B$4 * 1000 + N168 * Option_Portfolio!$B$5 * 1000</f>
        <v>32751574.075051416</v>
      </c>
      <c r="P168" s="123">
        <f t="shared" si="14"/>
        <v>8.0411502197274887E-2</v>
      </c>
    </row>
    <row r="169" spans="2:16">
      <c r="B169" s="57" t="s">
        <v>199</v>
      </c>
      <c r="C169" s="62">
        <f>$C$17*(1+Underlying_Assets!H160)</f>
        <v>84.655827186512113</v>
      </c>
      <c r="D169" s="8">
        <f>$D$17*(1+Underlying_Assets!I160)</f>
        <v>143.90419796730004</v>
      </c>
      <c r="E169" s="62">
        <f>(LN(C169/Option_Portfolio!$E$4)+(Option_Portfolio!$H$4+0.5*Option_Portfolio!$G$4^2)*Option_Portfolio!$F$4)/(Option_Portfolio!$G$4*SQRT(Option_Portfolio!$F$4))</f>
        <v>6.7946209284837161E-2</v>
      </c>
      <c r="F169" s="63">
        <f>(LN(D169/Option_Portfolio!$E$5)+(Option_Portfolio!$H$5+0.5*Option_Portfolio!$G$5^2)*Option_Portfolio!$F$5)/(Option_Portfolio!$G$5*SQRT(Option_Portfolio!$F$5))</f>
        <v>1.2776522377942643</v>
      </c>
      <c r="G169" s="62">
        <f>E169-Option_Portfolio!$G$4*SQRT(Option_Portfolio!$F$4)</f>
        <v>-5.2261943516875936E-2</v>
      </c>
      <c r="H169" s="63">
        <f>F169-Option_Portfolio!$G$5*SQRT(Option_Portfolio!$F$5)</f>
        <v>1.1220887459332238</v>
      </c>
      <c r="I169" s="115">
        <f t="shared" si="10"/>
        <v>0.52708577298410675</v>
      </c>
      <c r="J169" s="116">
        <f t="shared" si="11"/>
        <v>0.8993139635209505</v>
      </c>
      <c r="K169" s="115">
        <f t="shared" si="12"/>
        <v>0.47915998826469208</v>
      </c>
      <c r="L169" s="116">
        <f t="shared" si="13"/>
        <v>0.86908764578292041</v>
      </c>
      <c r="M169" s="62">
        <f>(1-K169)*Option_Portfolio!$E$4*EXP(-Option_Portfolio!$H$4*Option_Portfolio!$F$4)-(1-I169)*C169</f>
        <v>4.0156513875566162</v>
      </c>
      <c r="N169" s="116">
        <f>J169*D169-L169*Option_Portfolio!$E$5*EXP(-Option_Portfolio!$H$5*Option_Portfolio!$F$5)</f>
        <v>25.644688273332662</v>
      </c>
      <c r="O169" s="120">
        <f>M169 * -Option_Portfolio!$B$4 * 1000 + N169 * Option_Portfolio!$B$5 * 1000</f>
        <v>23179816.833769005</v>
      </c>
      <c r="P169" s="123">
        <f t="shared" si="14"/>
        <v>-0.29225335000230468</v>
      </c>
    </row>
    <row r="170" spans="2:16">
      <c r="B170" s="57" t="s">
        <v>200</v>
      </c>
      <c r="C170" s="62">
        <f>$C$17*(1+Underlying_Assets!H161)</f>
        <v>86.636747065101389</v>
      </c>
      <c r="D170" s="8">
        <f>$D$17*(1+Underlying_Assets!I161)</f>
        <v>145.63699421965316</v>
      </c>
      <c r="E170" s="62">
        <f>(LN(C170/Option_Portfolio!$E$4)+(Option_Portfolio!$H$4+0.5*Option_Portfolio!$G$4^2)*Option_Portfolio!$F$4)/(Option_Portfolio!$G$4*SQRT(Option_Portfolio!$F$4))</f>
        <v>0.26036337262870962</v>
      </c>
      <c r="F170" s="63">
        <f>(LN(D170/Option_Portfolio!$E$5)+(Option_Portfolio!$H$5+0.5*Option_Portfolio!$G$5^2)*Option_Portfolio!$F$5)/(Option_Portfolio!$G$5*SQRT(Option_Portfolio!$F$5))</f>
        <v>1.3545944447849874</v>
      </c>
      <c r="G170" s="62">
        <f>E170-Option_Portfolio!$G$4*SQRT(Option_Portfolio!$F$4)</f>
        <v>0.14015521982699652</v>
      </c>
      <c r="H170" s="63">
        <f>F170-Option_Portfolio!$G$5*SQRT(Option_Portfolio!$F$5)</f>
        <v>1.1990309529239469</v>
      </c>
      <c r="I170" s="115">
        <f t="shared" si="10"/>
        <v>0.60270825335828238</v>
      </c>
      <c r="J170" s="116">
        <f t="shared" si="11"/>
        <v>0.91222659781597792</v>
      </c>
      <c r="K170" s="115">
        <f t="shared" si="12"/>
        <v>0.55573132400226799</v>
      </c>
      <c r="L170" s="116">
        <f t="shared" si="13"/>
        <v>0.88474204492604547</v>
      </c>
      <c r="M170" s="62">
        <f>(1-K170)*Option_Portfolio!$E$4*EXP(-Option_Portfolio!$H$4*Option_Portfolio!$F$4)-(1-I170)*C170</f>
        <v>3.1544299573822485</v>
      </c>
      <c r="N170" s="116">
        <f>J170*D170-L170*Option_Portfolio!$E$5*EXP(-Option_Portfolio!$H$5*Option_Portfolio!$F$5)</f>
        <v>27.214414684995305</v>
      </c>
      <c r="O170" s="120">
        <f>M170 * -Option_Portfolio!$B$4 * 1000 + N170 * Option_Portfolio!$B$5 * 1000</f>
        <v>32347819.66831487</v>
      </c>
      <c r="P170" s="123">
        <f t="shared" si="14"/>
        <v>0.39551662121806164</v>
      </c>
    </row>
    <row r="171" spans="2:16">
      <c r="B171" s="57" t="s">
        <v>201</v>
      </c>
      <c r="C171" s="62">
        <f>$C$17*(1+Underlying_Assets!H162)</f>
        <v>85.033650190114059</v>
      </c>
      <c r="D171" s="8">
        <f>$D$17*(1+Underlying_Assets!I162)</f>
        <v>143.96781609195403</v>
      </c>
      <c r="E171" s="62">
        <f>(LN(C171/Option_Portfolio!$E$4)+(Option_Portfolio!$H$4+0.5*Option_Portfolio!$G$4^2)*Option_Portfolio!$F$4)/(Option_Portfolio!$G$4*SQRT(Option_Portfolio!$F$4))</f>
        <v>0.10499126684665731</v>
      </c>
      <c r="F171" s="63">
        <f>(LN(D171/Option_Portfolio!$E$5)+(Option_Portfolio!$H$5+0.5*Option_Portfolio!$G$5^2)*Option_Portfolio!$F$5)/(Option_Portfolio!$G$5*SQRT(Option_Portfolio!$F$5))</f>
        <v>1.2804934504218817</v>
      </c>
      <c r="G171" s="62">
        <f>E171-Option_Portfolio!$G$4*SQRT(Option_Portfolio!$F$4)</f>
        <v>-1.5216885955055784E-2</v>
      </c>
      <c r="H171" s="63">
        <f>F171-Option_Portfolio!$G$5*SQRT(Option_Portfolio!$F$5)</f>
        <v>1.1249299585608412</v>
      </c>
      <c r="I171" s="115">
        <f t="shared" si="10"/>
        <v>0.54180863076685082</v>
      </c>
      <c r="J171" s="116">
        <f t="shared" si="11"/>
        <v>0.89981417663316232</v>
      </c>
      <c r="K171" s="115">
        <f t="shared" si="12"/>
        <v>0.49392957508886087</v>
      </c>
      <c r="L171" s="116">
        <f t="shared" si="13"/>
        <v>0.86969064213331704</v>
      </c>
      <c r="M171" s="62">
        <f>(1-K171)*Option_Portfolio!$E$4*EXP(-Option_Portfolio!$H$4*Option_Portfolio!$F$4)-(1-I171)*C171</f>
        <v>3.8397583801377735</v>
      </c>
      <c r="N171" s="116">
        <f>J171*D171-L171*Option_Portfolio!$E$5*EXP(-Option_Portfolio!$H$5*Option_Portfolio!$F$5)</f>
        <v>25.701916863286428</v>
      </c>
      <c r="O171" s="120">
        <f>M171 * -Option_Portfolio!$B$4 * 1000 + N171 * Option_Portfolio!$B$5 * 1000</f>
        <v>24525525.065608442</v>
      </c>
      <c r="P171" s="123">
        <f t="shared" si="14"/>
        <v>-0.2418182951096538</v>
      </c>
    </row>
    <row r="172" spans="2:16">
      <c r="B172" s="57" t="s">
        <v>202</v>
      </c>
      <c r="C172" s="62">
        <f>$C$17*(1+Underlying_Assets!H163)</f>
        <v>84.826900958466453</v>
      </c>
      <c r="D172" s="8">
        <f>$D$17*(1+Underlying_Assets!I163)</f>
        <v>143.57670075589152</v>
      </c>
      <c r="E172" s="62">
        <f>(LN(C172/Option_Portfolio!$E$4)+(Option_Portfolio!$H$4+0.5*Option_Portfolio!$G$4^2)*Option_Portfolio!$F$4)/(Option_Portfolio!$G$4*SQRT(Option_Portfolio!$F$4))</f>
        <v>8.4740211438845525E-2</v>
      </c>
      <c r="F172" s="63">
        <f>(LN(D172/Option_Portfolio!$E$5)+(Option_Portfolio!$H$5+0.5*Option_Portfolio!$G$5^2)*Option_Portfolio!$F$5)/(Option_Portfolio!$G$5*SQRT(Option_Portfolio!$F$5))</f>
        <v>1.2630061675391395</v>
      </c>
      <c r="G172" s="62">
        <f>E172-Option_Portfolio!$G$4*SQRT(Option_Portfolio!$F$4)</f>
        <v>-3.5467941362867572E-2</v>
      </c>
      <c r="H172" s="63">
        <f>F172-Option_Portfolio!$G$5*SQRT(Option_Portfolio!$F$5)</f>
        <v>1.1074426756780991</v>
      </c>
      <c r="I172" s="115">
        <f t="shared" si="10"/>
        <v>0.53376603659096777</v>
      </c>
      <c r="J172" s="116">
        <f t="shared" si="11"/>
        <v>0.8967065183817009</v>
      </c>
      <c r="K172" s="115">
        <f t="shared" si="12"/>
        <v>0.48585330468490645</v>
      </c>
      <c r="L172" s="116">
        <f t="shared" si="13"/>
        <v>0.86594870818371461</v>
      </c>
      <c r="M172" s="62">
        <f>(1-K172)*Option_Portfolio!$E$4*EXP(-Option_Portfolio!$H$4*Option_Portfolio!$F$4)-(1-I172)*C172</f>
        <v>3.935319890235391</v>
      </c>
      <c r="N172" s="116">
        <f>J172*D172-L172*Option_Portfolio!$E$5*EXP(-Option_Portfolio!$H$5*Option_Portfolio!$F$5)</f>
        <v>25.350590937517396</v>
      </c>
      <c r="O172" s="120">
        <f>M172 * -Option_Portfolio!$B$4 * 1000 + N172 * Option_Portfolio!$B$5 * 1000</f>
        <v>23153942.643387049</v>
      </c>
      <c r="P172" s="123">
        <f t="shared" si="14"/>
        <v>-5.5924691461335052E-2</v>
      </c>
    </row>
    <row r="173" spans="2:16">
      <c r="B173" s="57" t="s">
        <v>203</v>
      </c>
      <c r="C173" s="62">
        <f>$C$17*(1+Underlying_Assets!H164)</f>
        <v>85.038574811625395</v>
      </c>
      <c r="D173" s="8">
        <f>$D$17*(1+Underlying_Assets!I164)</f>
        <v>145.12466367713003</v>
      </c>
      <c r="E173" s="62">
        <f>(LN(C173/Option_Portfolio!$E$4)+(Option_Portfolio!$H$4+0.5*Option_Portfolio!$G$4^2)*Option_Portfolio!$F$4)/(Option_Portfolio!$G$4*SQRT(Option_Portfolio!$F$4))</f>
        <v>0.10547303216951061</v>
      </c>
      <c r="F173" s="63">
        <f>(LN(D173/Option_Portfolio!$E$5)+(Option_Portfolio!$H$5+0.5*Option_Portfolio!$G$5^2)*Option_Portfolio!$F$5)/(Option_Portfolio!$G$5*SQRT(Option_Portfolio!$F$5))</f>
        <v>1.3319409154698107</v>
      </c>
      <c r="G173" s="62">
        <f>E173-Option_Portfolio!$G$4*SQRT(Option_Portfolio!$F$4)</f>
        <v>-1.4735120632202489E-2</v>
      </c>
      <c r="H173" s="63">
        <f>F173-Option_Portfolio!$G$5*SQRT(Option_Portfolio!$F$5)</f>
        <v>1.1763774236087703</v>
      </c>
      <c r="I173" s="115">
        <f t="shared" si="10"/>
        <v>0.54199976608860112</v>
      </c>
      <c r="J173" s="116">
        <f t="shared" si="11"/>
        <v>0.90856019766750518</v>
      </c>
      <c r="K173" s="115">
        <f t="shared" si="12"/>
        <v>0.49412175009174203</v>
      </c>
      <c r="L173" s="116">
        <f t="shared" si="13"/>
        <v>0.88027795536922382</v>
      </c>
      <c r="M173" s="62">
        <f>(1-K173)*Option_Portfolio!$E$4*EXP(-Option_Portfolio!$H$4*Option_Portfolio!$F$4)-(1-I173)*C173</f>
        <v>3.8375024317076125</v>
      </c>
      <c r="N173" s="116">
        <f>J173*D173-L173*Option_Portfolio!$E$5*EXP(-Option_Portfolio!$H$5*Option_Portfolio!$F$5)</f>
        <v>26.747987026851845</v>
      </c>
      <c r="O173" s="120">
        <f>M173 * -Option_Portfolio!$B$4 * 1000 + N173 * Option_Portfolio!$B$5 * 1000</f>
        <v>26633457.031750407</v>
      </c>
      <c r="P173" s="123">
        <f t="shared" si="14"/>
        <v>0.15027740380781918</v>
      </c>
    </row>
    <row r="174" spans="2:16">
      <c r="B174" s="57" t="s">
        <v>204</v>
      </c>
      <c r="C174" s="62">
        <f>$C$17*(1+Underlying_Assets!H165)</f>
        <v>85.349172997612328</v>
      </c>
      <c r="D174" s="8">
        <f>$D$17*(1+Underlying_Assets!I165)</f>
        <v>144.47606263982104</v>
      </c>
      <c r="E174" s="62">
        <f>(LN(C174/Option_Portfolio!$E$4)+(Option_Portfolio!$H$4+0.5*Option_Portfolio!$G$4^2)*Option_Portfolio!$F$4)/(Option_Portfolio!$G$4*SQRT(Option_Portfolio!$F$4))</f>
        <v>0.1358019633524791</v>
      </c>
      <c r="F174" s="63">
        <f>(LN(D174/Option_Portfolio!$E$5)+(Option_Portfolio!$H$5+0.5*Option_Portfolio!$G$5^2)*Option_Portfolio!$F$5)/(Option_Portfolio!$G$5*SQRT(Option_Portfolio!$F$5))</f>
        <v>1.3031469797370578</v>
      </c>
      <c r="G174" s="62">
        <f>E174-Option_Portfolio!$G$4*SQRT(Option_Portfolio!$F$4)</f>
        <v>1.5593810550766002E-2</v>
      </c>
      <c r="H174" s="63">
        <f>F174-Option_Portfolio!$G$5*SQRT(Option_Portfolio!$F$5)</f>
        <v>1.1475834878760174</v>
      </c>
      <c r="I174" s="115">
        <f t="shared" si="10"/>
        <v>0.55401108054419279</v>
      </c>
      <c r="J174" s="116">
        <f t="shared" si="11"/>
        <v>0.9037377063718357</v>
      </c>
      <c r="K174" s="115">
        <f t="shared" si="12"/>
        <v>0.50622077822566092</v>
      </c>
      <c r="L174" s="116">
        <f t="shared" si="13"/>
        <v>0.87442972523864992</v>
      </c>
      <c r="M174" s="62">
        <f>(1-K174)*Option_Portfolio!$E$4*EXP(-Option_Portfolio!$H$4*Option_Portfolio!$F$4)-(1-I174)*C174</f>
        <v>3.6971160070271836</v>
      </c>
      <c r="N174" s="116">
        <f>J174*D174-L174*Option_Portfolio!$E$5*EXP(-Option_Portfolio!$H$5*Option_Portfolio!$F$5)</f>
        <v>26.160246821007334</v>
      </c>
      <c r="O174" s="120">
        <f>M174 * -Option_Portfolio!$B$4 * 1000 + N174 * Option_Portfolio!$B$5 * 1000</f>
        <v>26440681.592824385</v>
      </c>
      <c r="P174" s="123">
        <f t="shared" si="14"/>
        <v>-7.2380930007024391E-3</v>
      </c>
    </row>
    <row r="175" spans="2:16">
      <c r="B175" s="57" t="s">
        <v>205</v>
      </c>
      <c r="C175" s="62">
        <f>$C$17*(1+Underlying_Assets!H166)</f>
        <v>85.889568251199293</v>
      </c>
      <c r="D175" s="8">
        <f>$D$17*(1+Underlying_Assets!I166)</f>
        <v>145.9687892376682</v>
      </c>
      <c r="E175" s="62">
        <f>(LN(C175/Option_Portfolio!$E$4)+(Option_Portfolio!$H$4+0.5*Option_Portfolio!$G$4^2)*Option_Portfolio!$F$4)/(Option_Portfolio!$G$4*SQRT(Option_Portfolio!$F$4))</f>
        <v>0.18830773107417381</v>
      </c>
      <c r="F175" s="63">
        <f>(LN(D175/Option_Portfolio!$E$5)+(Option_Portfolio!$H$5+0.5*Option_Portfolio!$G$5^2)*Option_Portfolio!$F$5)/(Option_Portfolio!$G$5*SQRT(Option_Portfolio!$F$5))</f>
        <v>1.3692228245895512</v>
      </c>
      <c r="G175" s="62">
        <f>E175-Option_Portfolio!$G$4*SQRT(Option_Portfolio!$F$4)</f>
        <v>6.8099578272460715E-2</v>
      </c>
      <c r="H175" s="63">
        <f>F175-Option_Portfolio!$G$5*SQRT(Option_Portfolio!$F$5)</f>
        <v>1.2136593327285108</v>
      </c>
      <c r="I175" s="115">
        <f t="shared" si="10"/>
        <v>0.57468228737576732</v>
      </c>
      <c r="J175" s="116">
        <f t="shared" si="11"/>
        <v>0.91453518328928263</v>
      </c>
      <c r="K175" s="115">
        <f t="shared" si="12"/>
        <v>0.52714681696548316</v>
      </c>
      <c r="L175" s="116">
        <f t="shared" si="13"/>
        <v>0.88756108009668599</v>
      </c>
      <c r="M175" s="62">
        <f>(1-K175)*Option_Portfolio!$E$4*EXP(-Option_Portfolio!$H$4*Option_Portfolio!$F$4)-(1-I175)*C175</f>
        <v>3.4617048184696912</v>
      </c>
      <c r="N175" s="116">
        <f>J175*D175-L175*Option_Portfolio!$E$5*EXP(-Option_Portfolio!$H$5*Option_Portfolio!$F$5)</f>
        <v>27.517471330952958</v>
      </c>
      <c r="O175" s="120">
        <f>M175 * -Option_Portfolio!$B$4 * 1000 + N175 * Option_Portfolio!$B$5 * 1000</f>
        <v>30803008.932618078</v>
      </c>
      <c r="P175" s="123">
        <f t="shared" si="14"/>
        <v>0.16498543445179426</v>
      </c>
    </row>
    <row r="176" spans="2:16">
      <c r="B176" s="57" t="s">
        <v>206</v>
      </c>
      <c r="C176" s="62">
        <f>$C$17*(1+Underlying_Assets!H167)</f>
        <v>86.337231171092725</v>
      </c>
      <c r="D176" s="8">
        <f>$D$17*(1+Underlying_Assets!I167)</f>
        <v>139.06725978647688</v>
      </c>
      <c r="E176" s="62">
        <f>(LN(C176/Option_Portfolio!$E$4)+(Option_Portfolio!$H$4+0.5*Option_Portfolio!$G$4^2)*Option_Portfolio!$F$4)/(Option_Portfolio!$G$4*SQRT(Option_Portfolio!$F$4))</f>
        <v>0.23155388027440738</v>
      </c>
      <c r="F176" s="63">
        <f>(LN(D176/Option_Portfolio!$E$5)+(Option_Portfolio!$H$5+0.5*Option_Portfolio!$G$5^2)*Option_Portfolio!$F$5)/(Option_Portfolio!$G$5*SQRT(Option_Portfolio!$F$5))</f>
        <v>1.0578700355851935</v>
      </c>
      <c r="G176" s="62">
        <f>E176-Option_Portfolio!$G$4*SQRT(Option_Portfolio!$F$4)</f>
        <v>0.11134572747269428</v>
      </c>
      <c r="H176" s="63">
        <f>F176-Option_Portfolio!$G$5*SQRT(Option_Portfolio!$F$5)</f>
        <v>0.90230654372415309</v>
      </c>
      <c r="I176" s="115">
        <f t="shared" si="10"/>
        <v>0.59155773393301092</v>
      </c>
      <c r="J176" s="116">
        <f t="shared" si="11"/>
        <v>0.8549426511231939</v>
      </c>
      <c r="K176" s="115">
        <f t="shared" si="12"/>
        <v>0.54432890223005526</v>
      </c>
      <c r="L176" s="116">
        <f t="shared" si="13"/>
        <v>0.81655297478838074</v>
      </c>
      <c r="M176" s="62">
        <f>(1-K176)*Option_Portfolio!$E$4*EXP(-Option_Portfolio!$H$4*Option_Portfolio!$F$4)-(1-I176)*C176</f>
        <v>3.275092093053928</v>
      </c>
      <c r="N176" s="116">
        <f>J176*D176-L176*Option_Portfolio!$E$5*EXP(-Option_Portfolio!$H$5*Option_Portfolio!$F$5)</f>
        <v>21.396883785926903</v>
      </c>
      <c r="O176" s="120">
        <f>M176 * -Option_Portfolio!$B$4 * 1000 + N176 * Option_Portfolio!$B$5 * 1000</f>
        <v>19868122.920476314</v>
      </c>
      <c r="P176" s="123">
        <f t="shared" si="14"/>
        <v>-0.35499408632649976</v>
      </c>
    </row>
    <row r="177" spans="2:16">
      <c r="B177" s="57" t="s">
        <v>207</v>
      </c>
      <c r="C177" s="62">
        <f>$C$17*(1+Underlying_Assets!H168)</f>
        <v>85.777068741893643</v>
      </c>
      <c r="D177" s="8">
        <f>$D$17*(1+Underlying_Assets!I168)</f>
        <v>143.65984251968504</v>
      </c>
      <c r="E177" s="62">
        <f>(LN(C177/Option_Portfolio!$E$4)+(Option_Portfolio!$H$4+0.5*Option_Portfolio!$G$4^2)*Option_Portfolio!$F$4)/(Option_Portfolio!$G$4*SQRT(Option_Portfolio!$F$4))</f>
        <v>0.17740435822913056</v>
      </c>
      <c r="F177" s="63">
        <f>(LN(D177/Option_Portfolio!$E$5)+(Option_Portfolio!$H$5+0.5*Option_Portfolio!$G$5^2)*Option_Portfolio!$F$5)/(Option_Portfolio!$G$5*SQRT(Option_Portfolio!$F$5))</f>
        <v>1.2667275290945548</v>
      </c>
      <c r="G177" s="62">
        <f>E177-Option_Portfolio!$G$4*SQRT(Option_Portfolio!$F$4)</f>
        <v>5.7196205427417462E-2</v>
      </c>
      <c r="H177" s="63">
        <f>F177-Option_Portfolio!$G$5*SQRT(Option_Portfolio!$F$5)</f>
        <v>1.1111640372335143</v>
      </c>
      <c r="I177" s="115">
        <f t="shared" si="10"/>
        <v>0.57040460787814418</v>
      </c>
      <c r="J177" s="116">
        <f t="shared" si="11"/>
        <v>0.89737363350573973</v>
      </c>
      <c r="K177" s="115">
        <f t="shared" si="12"/>
        <v>0.52280554957784076</v>
      </c>
      <c r="L177" s="116">
        <f t="shared" si="13"/>
        <v>0.86675112606514293</v>
      </c>
      <c r="M177" s="62">
        <f>(1-K177)*Option_Portfolio!$E$4*EXP(-Option_Portfolio!$H$4*Option_Portfolio!$F$4)-(1-I177)*C177</f>
        <v>3.5097933383438971</v>
      </c>
      <c r="N177" s="116">
        <f>J177*D177-L177*Option_Portfolio!$E$5*EXP(-Option_Portfolio!$H$5*Option_Portfolio!$F$5)</f>
        <v>25.425172456056885</v>
      </c>
      <c r="O177" s="120">
        <f>M177 * -Option_Portfolio!$B$4 * 1000 + N177 * Option_Portfolio!$B$5 * 1000</f>
        <v>26281791.543706492</v>
      </c>
      <c r="P177" s="123">
        <f t="shared" si="14"/>
        <v>0.32281200639342633</v>
      </c>
    </row>
    <row r="178" spans="2:16">
      <c r="B178" s="57" t="s">
        <v>208</v>
      </c>
      <c r="C178" s="62">
        <f>$C$17*(1+Underlying_Assets!H169)</f>
        <v>85.74</v>
      </c>
      <c r="D178" s="8">
        <f>$D$17*(1+Underlying_Assets!I169)</f>
        <v>145.20560224089641</v>
      </c>
      <c r="E178" s="62">
        <f>(LN(C178/Option_Portfolio!$E$4)+(Option_Portfolio!$H$4+0.5*Option_Portfolio!$G$4^2)*Option_Portfolio!$F$4)/(Option_Portfolio!$G$4*SQRT(Option_Portfolio!$F$4))</f>
        <v>0.17380854952474384</v>
      </c>
      <c r="F178" s="63">
        <f>(LN(D178/Option_Portfolio!$E$5)+(Option_Portfolio!$H$5+0.5*Option_Portfolio!$G$5^2)*Option_Portfolio!$F$5)/(Option_Portfolio!$G$5*SQRT(Option_Portfolio!$F$5))</f>
        <v>1.3355250599299706</v>
      </c>
      <c r="G178" s="62">
        <f>E178-Option_Portfolio!$G$4*SQRT(Option_Portfolio!$F$4)</f>
        <v>5.3600396723030741E-2</v>
      </c>
      <c r="H178" s="63">
        <f>F178-Option_Portfolio!$G$5*SQRT(Option_Portfolio!$F$5)</f>
        <v>1.1799615680689302</v>
      </c>
      <c r="I178" s="115">
        <f t="shared" si="10"/>
        <v>0.56899203744105553</v>
      </c>
      <c r="J178" s="116">
        <f t="shared" si="11"/>
        <v>0.90914772050798864</v>
      </c>
      <c r="K178" s="115">
        <f t="shared" si="12"/>
        <v>0.52137322978555622</v>
      </c>
      <c r="L178" s="116">
        <f t="shared" si="13"/>
        <v>0.88099224967780509</v>
      </c>
      <c r="M178" s="62">
        <f>(1-K178)*Option_Portfolio!$E$4*EXP(-Option_Portfolio!$H$4*Option_Portfolio!$F$4)-(1-I178)*C178</f>
        <v>3.5257440755162008</v>
      </c>
      <c r="N178" s="116">
        <f>J178*D178-L178*Option_Portfolio!$E$5*EXP(-Option_Portfolio!$H$5*Option_Portfolio!$F$5)</f>
        <v>26.821548382126494</v>
      </c>
      <c r="O178" s="120">
        <f>M178 * -Option_Portfolio!$B$4 * 1000 + N178 * Option_Portfolio!$B$5 * 1000</f>
        <v>28962888.235639583</v>
      </c>
      <c r="P178" s="123">
        <f t="shared" si="14"/>
        <v>0.10201346766922037</v>
      </c>
    </row>
    <row r="179" spans="2:16">
      <c r="B179" s="57" t="s">
        <v>209</v>
      </c>
      <c r="C179" s="62">
        <f>$C$17*(1+Underlying_Assets!H170)</f>
        <v>85.999369057908382</v>
      </c>
      <c r="D179" s="8">
        <f>$D$17*(1+Underlying_Assets!I170)</f>
        <v>148.5750465549348</v>
      </c>
      <c r="E179" s="62">
        <f>(LN(C179/Option_Portfolio!$E$4)+(Option_Portfolio!$H$4+0.5*Option_Portfolio!$G$4^2)*Option_Portfolio!$F$4)/(Option_Portfolio!$G$4*SQRT(Option_Portfolio!$F$4))</f>
        <v>0.19893578466159553</v>
      </c>
      <c r="F179" s="63">
        <f>(LN(D179/Option_Portfolio!$E$5)+(Option_Portfolio!$H$5+0.5*Option_Portfolio!$G$5^2)*Option_Portfolio!$F$5)/(Option_Portfolio!$G$5*SQRT(Option_Portfolio!$F$5))</f>
        <v>1.4829858153331676</v>
      </c>
      <c r="G179" s="62">
        <f>E179-Option_Portfolio!$G$4*SQRT(Option_Portfolio!$F$4)</f>
        <v>7.8727631859882435E-2</v>
      </c>
      <c r="H179" s="63">
        <f>F179-Option_Portfolio!$G$5*SQRT(Option_Portfolio!$F$5)</f>
        <v>1.3274223234721272</v>
      </c>
      <c r="I179" s="115">
        <f t="shared" si="10"/>
        <v>0.57884351159391845</v>
      </c>
      <c r="J179" s="116">
        <f t="shared" si="11"/>
        <v>0.93096091025316741</v>
      </c>
      <c r="K179" s="115">
        <f t="shared" si="12"/>
        <v>0.5313753666791019</v>
      </c>
      <c r="L179" s="116">
        <f t="shared" si="13"/>
        <v>0.90781549038261289</v>
      </c>
      <c r="M179" s="62">
        <f>(1-K179)*Option_Portfolio!$E$4*EXP(-Option_Portfolio!$H$4*Option_Portfolio!$F$4)-(1-I179)*C179</f>
        <v>3.415233170400704</v>
      </c>
      <c r="N179" s="116">
        <f>J179*D179-L179*Option_Portfolio!$E$5*EXP(-Option_Portfolio!$H$5*Option_Portfolio!$F$5)</f>
        <v>29.923031573473921</v>
      </c>
      <c r="O179" s="120">
        <f>M179 * -Option_Portfolio!$B$4 * 1000 + N179 * Option_Portfolio!$B$5 * 1000</f>
        <v>35939430.954142913</v>
      </c>
      <c r="P179" s="123">
        <f t="shared" si="14"/>
        <v>0.24087869489198632</v>
      </c>
    </row>
    <row r="180" spans="2:16">
      <c r="B180" s="57" t="s">
        <v>210</v>
      </c>
      <c r="C180" s="62">
        <f>$C$17*(1+Underlying_Assets!H171)</f>
        <v>85.481413183972421</v>
      </c>
      <c r="D180" s="8">
        <f>$D$17*(1+Underlying_Assets!I171)</f>
        <v>144.99709618874772</v>
      </c>
      <c r="E180" s="62">
        <f>(LN(C180/Option_Portfolio!$E$4)+(Option_Portfolio!$H$4+0.5*Option_Portfolio!$G$4^2)*Option_Portfolio!$F$4)/(Option_Portfolio!$G$4*SQRT(Option_Portfolio!$F$4))</f>
        <v>0.1486813143878927</v>
      </c>
      <c r="F180" s="63">
        <f>(LN(D180/Option_Portfolio!$E$5)+(Option_Portfolio!$H$5+0.5*Option_Portfolio!$G$5^2)*Option_Portfolio!$F$5)/(Option_Portfolio!$G$5*SQRT(Option_Portfolio!$F$5))</f>
        <v>1.3262878756784497</v>
      </c>
      <c r="G180" s="62">
        <f>E180-Option_Portfolio!$G$4*SQRT(Option_Portfolio!$F$4)</f>
        <v>2.8473161586179602E-2</v>
      </c>
      <c r="H180" s="63">
        <f>F180-Option_Portfolio!$G$5*SQRT(Option_Portfolio!$F$5)</f>
        <v>1.1707243838174093</v>
      </c>
      <c r="I180" s="115">
        <f t="shared" si="10"/>
        <v>0.55909744685174689</v>
      </c>
      <c r="J180" s="116">
        <f t="shared" si="11"/>
        <v>0.90762781935703674</v>
      </c>
      <c r="K180" s="115">
        <f t="shared" si="12"/>
        <v>0.51135761335021956</v>
      </c>
      <c r="L180" s="116">
        <f t="shared" si="13"/>
        <v>0.87914520965173659</v>
      </c>
      <c r="M180" s="62">
        <f>(1-K180)*Option_Portfolio!$E$4*EXP(-Option_Portfolio!$H$4*Option_Portfolio!$F$4)-(1-I180)*C180</f>
        <v>3.6384748496831349</v>
      </c>
      <c r="N180" s="116">
        <f>J180*D180-L180*Option_Portfolio!$E$5*EXP(-Option_Portfolio!$H$5*Option_Portfolio!$F$5)</f>
        <v>26.632143671782217</v>
      </c>
      <c r="O180" s="120">
        <f>M180 * -Option_Portfolio!$B$4 * 1000 + N180 * Option_Portfolio!$B$5 * 1000</f>
        <v>27794963.395782493</v>
      </c>
      <c r="P180" s="123">
        <f t="shared" si="14"/>
        <v>-0.22661648618622798</v>
      </c>
    </row>
    <row r="181" spans="2:16">
      <c r="B181" s="57" t="s">
        <v>211</v>
      </c>
      <c r="C181" s="62">
        <f>$C$17*(1+Underlying_Assets!H172)</f>
        <v>86.425475367329284</v>
      </c>
      <c r="D181" s="8">
        <f>$D$17*(1+Underlying_Assets!I172)</f>
        <v>145.25926597190758</v>
      </c>
      <c r="E181" s="62">
        <f>(LN(C181/Option_Portfolio!$E$4)+(Option_Portfolio!$H$4+0.5*Option_Portfolio!$G$4^2)*Option_Portfolio!$F$4)/(Option_Portfolio!$G$4*SQRT(Option_Portfolio!$F$4))</f>
        <v>0.2400521842723144</v>
      </c>
      <c r="F181" s="63">
        <f>(LN(D181/Option_Portfolio!$E$5)+(Option_Portfolio!$H$5+0.5*Option_Portfolio!$G$5^2)*Option_Portfolio!$F$5)/(Option_Portfolio!$G$5*SQRT(Option_Portfolio!$F$5))</f>
        <v>1.3379003112589545</v>
      </c>
      <c r="G181" s="62">
        <f>E181-Option_Portfolio!$G$4*SQRT(Option_Portfolio!$F$4)</f>
        <v>0.1198440314706013</v>
      </c>
      <c r="H181" s="63">
        <f>F181-Option_Portfolio!$G$5*SQRT(Option_Portfolio!$F$5)</f>
        <v>1.182336819397914</v>
      </c>
      <c r="I181" s="115">
        <f t="shared" si="10"/>
        <v>0.59485509906211764</v>
      </c>
      <c r="J181" s="116">
        <f t="shared" si="11"/>
        <v>0.90953553215791982</v>
      </c>
      <c r="K181" s="115">
        <f t="shared" si="12"/>
        <v>0.54769664939456619</v>
      </c>
      <c r="L181" s="116">
        <f t="shared" si="13"/>
        <v>0.88146395920343845</v>
      </c>
      <c r="M181" s="62">
        <f>(1-K181)*Option_Portfolio!$E$4*EXP(-Option_Portfolio!$H$4*Option_Portfolio!$F$4)-(1-I181)*C181</f>
        <v>3.2391949936049187</v>
      </c>
      <c r="N181" s="116">
        <f>J181*D181-L181*Option_Portfolio!$E$5*EXP(-Option_Portfolio!$H$5*Option_Portfolio!$F$5)</f>
        <v>26.870347052706492</v>
      </c>
      <c r="O181" s="120">
        <f>M181 * -Option_Portfolio!$B$4 * 1000 + N181 * Option_Portfolio!$B$5 * 1000</f>
        <v>31066329.150178552</v>
      </c>
      <c r="P181" s="123">
        <f t="shared" si="14"/>
        <v>0.11769635051551974</v>
      </c>
    </row>
    <row r="182" spans="2:16">
      <c r="B182" s="57" t="s">
        <v>212</v>
      </c>
      <c r="C182" s="62">
        <f>$C$17*(1+Underlying_Assets!H173)</f>
        <v>86.07082958199355</v>
      </c>
      <c r="D182" s="8">
        <f>$D$17*(1+Underlying_Assets!I173)</f>
        <v>144.66919602529359</v>
      </c>
      <c r="E182" s="62">
        <f>(LN(C182/Option_Portfolio!$E$4)+(Option_Portfolio!$H$4+0.5*Option_Portfolio!$G$4^2)*Option_Portfolio!$F$4)/(Option_Portfolio!$G$4*SQRT(Option_Portfolio!$F$4))</f>
        <v>0.20584544396442317</v>
      </c>
      <c r="F182" s="63">
        <f>(LN(D182/Option_Portfolio!$E$5)+(Option_Portfolio!$H$5+0.5*Option_Portfolio!$G$5^2)*Option_Portfolio!$F$5)/(Option_Portfolio!$G$5*SQRT(Option_Portfolio!$F$5))</f>
        <v>1.3117344185452662</v>
      </c>
      <c r="G182" s="62">
        <f>E182-Option_Portfolio!$G$4*SQRT(Option_Portfolio!$F$4)</f>
        <v>8.5637291162710072E-2</v>
      </c>
      <c r="H182" s="63">
        <f>F182-Option_Portfolio!$G$5*SQRT(Option_Portfolio!$F$5)</f>
        <v>1.1561709266842257</v>
      </c>
      <c r="I182" s="115">
        <f t="shared" si="10"/>
        <v>0.58154417894682475</v>
      </c>
      <c r="J182" s="116">
        <f t="shared" si="11"/>
        <v>0.90519512030645222</v>
      </c>
      <c r="K182" s="115">
        <f t="shared" si="12"/>
        <v>0.53412262336236815</v>
      </c>
      <c r="L182" s="116">
        <f t="shared" si="13"/>
        <v>0.87619437538348766</v>
      </c>
      <c r="M182" s="62">
        <f>(1-K182)*Option_Portfolio!$E$4*EXP(-Option_Portfolio!$H$4*Option_Portfolio!$F$4)-(1-I182)*C182</f>
        <v>3.3852336384183772</v>
      </c>
      <c r="N182" s="116">
        <f>J182*D182-L182*Option_Portfolio!$E$5*EXP(-Option_Portfolio!$H$5*Option_Portfolio!$F$5)</f>
        <v>26.334929776152407</v>
      </c>
      <c r="O182" s="120">
        <f>M182 * -Option_Portfolio!$B$4 * 1000 + N182 * Option_Portfolio!$B$5 * 1000</f>
        <v>28973224.083376169</v>
      </c>
      <c r="P182" s="123">
        <f t="shared" si="14"/>
        <v>-6.7375358597536517E-2</v>
      </c>
    </row>
    <row r="183" spans="2:16">
      <c r="B183" s="57" t="s">
        <v>213</v>
      </c>
      <c r="C183" s="62">
        <f>$C$17*(1+Underlying_Assets!H174)</f>
        <v>86.655438821268405</v>
      </c>
      <c r="D183" s="8">
        <f>$D$17*(1+Underlying_Assets!I174)</f>
        <v>145.06184448462932</v>
      </c>
      <c r="E183" s="62">
        <f>(LN(C183/Option_Portfolio!$E$4)+(Option_Portfolio!$H$4+0.5*Option_Portfolio!$G$4^2)*Option_Portfolio!$F$4)/(Option_Portfolio!$G$4*SQRT(Option_Portfolio!$F$4))</f>
        <v>0.26215797071770253</v>
      </c>
      <c r="F183" s="63">
        <f>(LN(D183/Option_Portfolio!$E$5)+(Option_Portfolio!$H$5+0.5*Option_Portfolio!$G$5^2)*Option_Portfolio!$F$5)/(Option_Portfolio!$G$5*SQRT(Option_Portfolio!$F$5))</f>
        <v>1.3291577600946261</v>
      </c>
      <c r="G183" s="62">
        <f>E183-Option_Portfolio!$G$4*SQRT(Option_Portfolio!$F$4)</f>
        <v>0.14194981791598943</v>
      </c>
      <c r="H183" s="63">
        <f>F183-Option_Portfolio!$G$5*SQRT(Option_Portfolio!$F$5)</f>
        <v>1.1735942682335856</v>
      </c>
      <c r="I183" s="115">
        <f t="shared" si="10"/>
        <v>0.60340017252831257</v>
      </c>
      <c r="J183" s="116">
        <f t="shared" si="11"/>
        <v>0.90810203626219832</v>
      </c>
      <c r="K183" s="115">
        <f t="shared" si="12"/>
        <v>0.55644017815626079</v>
      </c>
      <c r="L183" s="116">
        <f t="shared" si="13"/>
        <v>0.87972121093418576</v>
      </c>
      <c r="M183" s="62">
        <f>(1-K183)*Option_Portfolio!$E$4*EXP(-Option_Portfolio!$H$4*Option_Portfolio!$F$4)-(1-I183)*C183</f>
        <v>3.1470103442568842</v>
      </c>
      <c r="N183" s="116">
        <f>J183*D183-L183*Option_Portfolio!$E$5*EXP(-Option_Portfolio!$H$5*Option_Portfolio!$F$5)</f>
        <v>26.690926389640694</v>
      </c>
      <c r="O183" s="120">
        <f>M183 * -Option_Portfolio!$B$4 * 1000 + N183 * Option_Portfolio!$B$5 * 1000</f>
        <v>31352780.369483203</v>
      </c>
      <c r="P183" s="123">
        <f t="shared" si="14"/>
        <v>8.21294958151495E-2</v>
      </c>
    </row>
    <row r="184" spans="2:16">
      <c r="B184" s="57" t="s">
        <v>214</v>
      </c>
      <c r="C184" s="62">
        <f>$C$17*(1+Underlying_Assets!H175)</f>
        <v>84.36323262201563</v>
      </c>
      <c r="D184" s="8">
        <f>$D$17*(1+Underlying_Assets!I175)</f>
        <v>144.93068592057764</v>
      </c>
      <c r="E184" s="62">
        <f>(LN(C184/Option_Portfolio!$E$4)+(Option_Portfolio!$H$4+0.5*Option_Portfolio!$G$4^2)*Option_Portfolio!$F$4)/(Option_Portfolio!$G$4*SQRT(Option_Portfolio!$F$4))</f>
        <v>3.9143915333309409E-2</v>
      </c>
      <c r="F184" s="63">
        <f>(LN(D184/Option_Portfolio!$E$5)+(Option_Portfolio!$H$5+0.5*Option_Portfolio!$G$5^2)*Option_Portfolio!$F$5)/(Option_Portfolio!$G$5*SQRT(Option_Portfolio!$F$5))</f>
        <v>1.3233429948756827</v>
      </c>
      <c r="G184" s="62">
        <f>E184-Option_Portfolio!$G$4*SQRT(Option_Portfolio!$F$4)</f>
        <v>-8.1064237468403688E-2</v>
      </c>
      <c r="H184" s="63">
        <f>F184-Option_Portfolio!$G$5*SQRT(Option_Portfolio!$F$5)</f>
        <v>1.1677795030146423</v>
      </c>
      <c r="I184" s="115">
        <f t="shared" si="10"/>
        <v>0.5156121757958696</v>
      </c>
      <c r="J184" s="116">
        <f t="shared" si="11"/>
        <v>0.90713933014288617</v>
      </c>
      <c r="K184" s="115">
        <f t="shared" si="12"/>
        <v>0.46769543320916507</v>
      </c>
      <c r="L184" s="116">
        <f t="shared" si="13"/>
        <v>0.87855214099751711</v>
      </c>
      <c r="M184" s="62">
        <f>(1-K184)*Option_Portfolio!$E$4*EXP(-Option_Portfolio!$H$4*Option_Portfolio!$F$4)-(1-I184)*C184</f>
        <v>4.1557006758864432</v>
      </c>
      <c r="N184" s="116">
        <f>J184*D184-L184*Option_Portfolio!$E$5*EXP(-Option_Portfolio!$H$5*Option_Portfolio!$F$5)</f>
        <v>26.571884073464403</v>
      </c>
      <c r="O184" s="120">
        <f>M184 * -Option_Portfolio!$B$4 * 1000 + N184 * Option_Portfolio!$B$5 * 1000</f>
        <v>24053863.415723708</v>
      </c>
      <c r="P184" s="123">
        <f t="shared" si="14"/>
        <v>-0.23279967096199849</v>
      </c>
    </row>
    <row r="185" spans="2:16">
      <c r="B185" s="57" t="s">
        <v>215</v>
      </c>
      <c r="C185" s="62">
        <f>$C$17*(1+Underlying_Assets!H176)</f>
        <v>85.26131415074083</v>
      </c>
      <c r="D185" s="8">
        <f>$D$17*(1+Underlying_Assets!I176)</f>
        <v>142.8414788097385</v>
      </c>
      <c r="E185" s="62">
        <f>(LN(C185/Option_Portfolio!$E$4)+(Option_Portfolio!$H$4+0.5*Option_Portfolio!$G$4^2)*Option_Portfolio!$F$4)/(Option_Portfolio!$G$4*SQRT(Option_Portfolio!$F$4))</f>
        <v>0.12723403381065401</v>
      </c>
      <c r="F185" s="63">
        <f>(LN(D185/Option_Portfolio!$E$5)+(Option_Portfolio!$H$5+0.5*Option_Portfolio!$G$5^2)*Option_Portfolio!$F$5)/(Option_Portfolio!$G$5*SQRT(Option_Portfolio!$F$5))</f>
        <v>1.2300041000111401</v>
      </c>
      <c r="G185" s="62">
        <f>E185-Option_Portfolio!$G$4*SQRT(Option_Portfolio!$F$4)</f>
        <v>7.0258810089409152E-3</v>
      </c>
      <c r="H185" s="63">
        <f>F185-Option_Portfolio!$G$5*SQRT(Option_Portfolio!$F$5)</f>
        <v>1.0744406081500997</v>
      </c>
      <c r="I185" s="115">
        <f t="shared" si="10"/>
        <v>0.55062241540801771</v>
      </c>
      <c r="J185" s="116">
        <f t="shared" si="11"/>
        <v>0.89065221523967275</v>
      </c>
      <c r="K185" s="115">
        <f t="shared" si="12"/>
        <v>0.50280289793160682</v>
      </c>
      <c r="L185" s="116">
        <f t="shared" si="13"/>
        <v>0.85868737480309698</v>
      </c>
      <c r="M185" s="62">
        <f>(1-K185)*Option_Portfolio!$E$4*EXP(-Option_Portfolio!$H$4*Option_Portfolio!$F$4)-(1-I185)*C185</f>
        <v>3.736448887803455</v>
      </c>
      <c r="N185" s="116">
        <f>J185*D185-L185*Option_Portfolio!$E$5*EXP(-Option_Portfolio!$H$5*Option_Portfolio!$F$5)</f>
        <v>24.693521091490112</v>
      </c>
      <c r="O185" s="120">
        <f>M185 * -Option_Portfolio!$B$4 * 1000 + N185 * Option_Portfolio!$B$5 * 1000</f>
        <v>23231899.968356039</v>
      </c>
      <c r="P185" s="123">
        <f t="shared" si="14"/>
        <v>-3.4171784929582727E-2</v>
      </c>
    </row>
    <row r="186" spans="2:16">
      <c r="B186" s="57" t="s">
        <v>216</v>
      </c>
      <c r="C186" s="62">
        <f>$C$17*(1+Underlying_Assets!H177)</f>
        <v>86.665717987475702</v>
      </c>
      <c r="D186" s="8">
        <f>$D$17*(1+Underlying_Assets!I177)</f>
        <v>144.00585009140767</v>
      </c>
      <c r="E186" s="62">
        <f>(LN(C186/Option_Portfolio!$E$4)+(Option_Portfolio!$H$4+0.5*Option_Portfolio!$G$4^2)*Option_Portfolio!$F$4)/(Option_Portfolio!$G$4*SQRT(Option_Portfolio!$F$4))</f>
        <v>0.26314470991839634</v>
      </c>
      <c r="F186" s="63">
        <f>(LN(D186/Option_Portfolio!$E$5)+(Option_Portfolio!$H$5+0.5*Option_Portfolio!$G$5^2)*Option_Portfolio!$F$5)/(Option_Portfolio!$G$5*SQRT(Option_Portfolio!$F$5))</f>
        <v>1.2821914654738149</v>
      </c>
      <c r="G186" s="62">
        <f>E186-Option_Portfolio!$G$4*SQRT(Option_Portfolio!$F$4)</f>
        <v>0.14293655711668324</v>
      </c>
      <c r="H186" s="63">
        <f>F186-Option_Portfolio!$G$5*SQRT(Option_Portfolio!$F$5)</f>
        <v>1.1266279736127744</v>
      </c>
      <c r="I186" s="115">
        <f t="shared" si="10"/>
        <v>0.60378047782249433</v>
      </c>
      <c r="J186" s="116">
        <f t="shared" si="11"/>
        <v>0.90011225532790839</v>
      </c>
      <c r="K186" s="115">
        <f t="shared" si="12"/>
        <v>0.5568298567054385</v>
      </c>
      <c r="L186" s="116">
        <f t="shared" si="13"/>
        <v>0.87005009662811816</v>
      </c>
      <c r="M186" s="62">
        <f>(1-K186)*Option_Portfolio!$E$4*EXP(-Option_Portfolio!$H$4*Option_Portfolio!$F$4)-(1-I186)*C186</f>
        <v>3.1429355834462456</v>
      </c>
      <c r="N186" s="116">
        <f>J186*D186-L186*Option_Portfolio!$E$5*EXP(-Option_Portfolio!$H$5*Option_Portfolio!$F$5)</f>
        <v>25.736146066056421</v>
      </c>
      <c r="O186" s="120">
        <f>M186 * -Option_Portfolio!$B$4 * 1000 + N186 * Option_Portfolio!$B$5 * 1000</f>
        <v>29471743.047989119</v>
      </c>
      <c r="P186" s="123">
        <f t="shared" si="14"/>
        <v>0.2685894433142495</v>
      </c>
    </row>
    <row r="187" spans="2:16">
      <c r="B187" s="57" t="s">
        <v>217</v>
      </c>
      <c r="C187" s="62">
        <f>$C$17*(1+Underlying_Assets!H178)</f>
        <v>86.307814569536404</v>
      </c>
      <c r="D187" s="8">
        <f>$D$17*(1+Underlying_Assets!I178)</f>
        <v>144.40073529411768</v>
      </c>
      <c r="E187" s="62">
        <f>(LN(C187/Option_Portfolio!$E$4)+(Option_Portfolio!$H$4+0.5*Option_Portfolio!$G$4^2)*Option_Portfolio!$F$4)/(Option_Portfolio!$G$4*SQRT(Option_Portfolio!$F$4))</f>
        <v>0.22871900174872853</v>
      </c>
      <c r="F187" s="63">
        <f>(LN(D187/Option_Portfolio!$E$5)+(Option_Portfolio!$H$5+0.5*Option_Portfolio!$G$5^2)*Option_Portfolio!$F$5)/(Option_Portfolio!$G$5*SQRT(Option_Portfolio!$F$5))</f>
        <v>1.2997945296114917</v>
      </c>
      <c r="G187" s="62">
        <f>E187-Option_Portfolio!$G$4*SQRT(Option_Portfolio!$F$4)</f>
        <v>0.10851084894701543</v>
      </c>
      <c r="H187" s="63">
        <f>F187-Option_Portfolio!$G$5*SQRT(Option_Portfolio!$F$5)</f>
        <v>1.1442310377504512</v>
      </c>
      <c r="I187" s="115">
        <f t="shared" si="10"/>
        <v>0.59045633751336546</v>
      </c>
      <c r="J187" s="116">
        <f t="shared" si="11"/>
        <v>0.90316429954037813</v>
      </c>
      <c r="K187" s="115">
        <f t="shared" si="12"/>
        <v>0.54320476244250293</v>
      </c>
      <c r="L187" s="116">
        <f t="shared" si="13"/>
        <v>0.8737360827899161</v>
      </c>
      <c r="M187" s="62">
        <f>(1-K187)*Option_Portfolio!$E$4*EXP(-Option_Portfolio!$H$4*Option_Portfolio!$F$4)-(1-I187)*C187</f>
        <v>3.287123273441857</v>
      </c>
      <c r="N187" s="116">
        <f>J187*D187-L187*Option_Portfolio!$E$5*EXP(-Option_Portfolio!$H$5*Option_Portfolio!$F$5)</f>
        <v>26.092192237399686</v>
      </c>
      <c r="O187" s="120">
        <f>M187 * -Option_Portfolio!$B$4 * 1000 + N187 * Option_Portfolio!$B$5 * 1000</f>
        <v>29174521.560706373</v>
      </c>
      <c r="P187" s="123">
        <f t="shared" si="14"/>
        <v>-1.0084964665943774E-2</v>
      </c>
    </row>
    <row r="188" spans="2:16">
      <c r="B188" s="57" t="s">
        <v>218</v>
      </c>
      <c r="C188" s="62">
        <f>$C$17*(1+Underlying_Assets!H179)</f>
        <v>85.321489813242778</v>
      </c>
      <c r="D188" s="8">
        <f>$D$17*(1+Underlying_Assets!I179)</f>
        <v>142.0641474654378</v>
      </c>
      <c r="E188" s="62">
        <f>(LN(C188/Option_Portfolio!$E$4)+(Option_Portfolio!$H$4+0.5*Option_Portfolio!$G$4^2)*Option_Portfolio!$F$4)/(Option_Portfolio!$G$4*SQRT(Option_Portfolio!$F$4))</f>
        <v>0.13310327182275941</v>
      </c>
      <c r="F188" s="63">
        <f>(LN(D188/Option_Portfolio!$E$5)+(Option_Portfolio!$H$5+0.5*Option_Portfolio!$G$5^2)*Option_Portfolio!$F$5)/(Option_Portfolio!$G$5*SQRT(Option_Portfolio!$F$5))</f>
        <v>1.1949266071668718</v>
      </c>
      <c r="G188" s="62">
        <f>E188-Option_Portfolio!$G$4*SQRT(Option_Portfolio!$F$4)</f>
        <v>1.2895119021046314E-2</v>
      </c>
      <c r="H188" s="63">
        <f>F188-Option_Portfolio!$G$5*SQRT(Option_Portfolio!$F$5)</f>
        <v>1.0393631153058314</v>
      </c>
      <c r="I188" s="115">
        <f t="shared" si="10"/>
        <v>0.55294414618375742</v>
      </c>
      <c r="J188" s="116">
        <f t="shared" si="11"/>
        <v>0.88394214685951633</v>
      </c>
      <c r="K188" s="115">
        <f t="shared" si="12"/>
        <v>0.50514426561965053</v>
      </c>
      <c r="L188" s="116">
        <f t="shared" si="13"/>
        <v>0.85068205426448629</v>
      </c>
      <c r="M188" s="62">
        <f>(1-K188)*Option_Portfolio!$E$4*EXP(-Option_Portfolio!$H$4*Option_Portfolio!$F$4)-(1-I188)*C188</f>
        <v>3.7094771668900037</v>
      </c>
      <c r="N188" s="116">
        <f>J188*D188-L188*Option_Portfolio!$E$5*EXP(-Option_Portfolio!$H$5*Option_Portfolio!$F$5)</f>
        <v>24.003776324154359</v>
      </c>
      <c r="O188" s="120">
        <f>M188 * -Option_Portfolio!$B$4 * 1000 + N188 * Option_Portfolio!$B$5 * 1000</f>
        <v>22041212.480078693</v>
      </c>
      <c r="P188" s="123">
        <f t="shared" si="14"/>
        <v>-0.24450474931644328</v>
      </c>
    </row>
    <row r="189" spans="2:16">
      <c r="B189" s="57" t="s">
        <v>219</v>
      </c>
      <c r="C189" s="62">
        <f>$C$17*(1+Underlying_Assets!H180)</f>
        <v>86.398272552783098</v>
      </c>
      <c r="D189" s="8">
        <f>$D$17*(1+Underlying_Assets!I180)</f>
        <v>144.25589478628464</v>
      </c>
      <c r="E189" s="62">
        <f>(LN(C189/Option_Portfolio!$E$4)+(Option_Portfolio!$H$4+0.5*Option_Portfolio!$G$4^2)*Option_Portfolio!$F$4)/(Option_Portfolio!$G$4*SQRT(Option_Portfolio!$F$4))</f>
        <v>0.23743335915702091</v>
      </c>
      <c r="F189" s="63">
        <f>(LN(D189/Option_Portfolio!$E$5)+(Option_Portfolio!$H$5+0.5*Option_Portfolio!$G$5^2)*Option_Portfolio!$F$5)/(Option_Portfolio!$G$5*SQRT(Option_Portfolio!$F$5))</f>
        <v>1.2933434730334767</v>
      </c>
      <c r="G189" s="62">
        <f>E189-Option_Portfolio!$G$4*SQRT(Option_Portfolio!$F$4)</f>
        <v>0.11722520635530781</v>
      </c>
      <c r="H189" s="63">
        <f>F189-Option_Portfolio!$G$5*SQRT(Option_Portfolio!$F$5)</f>
        <v>1.1377799811724363</v>
      </c>
      <c r="I189" s="115">
        <f t="shared" si="10"/>
        <v>0.59383969367419809</v>
      </c>
      <c r="J189" s="116">
        <f t="shared" si="11"/>
        <v>0.9020538543712987</v>
      </c>
      <c r="K189" s="115">
        <f t="shared" si="12"/>
        <v>0.54665920357979636</v>
      </c>
      <c r="L189" s="116">
        <f t="shared" si="13"/>
        <v>0.872393816922302</v>
      </c>
      <c r="M189" s="62">
        <f>(1-K189)*Option_Portfolio!$E$4*EXP(-Option_Portfolio!$H$4*Option_Portfolio!$F$4)-(1-I189)*C189</f>
        <v>3.250229883987906</v>
      </c>
      <c r="N189" s="116">
        <f>J189*D189-L189*Option_Portfolio!$E$5*EXP(-Option_Portfolio!$H$5*Option_Portfolio!$F$5)</f>
        <v>25.961457754761383</v>
      </c>
      <c r="O189" s="120">
        <f>M189 * -Option_Portfolio!$B$4 * 1000 + N189 * Option_Portfolio!$B$5 * 1000</f>
        <v>29171306.321607422</v>
      </c>
      <c r="P189" s="123">
        <f t="shared" si="14"/>
        <v>0.32348918408971628</v>
      </c>
    </row>
    <row r="190" spans="2:16">
      <c r="B190" s="57" t="s">
        <v>220</v>
      </c>
      <c r="C190" s="62">
        <f>$C$17*(1+Underlying_Assets!H181)</f>
        <v>85.522247619047619</v>
      </c>
      <c r="D190" s="8">
        <f>$D$17*(1+Underlying_Assets!I181)</f>
        <v>146.30193305044793</v>
      </c>
      <c r="E190" s="62">
        <f>(LN(C190/Option_Portfolio!$E$4)+(Option_Portfolio!$H$4+0.5*Option_Portfolio!$G$4^2)*Option_Portfolio!$F$4)/(Option_Portfolio!$G$4*SQRT(Option_Portfolio!$F$4))</f>
        <v>0.15265430212268344</v>
      </c>
      <c r="F190" s="63">
        <f>(LN(D190/Option_Portfolio!$E$5)+(Option_Portfolio!$H$5+0.5*Option_Portfolio!$G$5^2)*Option_Portfolio!$F$5)/(Option_Portfolio!$G$5*SQRT(Option_Portfolio!$F$5))</f>
        <v>1.3838772548945335</v>
      </c>
      <c r="G190" s="62">
        <f>E190-Option_Portfolio!$G$4*SQRT(Option_Portfolio!$F$4)</f>
        <v>3.2446149320970341E-2</v>
      </c>
      <c r="H190" s="63">
        <f>F190-Option_Portfolio!$G$5*SQRT(Option_Portfolio!$F$5)</f>
        <v>1.228313763033493</v>
      </c>
      <c r="I190" s="115">
        <f t="shared" si="10"/>
        <v>0.56066455005169102</v>
      </c>
      <c r="J190" s="116">
        <f t="shared" si="11"/>
        <v>0.91680197880671077</v>
      </c>
      <c r="K190" s="115">
        <f t="shared" si="12"/>
        <v>0.51294186999596147</v>
      </c>
      <c r="L190" s="116">
        <f t="shared" si="13"/>
        <v>0.89033539679779683</v>
      </c>
      <c r="M190" s="62">
        <f>(1-K190)*Option_Portfolio!$E$4*EXP(-Option_Portfolio!$H$4*Option_Portfolio!$F$4)-(1-I190)*C190</f>
        <v>3.6205028446279783</v>
      </c>
      <c r="N190" s="116">
        <f>J190*D190-L190*Option_Portfolio!$E$5*EXP(-Option_Portfolio!$H$5*Option_Portfolio!$F$5)</f>
        <v>27.822522066204414</v>
      </c>
      <c r="O190" s="120">
        <f>M190 * -Option_Portfolio!$B$4 * 1000 + N190 * Option_Portfolio!$B$5 * 1000</f>
        <v>30301524.220012978</v>
      </c>
      <c r="P190" s="123">
        <f t="shared" si="14"/>
        <v>3.8744164760574851E-2</v>
      </c>
    </row>
    <row r="191" spans="2:16">
      <c r="B191" s="57" t="s">
        <v>221</v>
      </c>
      <c r="C191" s="62">
        <f>$C$17*(1+Underlying_Assets!H182)</f>
        <v>85.103271801400382</v>
      </c>
      <c r="D191" s="8">
        <f>$D$17*(1+Underlying_Assets!I182)</f>
        <v>145.00270648623427</v>
      </c>
      <c r="E191" s="62">
        <f>(LN(C191/Option_Portfolio!$E$4)+(Option_Portfolio!$H$4+0.5*Option_Portfolio!$G$4^2)*Option_Portfolio!$F$4)/(Option_Portfolio!$G$4*SQRT(Option_Portfolio!$F$4))</f>
        <v>0.11179961247783601</v>
      </c>
      <c r="F191" s="63">
        <f>(LN(D191/Option_Portfolio!$E$5)+(Option_Portfolio!$H$5+0.5*Option_Portfolio!$G$5^2)*Option_Portfolio!$F$5)/(Option_Portfolio!$G$5*SQRT(Option_Portfolio!$F$5))</f>
        <v>1.3265365955591417</v>
      </c>
      <c r="G191" s="62">
        <f>E191-Option_Portfolio!$G$4*SQRT(Option_Portfolio!$F$4)</f>
        <v>-8.4085403238770839E-3</v>
      </c>
      <c r="H191" s="63">
        <f>F191-Option_Portfolio!$G$5*SQRT(Option_Portfolio!$F$5)</f>
        <v>1.1709731036981013</v>
      </c>
      <c r="I191" s="115">
        <f t="shared" si="10"/>
        <v>0.54450885260197068</v>
      </c>
      <c r="J191" s="116">
        <f t="shared" si="11"/>
        <v>0.90766898911864802</v>
      </c>
      <c r="K191" s="115">
        <f t="shared" si="12"/>
        <v>0.49664551727736467</v>
      </c>
      <c r="L191" s="116">
        <f t="shared" si="13"/>
        <v>0.87919520576978749</v>
      </c>
      <c r="M191" s="62">
        <f>(1-K191)*Option_Portfolio!$E$4*EXP(-Option_Portfolio!$H$4*Option_Portfolio!$F$4)-(1-I191)*C191</f>
        <v>3.807952380014747</v>
      </c>
      <c r="N191" s="116">
        <f>J191*D191-L191*Option_Portfolio!$E$5*EXP(-Option_Portfolio!$H$5*Option_Portfolio!$F$5)</f>
        <v>26.637235849350276</v>
      </c>
      <c r="O191" s="120">
        <f>M191 * -Option_Portfolio!$B$4 * 1000 + N191 * Option_Portfolio!$B$5 * 1000</f>
        <v>26618805.038597323</v>
      </c>
      <c r="P191" s="123">
        <f t="shared" si="14"/>
        <v>-0.12153577340453925</v>
      </c>
    </row>
    <row r="192" spans="2:16">
      <c r="B192" s="57" t="s">
        <v>222</v>
      </c>
      <c r="C192" s="62">
        <f>$C$17*(1+Underlying_Assets!H183)</f>
        <v>81.39618212911499</v>
      </c>
      <c r="D192" s="8">
        <f>$D$17*(1+Underlying_Assets!I183)</f>
        <v>144.73252562907737</v>
      </c>
      <c r="E192" s="62">
        <f>(LN(C192/Option_Portfolio!$E$4)+(Option_Portfolio!$H$4+0.5*Option_Portfolio!$G$4^2)*Option_Portfolio!$F$4)/(Option_Portfolio!$G$4*SQRT(Option_Portfolio!$F$4))</f>
        <v>-0.25870031647358005</v>
      </c>
      <c r="F192" s="63">
        <f>(LN(D192/Option_Portfolio!$E$5)+(Option_Portfolio!$H$5+0.5*Option_Portfolio!$G$5^2)*Option_Portfolio!$F$5)/(Option_Portfolio!$G$5*SQRT(Option_Portfolio!$F$5))</f>
        <v>1.3145477958524656</v>
      </c>
      <c r="G192" s="62">
        <f>E192-Option_Portfolio!$G$4*SQRT(Option_Portfolio!$F$4)</f>
        <v>-0.37890846927529315</v>
      </c>
      <c r="H192" s="63">
        <f>F192-Option_Portfolio!$G$5*SQRT(Option_Portfolio!$F$5)</f>
        <v>1.1589843039914252</v>
      </c>
      <c r="I192" s="115">
        <f t="shared" si="10"/>
        <v>0.39793323768136124</v>
      </c>
      <c r="J192" s="116">
        <f t="shared" si="11"/>
        <v>0.90566903761469519</v>
      </c>
      <c r="K192" s="115">
        <f t="shared" si="12"/>
        <v>0.35237791738928992</v>
      </c>
      <c r="L192" s="116">
        <f t="shared" si="13"/>
        <v>0.87676870848284705</v>
      </c>
      <c r="M192" s="62">
        <f>(1-K192)*Option_Portfolio!$E$4*EXP(-Option_Portfolio!$H$4*Option_Portfolio!$F$4)-(1-I192)*C192</f>
        <v>5.7673887502904151</v>
      </c>
      <c r="N192" s="116">
        <f>J192*D192-L192*Option_Portfolio!$E$5*EXP(-Option_Portfolio!$H$5*Option_Portfolio!$F$5)</f>
        <v>26.392270441300653</v>
      </c>
      <c r="O192" s="120">
        <f>M192 * -Option_Portfolio!$B$4 * 1000 + N192 * Option_Portfolio!$B$5 * 1000</f>
        <v>12412819.6305684</v>
      </c>
      <c r="P192" s="123">
        <f t="shared" si="14"/>
        <v>-0.53368231171272396</v>
      </c>
    </row>
    <row r="193" spans="2:16">
      <c r="B193" s="57" t="s">
        <v>223</v>
      </c>
      <c r="C193" s="62">
        <f>$C$17*(1+Underlying_Assets!H184)</f>
        <v>84.871209187120016</v>
      </c>
      <c r="D193" s="8">
        <f>$D$17*(1+Underlying_Assets!I184)</f>
        <v>146.2176223776224</v>
      </c>
      <c r="E193" s="62">
        <f>(LN(C193/Option_Portfolio!$E$4)+(Option_Portfolio!$H$4+0.5*Option_Portfolio!$G$4^2)*Option_Portfolio!$F$4)/(Option_Portfolio!$G$4*SQRT(Option_Portfolio!$F$4))</f>
        <v>8.9084347952576692E-2</v>
      </c>
      <c r="F193" s="63">
        <f>(LN(D193/Option_Portfolio!$E$5)+(Option_Portfolio!$H$5+0.5*Option_Portfolio!$G$5^2)*Option_Portfolio!$F$5)/(Option_Portfolio!$G$5*SQRT(Option_Portfolio!$F$5))</f>
        <v>1.3801717279538617</v>
      </c>
      <c r="G193" s="62">
        <f>E193-Option_Portfolio!$G$4*SQRT(Option_Portfolio!$F$4)</f>
        <v>-3.1123804849136405E-2</v>
      </c>
      <c r="H193" s="63">
        <f>F193-Option_Portfolio!$G$5*SQRT(Option_Portfolio!$F$5)</f>
        <v>1.2246082360928212</v>
      </c>
      <c r="I193" s="115">
        <f t="shared" si="10"/>
        <v>0.53549256177102067</v>
      </c>
      <c r="J193" s="116">
        <f t="shared" si="11"/>
        <v>0.91623311167678234</v>
      </c>
      <c r="K193" s="115">
        <f t="shared" si="12"/>
        <v>0.487585402669657</v>
      </c>
      <c r="L193" s="116">
        <f t="shared" si="13"/>
        <v>0.88963856837487065</v>
      </c>
      <c r="M193" s="62">
        <f>(1-K193)*Option_Portfolio!$E$4*EXP(-Option_Portfolio!$H$4*Option_Portfolio!$F$4)-(1-I193)*C193</f>
        <v>3.914700144550757</v>
      </c>
      <c r="N193" s="116">
        <f>J193*D193-L193*Option_Portfolio!$E$5*EXP(-Option_Portfolio!$H$5*Option_Portfolio!$F$5)</f>
        <v>27.745249832536672</v>
      </c>
      <c r="O193" s="120">
        <f>M193 * -Option_Portfolio!$B$4 * 1000 + N193 * Option_Portfolio!$B$5 * 1000</f>
        <v>28087598.653218046</v>
      </c>
      <c r="P193" s="123">
        <f t="shared" si="14"/>
        <v>1.262789558630836</v>
      </c>
    </row>
    <row r="194" spans="2:16">
      <c r="B194" s="57" t="s">
        <v>224</v>
      </c>
      <c r="C194" s="62">
        <f>$C$17*(1+Underlying_Assets!H185)</f>
        <v>85.837520473157397</v>
      </c>
      <c r="D194" s="8">
        <f>$D$17*(1+Underlying_Assets!I185)</f>
        <v>143.99778393351804</v>
      </c>
      <c r="E194" s="62">
        <f>(LN(C194/Option_Portfolio!$E$4)+(Option_Portfolio!$H$4+0.5*Option_Portfolio!$G$4^2)*Option_Portfolio!$F$4)/(Option_Portfolio!$G$4*SQRT(Option_Portfolio!$F$4))</f>
        <v>0.18326507357144839</v>
      </c>
      <c r="F194" s="63">
        <f>(LN(D194/Option_Portfolio!$E$5)+(Option_Portfolio!$H$5+0.5*Option_Portfolio!$G$5^2)*Option_Portfolio!$F$5)/(Option_Portfolio!$G$5*SQRT(Option_Portfolio!$F$5))</f>
        <v>1.2818313920536764</v>
      </c>
      <c r="G194" s="62">
        <f>E194-Option_Portfolio!$G$4*SQRT(Option_Portfolio!$F$4)</f>
        <v>6.3056920769735292E-2</v>
      </c>
      <c r="H194" s="63">
        <f>F194-Option_Portfolio!$G$5*SQRT(Option_Portfolio!$F$5)</f>
        <v>1.1262679001926359</v>
      </c>
      <c r="I194" s="115">
        <f t="shared" si="10"/>
        <v>0.57270498125034519</v>
      </c>
      <c r="J194" s="116">
        <f t="shared" si="11"/>
        <v>0.90004910028042895</v>
      </c>
      <c r="K194" s="115">
        <f t="shared" si="12"/>
        <v>0.52513941088016391</v>
      </c>
      <c r="L194" s="116">
        <f t="shared" si="13"/>
        <v>0.8699739297310628</v>
      </c>
      <c r="M194" s="62">
        <f>(1-K194)*Option_Portfolio!$E$4*EXP(-Option_Portfolio!$H$4*Option_Portfolio!$F$4)-(1-I194)*C194</f>
        <v>3.4838931043355217</v>
      </c>
      <c r="N194" s="116">
        <f>J194*D194-L194*Option_Portfolio!$E$5*EXP(-Option_Portfolio!$H$5*Option_Portfolio!$F$5)</f>
        <v>25.728885873173894</v>
      </c>
      <c r="O194" s="120">
        <f>M194 * -Option_Portfolio!$B$4 * 1000 + N194 * Option_Portfolio!$B$5 * 1000</f>
        <v>27070520.015999138</v>
      </c>
      <c r="P194" s="123">
        <f t="shared" si="14"/>
        <v>-3.6210950240930573E-2</v>
      </c>
    </row>
    <row r="195" spans="2:16">
      <c r="B195" s="57" t="s">
        <v>225</v>
      </c>
      <c r="C195" s="62">
        <f>$C$17*(1+Underlying_Assets!H186)</f>
        <v>86.382903885480587</v>
      </c>
      <c r="D195" s="8">
        <f>$D$17*(1+Underlying_Assets!I186)</f>
        <v>146.61504178272983</v>
      </c>
      <c r="E195" s="62">
        <f>(LN(C195/Option_Portfolio!$E$4)+(Option_Portfolio!$H$4+0.5*Option_Portfolio!$G$4^2)*Option_Portfolio!$F$4)/(Option_Portfolio!$G$4*SQRT(Option_Portfolio!$F$4))</f>
        <v>0.23595344727962594</v>
      </c>
      <c r="F195" s="63">
        <f>(LN(D195/Option_Portfolio!$E$5)+(Option_Portfolio!$H$5+0.5*Option_Portfolio!$G$5^2)*Option_Portfolio!$F$5)/(Option_Portfolio!$G$5*SQRT(Option_Portfolio!$F$5))</f>
        <v>1.3976199881722762</v>
      </c>
      <c r="G195" s="62">
        <f>E195-Option_Portfolio!$G$4*SQRT(Option_Portfolio!$F$4)</f>
        <v>0.11574529447791285</v>
      </c>
      <c r="H195" s="63">
        <f>F195-Option_Portfolio!$G$5*SQRT(Option_Portfolio!$F$5)</f>
        <v>1.2420564963112357</v>
      </c>
      <c r="I195" s="115">
        <f t="shared" si="10"/>
        <v>0.59326560301897757</v>
      </c>
      <c r="J195" s="116">
        <f t="shared" si="11"/>
        <v>0.91888639361712499</v>
      </c>
      <c r="K195" s="115">
        <f t="shared" si="12"/>
        <v>0.54607279616641746</v>
      </c>
      <c r="L195" s="116">
        <f t="shared" si="13"/>
        <v>0.89289214098373526</v>
      </c>
      <c r="M195" s="62">
        <f>(1-K195)*Option_Portfolio!$E$4*EXP(-Option_Portfolio!$H$4*Option_Portfolio!$F$4)-(1-I195)*C195</f>
        <v>3.2564764377231086</v>
      </c>
      <c r="N195" s="116">
        <f>J195*D195-L195*Option_Portfolio!$E$5*EXP(-Option_Portfolio!$H$5*Option_Portfolio!$F$5)</f>
        <v>28.109908251530101</v>
      </c>
      <c r="O195" s="120">
        <f>M195 * -Option_Portfolio!$B$4 * 1000 + N195 * Option_Portfolio!$B$5 * 1000</f>
        <v>33424481.438998446</v>
      </c>
      <c r="P195" s="123">
        <f t="shared" si="14"/>
        <v>0.2347188535441509</v>
      </c>
    </row>
    <row r="196" spans="2:16">
      <c r="B196" s="57" t="s">
        <v>226</v>
      </c>
      <c r="C196" s="62">
        <f>$C$17*(1+Underlying_Assets!H187)</f>
        <v>86.184749661704998</v>
      </c>
      <c r="D196" s="8">
        <f>$D$17*(1+Underlying_Assets!I187)</f>
        <v>144.00330123796425</v>
      </c>
      <c r="E196" s="62">
        <f>(LN(C196/Option_Portfolio!$E$4)+(Option_Portfolio!$H$4+0.5*Option_Portfolio!$G$4^2)*Option_Portfolio!$F$4)/(Option_Portfolio!$G$4*SQRT(Option_Portfolio!$F$4))</f>
        <v>0.21684874812785648</v>
      </c>
      <c r="F196" s="63">
        <f>(LN(D196/Option_Portfolio!$E$5)+(Option_Portfolio!$H$5+0.5*Option_Portfolio!$G$5^2)*Option_Portfolio!$F$5)/(Option_Portfolio!$G$5*SQRT(Option_Portfolio!$F$5))</f>
        <v>1.2820776867940988</v>
      </c>
      <c r="G196" s="62">
        <f>E196-Option_Portfolio!$G$4*SQRT(Option_Portfolio!$F$4)</f>
        <v>9.6640595326143386E-2</v>
      </c>
      <c r="H196" s="63">
        <f>F196-Option_Portfolio!$G$5*SQRT(Option_Portfolio!$F$5)</f>
        <v>1.1265141949330584</v>
      </c>
      <c r="I196" s="115">
        <f t="shared" si="10"/>
        <v>0.58583688989549276</v>
      </c>
      <c r="J196" s="116">
        <f t="shared" si="11"/>
        <v>0.90009230227645065</v>
      </c>
      <c r="K196" s="115">
        <f t="shared" si="12"/>
        <v>0.5384940915251698</v>
      </c>
      <c r="L196" s="116">
        <f t="shared" si="13"/>
        <v>0.87002603218363661</v>
      </c>
      <c r="M196" s="62">
        <f>(1-K196)*Option_Portfolio!$E$4*EXP(-Option_Portfolio!$H$4*Option_Portfolio!$F$4)-(1-I196)*C196</f>
        <v>3.3378077795868961</v>
      </c>
      <c r="N196" s="116">
        <f>J196*D196-L196*Option_Portfolio!$E$5*EXP(-Option_Portfolio!$H$5*Option_Portfolio!$F$5)</f>
        <v>25.733851837262975</v>
      </c>
      <c r="O196" s="120">
        <f>M196 * -Option_Portfolio!$B$4 * 1000 + N196 * Option_Portfolio!$B$5 * 1000</f>
        <v>28103049.217417672</v>
      </c>
      <c r="P196" s="123">
        <f t="shared" si="14"/>
        <v>-0.15920762245160591</v>
      </c>
    </row>
    <row r="197" spans="2:16">
      <c r="B197" s="57" t="s">
        <v>227</v>
      </c>
      <c r="C197" s="62">
        <f>$C$17*(1+Underlying_Assets!H188)</f>
        <v>85.990083015481261</v>
      </c>
      <c r="D197" s="8">
        <f>$D$17*(1+Underlying_Assets!I188)</f>
        <v>138.32438911940986</v>
      </c>
      <c r="E197" s="62">
        <f>(LN(C197/Option_Portfolio!$E$4)+(Option_Portfolio!$H$4+0.5*Option_Portfolio!$G$4^2)*Option_Portfolio!$F$4)/(Option_Portfolio!$G$4*SQRT(Option_Portfolio!$F$4))</f>
        <v>0.19803747737344721</v>
      </c>
      <c r="F197" s="63">
        <f>(LN(D197/Option_Portfolio!$E$5)+(Option_Portfolio!$H$5+0.5*Option_Portfolio!$G$5^2)*Option_Portfolio!$F$5)/(Option_Portfolio!$G$5*SQRT(Option_Portfolio!$F$5))</f>
        <v>1.0234395475275513</v>
      </c>
      <c r="G197" s="62">
        <f>E197-Option_Portfolio!$G$4*SQRT(Option_Portfolio!$F$4)</f>
        <v>7.782932457173411E-2</v>
      </c>
      <c r="H197" s="63">
        <f>F197-Option_Portfolio!$G$5*SQRT(Option_Portfolio!$F$5)</f>
        <v>0.86787605566651083</v>
      </c>
      <c r="I197" s="115">
        <f t="shared" si="10"/>
        <v>0.57849212916739101</v>
      </c>
      <c r="J197" s="116">
        <f t="shared" si="11"/>
        <v>0.84694996556714441</v>
      </c>
      <c r="K197" s="115">
        <f t="shared" si="12"/>
        <v>0.53101809022091517</v>
      </c>
      <c r="L197" s="116">
        <f t="shared" si="13"/>
        <v>0.80726890584218991</v>
      </c>
      <c r="M197" s="62">
        <f>(1-K197)*Option_Portfolio!$E$4*EXP(-Option_Portfolio!$H$4*Option_Portfolio!$F$4)-(1-I197)*C197</f>
        <v>3.4191456788187153</v>
      </c>
      <c r="N197" s="116">
        <f>J197*D197-L197*Option_Portfolio!$E$5*EXP(-Option_Portfolio!$H$5*Option_Portfolio!$F$5)</f>
        <v>20.764720356516293</v>
      </c>
      <c r="O197" s="120">
        <f>M197 * -Option_Portfolio!$B$4 * 1000 + N197 * Option_Portfolio!$B$5 * 1000</f>
        <v>17595420.96130158</v>
      </c>
      <c r="P197" s="123">
        <f t="shared" si="14"/>
        <v>-0.37389637597060776</v>
      </c>
    </row>
    <row r="198" spans="2:16">
      <c r="B198" s="57" t="s">
        <v>228</v>
      </c>
      <c r="C198" s="62">
        <f>$C$17*(1+Underlying_Assets!H189)</f>
        <v>83.706791946308712</v>
      </c>
      <c r="D198" s="8">
        <f>$D$17*(1+Underlying_Assets!I189)</f>
        <v>138.78996138996141</v>
      </c>
      <c r="E198" s="62">
        <f>(LN(C198/Option_Portfolio!$E$4)+(Option_Portfolio!$H$4+0.5*Option_Portfolio!$G$4^2)*Option_Portfolio!$F$4)/(Option_Portfolio!$G$4*SQRT(Option_Portfolio!$F$4))</f>
        <v>-2.5839644838918083E-2</v>
      </c>
      <c r="F198" s="63">
        <f>(LN(D198/Option_Portfolio!$E$5)+(Option_Portfolio!$H$5+0.5*Option_Portfolio!$G$5^2)*Option_Portfolio!$F$5)/(Option_Portfolio!$G$5*SQRT(Option_Portfolio!$F$5))</f>
        <v>1.0450394012788851</v>
      </c>
      <c r="G198" s="62">
        <f>E198-Option_Portfolio!$G$4*SQRT(Option_Portfolio!$F$4)</f>
        <v>-0.14604779764063119</v>
      </c>
      <c r="H198" s="63">
        <f>F198-Option_Portfolio!$G$5*SQRT(Option_Portfolio!$F$5)</f>
        <v>0.8894759094178446</v>
      </c>
      <c r="I198" s="115">
        <f t="shared" si="10"/>
        <v>0.48969262019363252</v>
      </c>
      <c r="J198" s="116">
        <f t="shared" si="11"/>
        <v>0.85199762026541226</v>
      </c>
      <c r="K198" s="115">
        <f t="shared" si="12"/>
        <v>0.4419418279325808</v>
      </c>
      <c r="L198" s="116">
        <f t="shared" si="13"/>
        <v>0.8131263176707566</v>
      </c>
      <c r="M198" s="62">
        <f>(1-K198)*Option_Portfolio!$E$4*EXP(-Option_Portfolio!$H$4*Option_Portfolio!$F$4)-(1-I198)*C198</f>
        <v>4.4821681822982882</v>
      </c>
      <c r="N198" s="116">
        <f>J198*D198-L198*Option_Portfolio!$E$5*EXP(-Option_Portfolio!$H$5*Option_Portfolio!$F$5)</f>
        <v>21.160216831888022</v>
      </c>
      <c r="O198" s="120">
        <f>M198 * -Option_Portfolio!$B$4 * 1000 + N198 * Option_Portfolio!$B$5 * 1000</f>
        <v>10945256.387688026</v>
      </c>
      <c r="P198" s="123">
        <f t="shared" si="14"/>
        <v>-0.37794859175234097</v>
      </c>
    </row>
    <row r="199" spans="2:16">
      <c r="B199" s="57" t="s">
        <v>229</v>
      </c>
      <c r="C199" s="62">
        <f>$C$17*(1+Underlying_Assets!H190)</f>
        <v>85.975765352887251</v>
      </c>
      <c r="D199" s="8">
        <f>$D$17*(1+Underlying_Assets!I190)</f>
        <v>145.8207452165156</v>
      </c>
      <c r="E199" s="62">
        <f>(LN(C199/Option_Portfolio!$E$4)+(Option_Portfolio!$H$4+0.5*Option_Portfolio!$G$4^2)*Option_Portfolio!$F$4)/(Option_Portfolio!$G$4*SQRT(Option_Portfolio!$F$4))</f>
        <v>0.1966522342903296</v>
      </c>
      <c r="F199" s="63">
        <f>(LN(D199/Option_Portfolio!$E$5)+(Option_Portfolio!$H$5+0.5*Option_Portfolio!$G$5^2)*Option_Portfolio!$F$5)/(Option_Portfolio!$G$5*SQRT(Option_Portfolio!$F$5))</f>
        <v>1.3626998826684511</v>
      </c>
      <c r="G199" s="62">
        <f>E199-Option_Portfolio!$G$4*SQRT(Option_Portfolio!$F$4)</f>
        <v>7.6444081488616505E-2</v>
      </c>
      <c r="H199" s="63">
        <f>F199-Option_Portfolio!$G$5*SQRT(Option_Portfolio!$F$5)</f>
        <v>1.2071363908074106</v>
      </c>
      <c r="I199" s="115">
        <f t="shared" si="10"/>
        <v>0.57795015420344531</v>
      </c>
      <c r="J199" s="116">
        <f t="shared" si="11"/>
        <v>0.91351144257987282</v>
      </c>
      <c r="K199" s="115">
        <f t="shared" si="12"/>
        <v>0.53046709988692187</v>
      </c>
      <c r="L199" s="116">
        <f t="shared" si="13"/>
        <v>0.88631018885767709</v>
      </c>
      <c r="M199" s="62">
        <f>(1-K199)*Option_Portfolio!$E$4*EXP(-Option_Portfolio!$H$4*Option_Portfolio!$F$4)-(1-I199)*C199</f>
        <v>3.4251845659169007</v>
      </c>
      <c r="N199" s="116">
        <f>J199*D199-L199*Option_Portfolio!$E$5*EXP(-Option_Portfolio!$H$5*Option_Portfolio!$F$5)</f>
        <v>27.382155518929835</v>
      </c>
      <c r="O199" s="120">
        <f>M199 * -Option_Portfolio!$B$4 * 1000 + N199 * Option_Portfolio!$B$5 * 1000</f>
        <v>30788019.076441366</v>
      </c>
      <c r="P199" s="123">
        <f t="shared" si="14"/>
        <v>1.812909810963756</v>
      </c>
    </row>
    <row r="200" spans="2:16">
      <c r="B200" s="57" t="s">
        <v>230</v>
      </c>
      <c r="C200" s="62">
        <f>$C$17*(1+Underlying_Assets!H191)</f>
        <v>87.464204753199269</v>
      </c>
      <c r="D200" s="8">
        <f>$D$17*(1+Underlying_Assets!I191)</f>
        <v>148.49240000000003</v>
      </c>
      <c r="E200" s="62">
        <f>(LN(C200/Option_Portfolio!$E$4)+(Option_Portfolio!$H$4+0.5*Option_Portfolio!$G$4^2)*Option_Portfolio!$F$4)/(Option_Portfolio!$G$4*SQRT(Option_Portfolio!$F$4))</f>
        <v>0.33943924507475437</v>
      </c>
      <c r="F200" s="63">
        <f>(LN(D200/Option_Portfolio!$E$5)+(Option_Portfolio!$H$5+0.5*Option_Portfolio!$G$5^2)*Option_Portfolio!$F$5)/(Option_Portfolio!$G$5*SQRT(Option_Portfolio!$F$5))</f>
        <v>1.479409037085941</v>
      </c>
      <c r="G200" s="62">
        <f>E200-Option_Portfolio!$G$4*SQRT(Option_Portfolio!$F$4)</f>
        <v>0.21923109227304127</v>
      </c>
      <c r="H200" s="63">
        <f>F200-Option_Portfolio!$G$5*SQRT(Option_Portfolio!$F$5)</f>
        <v>1.3238455452249005</v>
      </c>
      <c r="I200" s="115">
        <f t="shared" si="10"/>
        <v>0.63286057084967173</v>
      </c>
      <c r="J200" s="116">
        <f t="shared" si="11"/>
        <v>0.93048448686072427</v>
      </c>
      <c r="K200" s="115">
        <f t="shared" si="12"/>
        <v>0.58676498179269654</v>
      </c>
      <c r="L200" s="116">
        <f t="shared" si="13"/>
        <v>0.90722282678453003</v>
      </c>
      <c r="M200" s="62">
        <f>(1-K200)*Option_Portfolio!$E$4*EXP(-Option_Portfolio!$H$4*Option_Portfolio!$F$4)-(1-I200)*C200</f>
        <v>2.8382317920559856</v>
      </c>
      <c r="N200" s="116">
        <f>J200*D200-L200*Option_Portfolio!$E$5*EXP(-Option_Portfolio!$H$5*Option_Portfolio!$F$5)</f>
        <v>29.8461105296292</v>
      </c>
      <c r="O200" s="120">
        <f>M200 * -Option_Portfolio!$B$4 * 1000 + N200 * Option_Portfolio!$B$5 * 1000</f>
        <v>39824598.514866501</v>
      </c>
      <c r="P200" s="123">
        <f t="shared" si="14"/>
        <v>0.29350960891601563</v>
      </c>
    </row>
    <row r="201" spans="2:16">
      <c r="B201" s="57" t="s">
        <v>231</v>
      </c>
      <c r="C201" s="62">
        <f>$C$17*(1+Underlying_Assets!H192)</f>
        <v>85.605551075268821</v>
      </c>
      <c r="D201" s="8">
        <f>$D$17*(1+Underlying_Assets!I192)</f>
        <v>145.64719648951734</v>
      </c>
      <c r="E201" s="62">
        <f>(LN(C201/Option_Portfolio!$E$4)+(Option_Portfolio!$H$4+0.5*Option_Portfolio!$G$4^2)*Option_Portfolio!$F$4)/(Option_Portfolio!$G$4*SQRT(Option_Portfolio!$F$4))</f>
        <v>0.16075343572410472</v>
      </c>
      <c r="F201" s="63">
        <f>(LN(D201/Option_Portfolio!$E$5)+(Option_Portfolio!$H$5+0.5*Option_Portfolio!$G$5^2)*Option_Portfolio!$F$5)/(Option_Portfolio!$G$5*SQRT(Option_Portfolio!$F$5))</f>
        <v>1.3550447450532792</v>
      </c>
      <c r="G201" s="62">
        <f>E201-Option_Portfolio!$G$4*SQRT(Option_Portfolio!$F$4)</f>
        <v>4.0545282922391623E-2</v>
      </c>
      <c r="H201" s="63">
        <f>F201-Option_Portfolio!$G$5*SQRT(Option_Portfolio!$F$5)</f>
        <v>1.1994812531922387</v>
      </c>
      <c r="I201" s="115">
        <f t="shared" si="10"/>
        <v>0.56385619947144328</v>
      </c>
      <c r="J201" s="116">
        <f t="shared" si="11"/>
        <v>0.91229834926354458</v>
      </c>
      <c r="K201" s="115">
        <f t="shared" si="12"/>
        <v>0.5161707969245819</v>
      </c>
      <c r="L201" s="116">
        <f t="shared" si="13"/>
        <v>0.88482956502709409</v>
      </c>
      <c r="M201" s="62">
        <f>(1-K201)*Option_Portfolio!$E$4*EXP(-Option_Portfolio!$H$4*Option_Portfolio!$F$4)-(1-I201)*C201</f>
        <v>3.5840376706115578</v>
      </c>
      <c r="N201" s="116">
        <f>J201*D201-L201*Option_Portfolio!$E$5*EXP(-Option_Portfolio!$H$5*Option_Portfolio!$F$5)</f>
        <v>27.223721832978796</v>
      </c>
      <c r="O201" s="120">
        <f>M201 * -Option_Portfolio!$B$4 * 1000 + N201 * Option_Portfolio!$B$5 * 1000</f>
        <v>29359179.971676689</v>
      </c>
      <c r="P201" s="123">
        <f t="shared" si="14"/>
        <v>-0.26278779783010431</v>
      </c>
    </row>
    <row r="202" spans="2:16">
      <c r="B202" s="57" t="s">
        <v>232</v>
      </c>
      <c r="C202" s="62">
        <f>$C$17*(1+Underlying_Assets!H193)</f>
        <v>85.605339914740853</v>
      </c>
      <c r="D202" s="8">
        <f>$D$17*(1+Underlying_Assets!I193)</f>
        <v>145.85283567619973</v>
      </c>
      <c r="E202" s="62">
        <f>(LN(C202/Option_Portfolio!$E$4)+(Option_Portfolio!$H$4+0.5*Option_Portfolio!$G$4^2)*Option_Portfolio!$F$4)/(Option_Portfolio!$G$4*SQRT(Option_Portfolio!$F$4))</f>
        <v>0.16073291572091553</v>
      </c>
      <c r="F202" s="63">
        <f>(LN(D202/Option_Portfolio!$E$5)+(Option_Portfolio!$H$5+0.5*Option_Portfolio!$G$5^2)*Option_Portfolio!$F$5)/(Option_Portfolio!$G$5*SQRT(Option_Portfolio!$F$5))</f>
        <v>1.3641143768298012</v>
      </c>
      <c r="G202" s="62">
        <f>E202-Option_Portfolio!$G$4*SQRT(Option_Portfolio!$F$4)</f>
        <v>4.0524762919202428E-2</v>
      </c>
      <c r="H202" s="63">
        <f>F202-Option_Portfolio!$G$5*SQRT(Option_Portfolio!$F$5)</f>
        <v>1.2085508849687607</v>
      </c>
      <c r="I202" s="115">
        <f t="shared" si="10"/>
        <v>0.56384811825461922</v>
      </c>
      <c r="J202" s="116">
        <f t="shared" si="11"/>
        <v>0.91373421468541904</v>
      </c>
      <c r="K202" s="115">
        <f t="shared" si="12"/>
        <v>0.51616261735035751</v>
      </c>
      <c r="L202" s="116">
        <f t="shared" si="13"/>
        <v>0.88658228232612801</v>
      </c>
      <c r="M202" s="62">
        <f>(1-K202)*Option_Portfolio!$E$4*EXP(-Option_Portfolio!$H$4*Option_Portfolio!$F$4)-(1-I202)*C202</f>
        <v>3.5841297678199595</v>
      </c>
      <c r="N202" s="116">
        <f>J202*D202-L202*Option_Portfolio!$E$5*EXP(-Option_Portfolio!$H$5*Option_Portfolio!$F$5)</f>
        <v>27.411474096758553</v>
      </c>
      <c r="O202" s="120">
        <f>M202 * -Option_Portfolio!$B$4 * 1000 + N202 * Option_Portfolio!$B$5 * 1000</f>
        <v>29734039.818777386</v>
      </c>
      <c r="P202" s="123">
        <f t="shared" si="14"/>
        <v>1.2768062577440231E-2</v>
      </c>
    </row>
    <row r="203" spans="2:16">
      <c r="B203" s="57" t="s">
        <v>233</v>
      </c>
      <c r="C203" s="62">
        <f>$C$17*(1+Underlying_Assets!H194)</f>
        <v>85.39318651685393</v>
      </c>
      <c r="D203" s="8">
        <f>$D$17*(1+Underlying_Assets!I194)</f>
        <v>144.93936477382098</v>
      </c>
      <c r="E203" s="62">
        <f>(LN(C203/Option_Portfolio!$E$4)+(Option_Portfolio!$H$4+0.5*Option_Portfolio!$G$4^2)*Option_Portfolio!$F$4)/(Option_Portfolio!$G$4*SQRT(Option_Portfolio!$F$4))</f>
        <v>0.14009081375808582</v>
      </c>
      <c r="F203" s="63">
        <f>(LN(D203/Option_Portfolio!$E$5)+(Option_Portfolio!$H$5+0.5*Option_Portfolio!$G$5^2)*Option_Portfolio!$F$5)/(Option_Portfolio!$G$5*SQRT(Option_Portfolio!$F$5))</f>
        <v>1.3237279244779716</v>
      </c>
      <c r="G203" s="62">
        <f>E203-Option_Portfolio!$G$4*SQRT(Option_Portfolio!$F$4)</f>
        <v>1.9882660956372727E-2</v>
      </c>
      <c r="H203" s="63">
        <f>F203-Option_Portfolio!$G$5*SQRT(Option_Portfolio!$F$5)</f>
        <v>1.1681644326169311</v>
      </c>
      <c r="I203" s="115">
        <f t="shared" si="10"/>
        <v>0.55570588071101845</v>
      </c>
      <c r="J203" s="116">
        <f t="shared" si="11"/>
        <v>0.90720328956682217</v>
      </c>
      <c r="K203" s="115">
        <f t="shared" si="12"/>
        <v>0.50793151151781235</v>
      </c>
      <c r="L203" s="116">
        <f t="shared" si="13"/>
        <v>0.87862977788563723</v>
      </c>
      <c r="M203" s="62">
        <f>(1-K203)*Option_Portfolio!$E$4*EXP(-Option_Portfolio!$H$4*Option_Portfolio!$F$4)-(1-I203)*C203</f>
        <v>3.6775237690815175</v>
      </c>
      <c r="N203" s="116">
        <f>J203*D203-L203*Option_Portfolio!$E$5*EXP(-Option_Portfolio!$H$5*Option_Portfolio!$F$5)</f>
        <v>26.579757280155519</v>
      </c>
      <c r="O203" s="120">
        <f>M203 * -Option_Portfolio!$B$4 * 1000 + N203 * Option_Portfolio!$B$5 * 1000</f>
        <v>27416848.176740415</v>
      </c>
      <c r="P203" s="123">
        <f t="shared" si="14"/>
        <v>-7.7930602641274382E-2</v>
      </c>
    </row>
    <row r="204" spans="2:16">
      <c r="B204" s="57" t="s">
        <v>234</v>
      </c>
      <c r="C204" s="62">
        <f>$C$17*(1+Underlying_Assets!H195)</f>
        <v>85.778691335740064</v>
      </c>
      <c r="D204" s="8">
        <f>$D$17*(1+Underlying_Assets!I195)</f>
        <v>145.49615384615385</v>
      </c>
      <c r="E204" s="62">
        <f>(LN(C204/Option_Portfolio!$E$4)+(Option_Portfolio!$H$4+0.5*Option_Portfolio!$G$4^2)*Option_Portfolio!$F$4)/(Option_Portfolio!$G$4*SQRT(Option_Portfolio!$F$4))</f>
        <v>0.1775617204921168</v>
      </c>
      <c r="F204" s="63">
        <f>(LN(D204/Option_Portfolio!$E$5)+(Option_Portfolio!$H$5+0.5*Option_Portfolio!$G$5^2)*Option_Portfolio!$F$5)/(Option_Portfolio!$G$5*SQRT(Option_Portfolio!$F$5))</f>
        <v>1.3483749106148408</v>
      </c>
      <c r="G204" s="62">
        <f>E204-Option_Portfolio!$G$4*SQRT(Option_Portfolio!$F$4)</f>
        <v>5.7353567690403701E-2</v>
      </c>
      <c r="H204" s="63">
        <f>F204-Option_Portfolio!$G$5*SQRT(Option_Portfolio!$F$5)</f>
        <v>1.1928114187538004</v>
      </c>
      <c r="I204" s="115">
        <f t="shared" si="10"/>
        <v>0.57046640531606996</v>
      </c>
      <c r="J204" s="116">
        <f t="shared" si="11"/>
        <v>0.91123108532329367</v>
      </c>
      <c r="K204" s="115">
        <f t="shared" si="12"/>
        <v>0.52286822515259401</v>
      </c>
      <c r="L204" s="116">
        <f t="shared" si="13"/>
        <v>0.88352838147557278</v>
      </c>
      <c r="M204" s="62">
        <f>(1-K204)*Option_Portfolio!$E$4*EXP(-Option_Portfolio!$H$4*Option_Portfolio!$F$4)-(1-I204)*C204</f>
        <v>3.5090963296406628</v>
      </c>
      <c r="N204" s="116">
        <f>J204*D204-L204*Option_Portfolio!$E$5*EXP(-Option_Portfolio!$H$5*Option_Portfolio!$F$5)</f>
        <v>27.086006344902771</v>
      </c>
      <c r="O204" s="120">
        <f>M204 * -Option_Portfolio!$B$4 * 1000 + N204 * Option_Portfolio!$B$5 * 1000</f>
        <v>29608338.3823209</v>
      </c>
      <c r="P204" s="123">
        <f t="shared" si="14"/>
        <v>7.9932244270137343E-2</v>
      </c>
    </row>
    <row r="205" spans="2:16">
      <c r="B205" s="57" t="s">
        <v>235</v>
      </c>
      <c r="C205" s="62">
        <f>$C$17*(1+Underlying_Assets!H196)</f>
        <v>86.339445196211074</v>
      </c>
      <c r="D205" s="8">
        <f>$D$17*(1+Underlying_Assets!I196)</f>
        <v>147.01703349282297</v>
      </c>
      <c r="E205" s="62">
        <f>(LN(C205/Option_Portfolio!$E$4)+(Option_Portfolio!$H$4+0.5*Option_Portfolio!$G$4^2)*Option_Portfolio!$F$4)/(Option_Portfolio!$G$4*SQRT(Option_Portfolio!$F$4))</f>
        <v>0.23176720683673901</v>
      </c>
      <c r="F205" s="63">
        <f>(LN(D205/Option_Portfolio!$E$5)+(Option_Portfolio!$H$5+0.5*Option_Portfolio!$G$5^2)*Option_Portfolio!$F$5)/(Option_Portfolio!$G$5*SQRT(Option_Portfolio!$F$5))</f>
        <v>1.4152209413073624</v>
      </c>
      <c r="G205" s="62">
        <f>E205-Option_Portfolio!$G$4*SQRT(Option_Portfolio!$F$4)</f>
        <v>0.11155905403502592</v>
      </c>
      <c r="H205" s="63">
        <f>F205-Option_Portfolio!$G$5*SQRT(Option_Portfolio!$F$5)</f>
        <v>1.259657449446322</v>
      </c>
      <c r="I205" s="115">
        <f t="shared" si="10"/>
        <v>0.59164058563688182</v>
      </c>
      <c r="J205" s="116">
        <f t="shared" si="11"/>
        <v>0.9214981368010402</v>
      </c>
      <c r="K205" s="115">
        <f t="shared" si="12"/>
        <v>0.54441348028163261</v>
      </c>
      <c r="L205" s="116">
        <f t="shared" si="13"/>
        <v>0.89610351930226462</v>
      </c>
      <c r="M205" s="62">
        <f>(1-K205)*Option_Portfolio!$E$4*EXP(-Option_Portfolio!$H$4*Option_Portfolio!$F$4)-(1-I205)*C205</f>
        <v>3.2741878833364879</v>
      </c>
      <c r="N205" s="116">
        <f>J205*D205-L205*Option_Portfolio!$E$5*EXP(-Option_Portfolio!$H$5*Option_Portfolio!$F$5)</f>
        <v>28.479820319144423</v>
      </c>
      <c r="O205" s="120">
        <f>M205 * -Option_Portfolio!$B$4 * 1000 + N205 * Option_Portfolio!$B$5 * 1000</f>
        <v>34040325.454933435</v>
      </c>
      <c r="P205" s="123">
        <f t="shared" si="14"/>
        <v>0.14968712581516797</v>
      </c>
    </row>
    <row r="206" spans="2:16">
      <c r="B206" s="57" t="s">
        <v>236</v>
      </c>
      <c r="C206" s="62">
        <f>$C$17*(1+Underlying_Assets!H197)</f>
        <v>85.720797312430008</v>
      </c>
      <c r="D206" s="8">
        <f>$D$17*(1+Underlying_Assets!I197)</f>
        <v>147.80245051837889</v>
      </c>
      <c r="E206" s="62">
        <f>(LN(C206/Option_Portfolio!$E$4)+(Option_Portfolio!$H$4+0.5*Option_Portfolio!$G$4^2)*Option_Portfolio!$F$4)/(Option_Portfolio!$G$4*SQRT(Option_Portfolio!$F$4))</f>
        <v>0.1719452046164997</v>
      </c>
      <c r="F206" s="63">
        <f>(LN(D206/Option_Portfolio!$E$5)+(Option_Portfolio!$H$5+0.5*Option_Portfolio!$G$5^2)*Option_Portfolio!$F$5)/(Option_Portfolio!$G$5*SQRT(Option_Portfolio!$F$5))</f>
        <v>1.4494714849805208</v>
      </c>
      <c r="G206" s="62">
        <f>E206-Option_Portfolio!$G$4*SQRT(Option_Portfolio!$F$4)</f>
        <v>5.1737051814786605E-2</v>
      </c>
      <c r="H206" s="63">
        <f>F206-Option_Portfolio!$G$5*SQRT(Option_Portfolio!$F$5)</f>
        <v>1.2939079931194803</v>
      </c>
      <c r="I206" s="115">
        <f t="shared" si="10"/>
        <v>0.56825969618030259</v>
      </c>
      <c r="J206" s="116">
        <f t="shared" si="11"/>
        <v>0.92639702100154198</v>
      </c>
      <c r="K206" s="115">
        <f t="shared" si="12"/>
        <v>0.52063089315916555</v>
      </c>
      <c r="L206" s="116">
        <f t="shared" si="13"/>
        <v>0.90215139838239289</v>
      </c>
      <c r="M206" s="62">
        <f>(1-K206)*Option_Portfolio!$E$4*EXP(-Option_Portfolio!$H$4*Option_Portfolio!$F$4)-(1-I206)*C206</f>
        <v>3.5340276175816072</v>
      </c>
      <c r="N206" s="116">
        <f>J206*D206-L206*Option_Portfolio!$E$5*EXP(-Option_Portfolio!$H$5*Option_Portfolio!$F$5)</f>
        <v>29.205521915560809</v>
      </c>
      <c r="O206" s="120">
        <f>M206 * -Option_Portfolio!$B$4 * 1000 + N206 * Option_Portfolio!$B$5 * 1000</f>
        <v>33672850.508050375</v>
      </c>
      <c r="P206" s="123">
        <f t="shared" si="14"/>
        <v>-1.0795283005433309E-2</v>
      </c>
    </row>
    <row r="207" spans="2:16">
      <c r="B207" s="57" t="s">
        <v>237</v>
      </c>
      <c r="C207" s="62">
        <f>$C$17*(1+Underlying_Assets!H198)</f>
        <v>86.258588709677397</v>
      </c>
      <c r="D207" s="8">
        <f>$D$17*(1+Underlying_Assets!I198)</f>
        <v>146.2038781163435</v>
      </c>
      <c r="E207" s="62">
        <f>(LN(C207/Option_Portfolio!$E$4)+(Option_Portfolio!$H$4+0.5*Option_Portfolio!$G$4^2)*Option_Portfolio!$F$4)/(Option_Portfolio!$G$4*SQRT(Option_Portfolio!$F$4))</f>
        <v>0.22397294258831543</v>
      </c>
      <c r="F207" s="63">
        <f>(LN(D207/Option_Portfolio!$E$5)+(Option_Portfolio!$H$5+0.5*Option_Portfolio!$G$5^2)*Option_Portfolio!$F$5)/(Option_Portfolio!$G$5*SQRT(Option_Portfolio!$F$5))</f>
        <v>1.3795674532499307</v>
      </c>
      <c r="G207" s="62">
        <f>E207-Option_Portfolio!$G$4*SQRT(Option_Portfolio!$F$4)</f>
        <v>0.10376478978660233</v>
      </c>
      <c r="H207" s="63">
        <f>F207-Option_Portfolio!$G$5*SQRT(Option_Portfolio!$F$5)</f>
        <v>1.2240039613888902</v>
      </c>
      <c r="I207" s="115">
        <f t="shared" si="10"/>
        <v>0.58861082144536647</v>
      </c>
      <c r="J207" s="116">
        <f t="shared" si="11"/>
        <v>0.9161400678777718</v>
      </c>
      <c r="K207" s="115">
        <f t="shared" si="12"/>
        <v>0.54132199536638903</v>
      </c>
      <c r="L207" s="116">
        <f t="shared" si="13"/>
        <v>0.88952463342560495</v>
      </c>
      <c r="M207" s="62">
        <f>(1-K207)*Option_Portfolio!$E$4*EXP(-Option_Portfolio!$H$4*Option_Portfolio!$F$4)-(1-I207)*C207</f>
        <v>3.3073288234833882</v>
      </c>
      <c r="N207" s="116">
        <f>J207*D207-L207*Option_Portfolio!$E$5*EXP(-Option_Portfolio!$H$5*Option_Portfolio!$F$5)</f>
        <v>27.732657524567628</v>
      </c>
      <c r="O207" s="120">
        <f>M207 * -Option_Portfolio!$B$4 * 1000 + N207 * Option_Portfolio!$B$5 * 1000</f>
        <v>32314013.284751546</v>
      </c>
      <c r="P207" s="123">
        <f t="shared" si="14"/>
        <v>-4.0354089505251767E-2</v>
      </c>
    </row>
    <row r="208" spans="2:16">
      <c r="B208" s="57" t="s">
        <v>238</v>
      </c>
      <c r="C208" s="62">
        <f>$C$17*(1+Underlying_Assets!H199)</f>
        <v>86.083647294589198</v>
      </c>
      <c r="D208" s="8">
        <f>$D$17*(1+Underlying_Assets!I199)</f>
        <v>145.59451303155009</v>
      </c>
      <c r="E208" s="62">
        <f>(LN(C208/Option_Portfolio!$E$4)+(Option_Portfolio!$H$4+0.5*Option_Portfolio!$G$4^2)*Option_Portfolio!$F$4)/(Option_Portfolio!$G$4*SQRT(Option_Portfolio!$F$4))</f>
        <v>0.20708420712464498</v>
      </c>
      <c r="F208" s="63">
        <f>(LN(D208/Option_Portfolio!$E$5)+(Option_Portfolio!$H$5+0.5*Option_Portfolio!$G$5^2)*Option_Portfolio!$F$5)/(Option_Portfolio!$G$5*SQRT(Option_Portfolio!$F$5))</f>
        <v>1.3527191022141409</v>
      </c>
      <c r="G208" s="62">
        <f>E208-Option_Portfolio!$G$4*SQRT(Option_Portfolio!$F$4)</f>
        <v>8.6876054322931884E-2</v>
      </c>
      <c r="H208" s="63">
        <f>F208-Option_Portfolio!$G$5*SQRT(Option_Portfolio!$F$5)</f>
        <v>1.1971556103531005</v>
      </c>
      <c r="I208" s="115">
        <f t="shared" si="10"/>
        <v>0.5820279521715056</v>
      </c>
      <c r="J208" s="116">
        <f t="shared" si="11"/>
        <v>0.91192730725280013</v>
      </c>
      <c r="K208" s="115">
        <f t="shared" si="12"/>
        <v>0.53461498328835311</v>
      </c>
      <c r="L208" s="116">
        <f t="shared" si="13"/>
        <v>0.88437704600373068</v>
      </c>
      <c r="M208" s="62">
        <f>(1-K208)*Option_Portfolio!$E$4*EXP(-Option_Portfolio!$H$4*Option_Portfolio!$F$4)-(1-I208)*C208</f>
        <v>3.3798730926123355</v>
      </c>
      <c r="N208" s="116">
        <f>J208*D208-L208*Option_Portfolio!$E$5*EXP(-Option_Portfolio!$H$5*Option_Portfolio!$F$5)</f>
        <v>27.175668569411457</v>
      </c>
      <c r="O208" s="120">
        <f>M208 * -Option_Portfolio!$B$4 * 1000 + N208 * Option_Portfolio!$B$5 * 1000</f>
        <v>30692225.490536567</v>
      </c>
      <c r="P208" s="123">
        <f t="shared" si="14"/>
        <v>-5.0188374310667028E-2</v>
      </c>
    </row>
    <row r="209" spans="2:16">
      <c r="B209" s="57" t="s">
        <v>239</v>
      </c>
      <c r="C209" s="62">
        <f>$C$17*(1+Underlying_Assets!H200)</f>
        <v>84.884311377245496</v>
      </c>
      <c r="D209" s="8">
        <f>$D$17*(1+Underlying_Assets!I200)</f>
        <v>146.31450659390634</v>
      </c>
      <c r="E209" s="62">
        <f>(LN(C209/Option_Portfolio!$E$4)+(Option_Portfolio!$H$4+0.5*Option_Portfolio!$G$4^2)*Option_Portfolio!$F$4)/(Option_Portfolio!$G$4*SQRT(Option_Portfolio!$F$4))</f>
        <v>9.0368498861271476E-2</v>
      </c>
      <c r="F209" s="63">
        <f>(LN(D209/Option_Portfolio!$E$5)+(Option_Portfolio!$H$5+0.5*Option_Portfolio!$G$5^2)*Option_Portfolio!$F$5)/(Option_Portfolio!$G$5*SQRT(Option_Portfolio!$F$5))</f>
        <v>1.3844296900121267</v>
      </c>
      <c r="G209" s="62">
        <f>E209-Option_Portfolio!$G$4*SQRT(Option_Portfolio!$F$4)</f>
        <v>-2.9839653940441621E-2</v>
      </c>
      <c r="H209" s="63">
        <f>F209-Option_Portfolio!$G$5*SQRT(Option_Portfolio!$F$5)</f>
        <v>1.2288661981510862</v>
      </c>
      <c r="I209" s="115">
        <f t="shared" si="10"/>
        <v>0.53600280574444226</v>
      </c>
      <c r="J209" s="116">
        <f t="shared" si="11"/>
        <v>0.91688653844407619</v>
      </c>
      <c r="K209" s="115">
        <f t="shared" si="12"/>
        <v>0.48809746678256088</v>
      </c>
      <c r="L209" s="116">
        <f t="shared" si="13"/>
        <v>0.89043901166189066</v>
      </c>
      <c r="M209" s="62">
        <f>(1-K209)*Option_Portfolio!$E$4*EXP(-Option_Portfolio!$H$4*Option_Portfolio!$F$4)-(1-I209)*C209</f>
        <v>3.9086174225873478</v>
      </c>
      <c r="N209" s="116">
        <f>J209*D209-L209*Option_Portfolio!$E$5*EXP(-Option_Portfolio!$H$5*Option_Portfolio!$F$5)</f>
        <v>27.834050047410202</v>
      </c>
      <c r="O209" s="120">
        <f>M209 * -Option_Portfolio!$B$4 * 1000 + N209 * Option_Portfolio!$B$5 * 1000</f>
        <v>28307778.136708967</v>
      </c>
      <c r="P209" s="123">
        <f t="shared" si="14"/>
        <v>-7.7688968972380423E-2</v>
      </c>
    </row>
    <row r="210" spans="2:16">
      <c r="B210" s="57" t="s">
        <v>240</v>
      </c>
      <c r="C210" s="62">
        <f>$C$17*(1+Underlying_Assets!H201)</f>
        <v>85.893655913978492</v>
      </c>
      <c r="D210" s="8">
        <f>$D$17*(1+Underlying_Assets!I201)</f>
        <v>144.53933393339335</v>
      </c>
      <c r="E210" s="62">
        <f>(LN(C210/Option_Portfolio!$E$4)+(Option_Portfolio!$H$4+0.5*Option_Portfolio!$G$4^2)*Option_Portfolio!$F$4)/(Option_Portfolio!$G$4*SQRT(Option_Portfolio!$F$4))</f>
        <v>0.18870363552395897</v>
      </c>
      <c r="F210" s="63">
        <f>(LN(D210/Option_Portfolio!$E$5)+(Option_Portfolio!$H$5+0.5*Option_Portfolio!$G$5^2)*Option_Portfolio!$F$5)/(Option_Portfolio!$G$5*SQRT(Option_Portfolio!$F$5))</f>
        <v>1.3059615238116595</v>
      </c>
      <c r="G210" s="62">
        <f>E210-Option_Portfolio!$G$4*SQRT(Option_Portfolio!$F$4)</f>
        <v>6.8495482722245871E-2</v>
      </c>
      <c r="H210" s="63">
        <f>F210-Option_Portfolio!$G$5*SQRT(Option_Portfolio!$F$5)</f>
        <v>1.1503980319506191</v>
      </c>
      <c r="I210" s="115">
        <f t="shared" ref="I210:I267" si="15">_xlfn.NORM.S.DIST(E210,TRUE)</f>
        <v>0.57483744897630151</v>
      </c>
      <c r="J210" s="116">
        <f t="shared" ref="J210:J267" si="16">_xlfn.NORM.S.DIST(F210,TRUE)</f>
        <v>0.90421717878739627</v>
      </c>
      <c r="K210" s="115">
        <f t="shared" ref="K210:K267" si="17">_xlfn.NORM.S.DIST(G210,TRUE)</f>
        <v>0.52730439205093271</v>
      </c>
      <c r="L210" s="116">
        <f t="shared" ref="L210:L267" si="18">_xlfn.NORM.S.DIST(H210,TRUE)</f>
        <v>0.87501001481812934</v>
      </c>
      <c r="M210" s="62">
        <f>(1-K210)*Option_Portfolio!$E$4*EXP(-Option_Portfolio!$H$4*Option_Portfolio!$F$4)-(1-I210)*C210</f>
        <v>3.4599665802170705</v>
      </c>
      <c r="N210" s="116">
        <f>J210*D210-L210*Option_Portfolio!$E$5*EXP(-Option_Portfolio!$H$5*Option_Portfolio!$F$5)</f>
        <v>26.217442653548787</v>
      </c>
      <c r="O210" s="120">
        <f>M210 * -Option_Portfolio!$B$4 * 1000 + N210 * Option_Portfolio!$B$5 * 1000</f>
        <v>28215119.24557808</v>
      </c>
      <c r="P210" s="123">
        <f t="shared" si="14"/>
        <v>-3.2732661208308977E-3</v>
      </c>
    </row>
    <row r="211" spans="2:16">
      <c r="B211" s="57" t="s">
        <v>241</v>
      </c>
      <c r="C211" s="62">
        <f>$C$17*(1+Underlying_Assets!H202)</f>
        <v>85.74</v>
      </c>
      <c r="D211" s="8">
        <f>$D$17*(1+Underlying_Assets!I202)</f>
        <v>151.32840396753835</v>
      </c>
      <c r="E211" s="62">
        <f>(LN(C211/Option_Portfolio!$E$4)+(Option_Portfolio!$H$4+0.5*Option_Portfolio!$G$4^2)*Option_Portfolio!$F$4)/(Option_Portfolio!$G$4*SQRT(Option_Portfolio!$F$4))</f>
        <v>0.17380854952474384</v>
      </c>
      <c r="F211" s="63">
        <f>(LN(D211/Option_Portfolio!$E$5)+(Option_Portfolio!$H$5+0.5*Option_Portfolio!$G$5^2)*Option_Portfolio!$F$5)/(Option_Portfolio!$G$5*SQRT(Option_Portfolio!$F$5))</f>
        <v>1.6010221304458252</v>
      </c>
      <c r="G211" s="62">
        <f>E211-Option_Portfolio!$G$4*SQRT(Option_Portfolio!$F$4)</f>
        <v>5.3600396723030741E-2</v>
      </c>
      <c r="H211" s="63">
        <f>F211-Option_Portfolio!$G$5*SQRT(Option_Portfolio!$F$5)</f>
        <v>1.4454586385847847</v>
      </c>
      <c r="I211" s="115">
        <f t="shared" si="15"/>
        <v>0.56899203744105553</v>
      </c>
      <c r="J211" s="116">
        <f t="shared" si="16"/>
        <v>0.94531399118575343</v>
      </c>
      <c r="K211" s="115">
        <f t="shared" si="17"/>
        <v>0.52137322978555622</v>
      </c>
      <c r="L211" s="116">
        <f t="shared" si="18"/>
        <v>0.92583544858148437</v>
      </c>
      <c r="M211" s="62">
        <f>(1-K211)*Option_Portfolio!$E$4*EXP(-Option_Portfolio!$H$4*Option_Portfolio!$F$4)-(1-I211)*C211</f>
        <v>3.5257440755162008</v>
      </c>
      <c r="N211" s="116">
        <f>J211*D211-L211*Option_Portfolio!$E$5*EXP(-Option_Portfolio!$H$5*Option_Portfolio!$F$5)</f>
        <v>32.506718532219864</v>
      </c>
      <c r="O211" s="120">
        <f>M211 * -Option_Portfolio!$B$4 * 1000 + N211 * Option_Portfolio!$B$5 * 1000</f>
        <v>40333228.535826325</v>
      </c>
      <c r="P211" s="123">
        <f t="shared" ref="P211:P267" si="19">(O211/O210)-1</f>
        <v>0.42948991938594827</v>
      </c>
    </row>
    <row r="212" spans="2:16">
      <c r="B212" s="57" t="s">
        <v>242</v>
      </c>
      <c r="C212" s="62">
        <f>$C$17*(1+Underlying_Assets!H203)</f>
        <v>85.835863148479433</v>
      </c>
      <c r="D212" s="8">
        <f>$D$17*(1+Underlying_Assets!I203)</f>
        <v>147.2362381363244</v>
      </c>
      <c r="E212" s="62">
        <f>(LN(C212/Option_Portfolio!$E$4)+(Option_Portfolio!$H$4+0.5*Option_Portfolio!$G$4^2)*Option_Portfolio!$F$4)/(Option_Portfolio!$G$4*SQRT(Option_Portfolio!$F$4))</f>
        <v>0.18310445317175958</v>
      </c>
      <c r="F212" s="63">
        <f>(LN(D212/Option_Portfolio!$E$5)+(Option_Portfolio!$H$5+0.5*Option_Portfolio!$G$5^2)*Option_Portfolio!$F$5)/(Option_Portfolio!$G$5*SQRT(Option_Portfolio!$F$5))</f>
        <v>1.4247984122392505</v>
      </c>
      <c r="G212" s="62">
        <f>E212-Option_Portfolio!$G$4*SQRT(Option_Portfolio!$F$4)</f>
        <v>6.2896300370046482E-2</v>
      </c>
      <c r="H212" s="63">
        <f>F212-Option_Portfolio!$G$5*SQRT(Option_Portfolio!$F$5)</f>
        <v>1.2692349203782101</v>
      </c>
      <c r="I212" s="115">
        <f t="shared" si="15"/>
        <v>0.57264196913895771</v>
      </c>
      <c r="J212" s="116">
        <f t="shared" si="16"/>
        <v>0.92289225928422614</v>
      </c>
      <c r="K212" s="115">
        <f t="shared" si="17"/>
        <v>0.52507545955471413</v>
      </c>
      <c r="L212" s="116">
        <f t="shared" si="18"/>
        <v>0.89782135509885219</v>
      </c>
      <c r="M212" s="62">
        <f>(1-K212)*Option_Portfolio!$E$4*EXP(-Option_Portfolio!$H$4*Option_Portfolio!$F$4)-(1-I212)*C212</f>
        <v>3.4846013231302067</v>
      </c>
      <c r="N212" s="116">
        <f>J212*D212-L212*Option_Portfolio!$E$5*EXP(-Option_Portfolio!$H$5*Option_Portfolio!$F$5)</f>
        <v>28.681970173057664</v>
      </c>
      <c r="O212" s="120">
        <f>M212 * -Option_Portfolio!$B$4 * 1000 + N212 * Option_Portfolio!$B$5 * 1000</f>
        <v>32971731.08420388</v>
      </c>
      <c r="P212" s="123">
        <f t="shared" si="19"/>
        <v>-0.18251693997378693</v>
      </c>
    </row>
    <row r="213" spans="2:16">
      <c r="B213" s="57" t="s">
        <v>243</v>
      </c>
      <c r="C213" s="62">
        <f>$C$17*(1+Underlying_Assets!H204)</f>
        <v>85.912360955997315</v>
      </c>
      <c r="D213" s="8">
        <f>$D$17*(1+Underlying_Assets!I204)</f>
        <v>142.21977089520578</v>
      </c>
      <c r="E213" s="62">
        <f>(LN(C213/Option_Portfolio!$E$4)+(Option_Portfolio!$H$4+0.5*Option_Portfolio!$G$4^2)*Option_Portfolio!$F$4)/(Option_Portfolio!$G$4*SQRT(Option_Portfolio!$F$4))</f>
        <v>0.19051504398773453</v>
      </c>
      <c r="F213" s="63">
        <f>(LN(D213/Option_Portfolio!$E$5)+(Option_Portfolio!$H$5+0.5*Option_Portfolio!$G$5^2)*Option_Portfolio!$F$5)/(Option_Portfolio!$G$5*SQRT(Option_Portfolio!$F$5))</f>
        <v>1.2019645388315006</v>
      </c>
      <c r="G213" s="62">
        <f>E213-Option_Portfolio!$G$4*SQRT(Option_Portfolio!$F$4)</f>
        <v>7.0306891186021431E-2</v>
      </c>
      <c r="H213" s="63">
        <f>F213-Option_Portfolio!$G$5*SQRT(Option_Portfolio!$F$5)</f>
        <v>1.0464010469704601</v>
      </c>
      <c r="I213" s="115">
        <f t="shared" si="15"/>
        <v>0.57554722216223553</v>
      </c>
      <c r="J213" s="116">
        <f t="shared" si="16"/>
        <v>0.88531136626554707</v>
      </c>
      <c r="K213" s="115">
        <f t="shared" si="17"/>
        <v>0.5280253011454219</v>
      </c>
      <c r="L213" s="116">
        <f t="shared" si="18"/>
        <v>0.85231204520914261</v>
      </c>
      <c r="M213" s="62">
        <f>(1-K213)*Option_Portfolio!$E$4*EXP(-Option_Portfolio!$H$4*Option_Portfolio!$F$4)-(1-I213)*C213</f>
        <v>3.4520205356248823</v>
      </c>
      <c r="N213" s="116">
        <f>J213*D213-L213*Option_Portfolio!$E$5*EXP(-Option_Portfolio!$H$5*Option_Portfolio!$F$5)</f>
        <v>24.141445143287569</v>
      </c>
      <c r="O213" s="120">
        <f>M213 * -Option_Portfolio!$B$4 * 1000 + N213 * Option_Portfolio!$B$5 * 1000</f>
        <v>24118746.537200961</v>
      </c>
      <c r="P213" s="123">
        <f t="shared" si="19"/>
        <v>-0.26850226712070369</v>
      </c>
    </row>
    <row r="214" spans="2:16">
      <c r="B214" s="57" t="s">
        <v>244</v>
      </c>
      <c r="C214" s="62">
        <f>$C$17*(1+Underlying_Assets!H205)</f>
        <v>85.701774409273298</v>
      </c>
      <c r="D214" s="8">
        <f>$D$17*(1+Underlying_Assets!I205)</f>
        <v>144.42470842332614</v>
      </c>
      <c r="E214" s="62">
        <f>(LN(C214/Option_Portfolio!$E$4)+(Option_Portfolio!$H$4+0.5*Option_Portfolio!$G$4^2)*Option_Portfolio!$F$4)/(Option_Portfolio!$G$4*SQRT(Option_Portfolio!$F$4))</f>
        <v>0.17009889358452962</v>
      </c>
      <c r="F214" s="63">
        <f>(LN(D214/Option_Portfolio!$E$5)+(Option_Portfolio!$H$5+0.5*Option_Portfolio!$G$5^2)*Option_Portfolio!$F$5)/(Option_Portfolio!$G$5*SQRT(Option_Portfolio!$F$5))</f>
        <v>1.3008616455106192</v>
      </c>
      <c r="G214" s="62">
        <f>E214-Option_Portfolio!$G$4*SQRT(Option_Portfolio!$F$4)</f>
        <v>4.9890740782816523E-2</v>
      </c>
      <c r="H214" s="63">
        <f>F214-Option_Portfolio!$G$5*SQRT(Option_Portfolio!$F$5)</f>
        <v>1.1452981536495788</v>
      </c>
      <c r="I214" s="115">
        <f t="shared" si="15"/>
        <v>0.56753381818595794</v>
      </c>
      <c r="J214" s="116">
        <f t="shared" si="16"/>
        <v>0.9033470917057006</v>
      </c>
      <c r="K214" s="115">
        <f t="shared" si="17"/>
        <v>0.519895272049402</v>
      </c>
      <c r="L214" s="116">
        <f t="shared" si="18"/>
        <v>0.87395716472032181</v>
      </c>
      <c r="M214" s="62">
        <f>(1-K214)*Option_Portfolio!$E$4*EXP(-Option_Portfolio!$H$4*Option_Portfolio!$F$4)-(1-I214)*C214</f>
        <v>3.5422474751046877</v>
      </c>
      <c r="N214" s="116">
        <f>J214*D214-L214*Option_Portfolio!$E$5*EXP(-Option_Portfolio!$H$5*Option_Portfolio!$F$5)</f>
        <v>26.113846103466472</v>
      </c>
      <c r="O214" s="120">
        <f>M214 * -Option_Portfolio!$B$4 * 1000 + N214 * Option_Portfolio!$B$5 * 1000</f>
        <v>27431959.881200135</v>
      </c>
      <c r="P214" s="123">
        <f t="shared" si="19"/>
        <v>0.13737087617255916</v>
      </c>
    </row>
    <row r="215" spans="2:16">
      <c r="B215" s="57" t="s">
        <v>245</v>
      </c>
      <c r="C215" s="62">
        <f>$C$17*(1+Underlying_Assets!H206)</f>
        <v>86.351882247992847</v>
      </c>
      <c r="D215" s="8">
        <f>$D$17*(1+Underlying_Assets!I206)</f>
        <v>146.80675617150283</v>
      </c>
      <c r="E215" s="62">
        <f>(LN(C215/Option_Portfolio!$E$4)+(Option_Portfolio!$H$4+0.5*Option_Portfolio!$G$4^2)*Option_Portfolio!$F$4)/(Option_Portfolio!$G$4*SQRT(Option_Portfolio!$F$4))</f>
        <v>0.2329654445585779</v>
      </c>
      <c r="F215" s="63">
        <f>(LN(D215/Option_Portfolio!$E$5)+(Option_Portfolio!$H$5+0.5*Option_Portfolio!$G$5^2)*Option_Portfolio!$F$5)/(Option_Portfolio!$G$5*SQRT(Option_Portfolio!$F$5))</f>
        <v>1.4060200930779141</v>
      </c>
      <c r="G215" s="62">
        <f>E215-Option_Portfolio!$G$4*SQRT(Option_Portfolio!$F$4)</f>
        <v>0.1127572917568648</v>
      </c>
      <c r="H215" s="63">
        <f>F215-Option_Portfolio!$G$5*SQRT(Option_Portfolio!$F$5)</f>
        <v>1.2504566012168736</v>
      </c>
      <c r="I215" s="115">
        <f t="shared" si="15"/>
        <v>0.59210588060605507</v>
      </c>
      <c r="J215" s="116">
        <f t="shared" si="16"/>
        <v>0.92014092083857246</v>
      </c>
      <c r="K215" s="115">
        <f t="shared" si="17"/>
        <v>0.54488851071446032</v>
      </c>
      <c r="L215" s="116">
        <f t="shared" si="18"/>
        <v>0.89443360032971575</v>
      </c>
      <c r="M215" s="62">
        <f>(1-K215)*Option_Portfolio!$E$4*EXP(-Option_Portfolio!$H$4*Option_Portfolio!$F$4)-(1-I215)*C215</f>
        <v>3.2691119898070227</v>
      </c>
      <c r="N215" s="116">
        <f>J215*D215-L215*Option_Portfolio!$E$5*EXP(-Option_Portfolio!$H$5*Option_Portfolio!$F$5)</f>
        <v>28.286192512493528</v>
      </c>
      <c r="O215" s="120">
        <f>M215 * -Option_Portfolio!$B$4 * 1000 + N215 * Option_Portfolio!$B$5 * 1000</f>
        <v>33688601.0963379</v>
      </c>
      <c r="P215" s="123">
        <f t="shared" si="19"/>
        <v>0.22807853475411388</v>
      </c>
    </row>
    <row r="216" spans="2:16">
      <c r="B216" s="57" t="s">
        <v>246</v>
      </c>
      <c r="C216" s="62">
        <f>$C$17*(1+Underlying_Assets!H207)</f>
        <v>86.480447298494241</v>
      </c>
      <c r="D216" s="8">
        <f>$D$17*(1+Underlying_Assets!I207)</f>
        <v>143.74848355403677</v>
      </c>
      <c r="E216" s="62">
        <f>(LN(C216/Option_Portfolio!$E$4)+(Option_Portfolio!$H$4+0.5*Option_Portfolio!$G$4^2)*Option_Portfolio!$F$4)/(Option_Portfolio!$G$4*SQRT(Option_Portfolio!$F$4))</f>
        <v>0.24534183760953954</v>
      </c>
      <c r="F216" s="63">
        <f>(LN(D216/Option_Portfolio!$E$5)+(Option_Portfolio!$H$5+0.5*Option_Portfolio!$G$5^2)*Option_Portfolio!$F$5)/(Option_Portfolio!$G$5*SQRT(Option_Portfolio!$F$5))</f>
        <v>1.2706926624341661</v>
      </c>
      <c r="G216" s="62">
        <f>E216-Option_Portfolio!$G$4*SQRT(Option_Portfolio!$F$4)</f>
        <v>0.12513368480782644</v>
      </c>
      <c r="H216" s="63">
        <f>F216-Option_Portfolio!$G$5*SQRT(Option_Portfolio!$F$5)</f>
        <v>1.1151291705731257</v>
      </c>
      <c r="I216" s="115">
        <f t="shared" si="15"/>
        <v>0.59690412015218586</v>
      </c>
      <c r="J216" s="116">
        <f t="shared" si="16"/>
        <v>0.89808099650862627</v>
      </c>
      <c r="K216" s="115">
        <f t="shared" si="17"/>
        <v>0.54979114187292599</v>
      </c>
      <c r="L216" s="116">
        <f t="shared" si="18"/>
        <v>0.86760246361877713</v>
      </c>
      <c r="M216" s="62">
        <f>(1-K216)*Option_Portfolio!$E$4*EXP(-Option_Portfolio!$H$4*Option_Portfolio!$F$4)-(1-I216)*C216</f>
        <v>3.2169797333406862</v>
      </c>
      <c r="N216" s="116">
        <f>J216*D216-L216*Option_Portfolio!$E$5*EXP(-Option_Portfolio!$H$5*Option_Portfolio!$F$5)</f>
        <v>25.504747963333401</v>
      </c>
      <c r="O216" s="120">
        <f>M216 * -Option_Portfolio!$B$4 * 1000 + N216 * Option_Portfolio!$B$5 * 1000</f>
        <v>28490637.793281998</v>
      </c>
      <c r="P216" s="123">
        <f t="shared" si="19"/>
        <v>-0.15429442404543603</v>
      </c>
    </row>
    <row r="217" spans="2:16">
      <c r="B217" s="57" t="s">
        <v>247</v>
      </c>
      <c r="C217" s="62">
        <f>$C$17*(1+Underlying_Assets!H208)</f>
        <v>85.664706915477495</v>
      </c>
      <c r="D217" s="8">
        <f>$D$17*(1+Underlying_Assets!I208)</f>
        <v>144.17693631669536</v>
      </c>
      <c r="E217" s="62">
        <f>(LN(C217/Option_Portfolio!$E$4)+(Option_Portfolio!$H$4+0.5*Option_Portfolio!$G$4^2)*Option_Portfolio!$F$4)/(Option_Portfolio!$G$4*SQRT(Option_Portfolio!$F$4))</f>
        <v>0.16650004625819792</v>
      </c>
      <c r="F217" s="63">
        <f>(LN(D217/Option_Portfolio!$E$5)+(Option_Portfolio!$H$5+0.5*Option_Portfolio!$G$5^2)*Option_Portfolio!$F$5)/(Option_Portfolio!$G$5*SQRT(Option_Portfolio!$F$5))</f>
        <v>1.2898240104472802</v>
      </c>
      <c r="G217" s="62">
        <f>E217-Option_Portfolio!$G$4*SQRT(Option_Portfolio!$F$4)</f>
        <v>4.6291893456484823E-2</v>
      </c>
      <c r="H217" s="63">
        <f>F217-Option_Portfolio!$G$5*SQRT(Option_Portfolio!$F$5)</f>
        <v>1.1342605185862398</v>
      </c>
      <c r="I217" s="115">
        <f t="shared" si="15"/>
        <v>0.56611827661475922</v>
      </c>
      <c r="J217" s="116">
        <f t="shared" si="16"/>
        <v>0.90144411530026636</v>
      </c>
      <c r="K217" s="115">
        <f t="shared" si="17"/>
        <v>0.51846119976554572</v>
      </c>
      <c r="L217" s="116">
        <f t="shared" si="18"/>
        <v>0.87165735745863537</v>
      </c>
      <c r="M217" s="62">
        <f>(1-K217)*Option_Portfolio!$E$4*EXP(-Option_Portfolio!$H$4*Option_Portfolio!$F$4)-(1-I217)*C217</f>
        <v>3.5583041433651772</v>
      </c>
      <c r="N217" s="116">
        <f>J217*D217-L217*Option_Portfolio!$E$5*EXP(-Option_Portfolio!$H$5*Option_Portfolio!$F$5)</f>
        <v>25.89025701453123</v>
      </c>
      <c r="O217" s="120">
        <f>M217 * -Option_Portfolio!$B$4 * 1000 + N217 * Option_Portfolio!$B$5 * 1000</f>
        <v>26872385.025506224</v>
      </c>
      <c r="P217" s="123">
        <f t="shared" si="19"/>
        <v>-5.6799457404823395E-2</v>
      </c>
    </row>
    <row r="218" spans="2:16">
      <c r="B218" s="57" t="s">
        <v>248</v>
      </c>
      <c r="C218" s="62">
        <f>$C$17*(1+Underlying_Assets!H209)</f>
        <v>86.173315754779182</v>
      </c>
      <c r="D218" s="8">
        <f>$D$17*(1+Underlying_Assets!I209)</f>
        <v>146.80242005185826</v>
      </c>
      <c r="E218" s="62">
        <f>(LN(C218/Option_Portfolio!$E$4)+(Option_Portfolio!$H$4+0.5*Option_Portfolio!$G$4^2)*Option_Portfolio!$F$4)/(Option_Portfolio!$G$4*SQRT(Option_Portfolio!$F$4))</f>
        <v>0.21574502761371425</v>
      </c>
      <c r="F218" s="63">
        <f>(LN(D218/Option_Portfolio!$E$5)+(Option_Portfolio!$H$5+0.5*Option_Portfolio!$G$5^2)*Option_Portfolio!$F$5)/(Option_Portfolio!$G$5*SQRT(Option_Portfolio!$F$5))</f>
        <v>1.4058302241294669</v>
      </c>
      <c r="G218" s="62">
        <f>E218-Option_Portfolio!$G$4*SQRT(Option_Portfolio!$F$4)</f>
        <v>9.5536874812001155E-2</v>
      </c>
      <c r="H218" s="63">
        <f>F218-Option_Portfolio!$G$5*SQRT(Option_Portfolio!$F$5)</f>
        <v>1.2502667322684264</v>
      </c>
      <c r="I218" s="115">
        <f t="shared" si="15"/>
        <v>0.58540674966030282</v>
      </c>
      <c r="J218" s="116">
        <f t="shared" si="16"/>
        <v>0.92011272758310192</v>
      </c>
      <c r="K218" s="115">
        <f t="shared" si="17"/>
        <v>0.53805579883425014</v>
      </c>
      <c r="L218" s="116">
        <f t="shared" si="18"/>
        <v>0.89439893661660996</v>
      </c>
      <c r="M218" s="62">
        <f>(1-K218)*Option_Portfolio!$E$4*EXP(-Option_Portfolio!$H$4*Option_Portfolio!$F$4)-(1-I218)*C218</f>
        <v>3.3425457409794177</v>
      </c>
      <c r="N218" s="116">
        <f>J218*D218-L218*Option_Portfolio!$E$5*EXP(-Option_Portfolio!$H$5*Option_Portfolio!$F$5)</f>
        <v>28.28220273249255</v>
      </c>
      <c r="O218" s="120">
        <f>M218 * -Option_Portfolio!$B$4 * 1000 + N218 * Option_Portfolio!$B$5 * 1000</f>
        <v>33166585.278129179</v>
      </c>
      <c r="P218" s="123">
        <f t="shared" si="19"/>
        <v>0.23422559056997527</v>
      </c>
    </row>
    <row r="219" spans="2:16">
      <c r="B219" s="57" t="s">
        <v>249</v>
      </c>
      <c r="C219" s="62">
        <f>$C$17*(1+Underlying_Assets!H210)</f>
        <v>84.015452557936158</v>
      </c>
      <c r="D219" s="8">
        <f>$D$17*(1+Underlying_Assets!I210)</f>
        <v>143.87416879795396</v>
      </c>
      <c r="E219" s="62">
        <f>(LN(C219/Option_Portfolio!$E$4)+(Option_Portfolio!$H$4+0.5*Option_Portfolio!$G$4^2)*Option_Portfolio!$F$4)/(Option_Portfolio!$G$4*SQRT(Option_Portfolio!$F$4))</f>
        <v>4.779080655269774E-3</v>
      </c>
      <c r="F219" s="63">
        <f>(LN(D219/Option_Portfolio!$E$5)+(Option_Portfolio!$H$5+0.5*Option_Portfolio!$G$5^2)*Option_Portfolio!$F$5)/(Option_Portfolio!$G$5*SQRT(Option_Portfolio!$F$5))</f>
        <v>1.2763106858597764</v>
      </c>
      <c r="G219" s="62">
        <f>E219-Option_Portfolio!$G$4*SQRT(Option_Portfolio!$F$4)</f>
        <v>-0.11542907214644332</v>
      </c>
      <c r="H219" s="63">
        <f>F219-Option_Portfolio!$G$5*SQRT(Option_Portfolio!$F$5)</f>
        <v>1.1207471939987359</v>
      </c>
      <c r="I219" s="115">
        <f t="shared" si="15"/>
        <v>0.50190657007727957</v>
      </c>
      <c r="J219" s="116">
        <f t="shared" si="16"/>
        <v>0.8990771428789015</v>
      </c>
      <c r="K219" s="115">
        <f t="shared" si="17"/>
        <v>0.45405251836284699</v>
      </c>
      <c r="L219" s="116">
        <f t="shared" si="18"/>
        <v>0.86880225633332198</v>
      </c>
      <c r="M219" s="62">
        <f>(1-K219)*Option_Portfolio!$E$4*EXP(-Option_Portfolio!$H$4*Option_Portfolio!$F$4)-(1-I219)*C219</f>
        <v>4.3265424319947101</v>
      </c>
      <c r="N219" s="116">
        <f>J219*D219-L219*Option_Portfolio!$E$5*EXP(-Option_Portfolio!$H$5*Option_Portfolio!$F$5)</f>
        <v>25.617686176651446</v>
      </c>
      <c r="O219" s="120">
        <f>M219 * -Option_Portfolio!$B$4 * 1000 + N219 * Option_Portfolio!$B$5 * 1000</f>
        <v>20949575.329339918</v>
      </c>
      <c r="P219" s="123">
        <f t="shared" si="19"/>
        <v>-0.36835296266828654</v>
      </c>
    </row>
    <row r="220" spans="2:16">
      <c r="B220" s="57" t="s">
        <v>250</v>
      </c>
      <c r="C220" s="62">
        <f>$C$17*(1+Underlying_Assets!H211)</f>
        <v>84.63046854082998</v>
      </c>
      <c r="D220" s="8">
        <f>$D$17*(1+Underlying_Assets!I211)</f>
        <v>145.29695409695412</v>
      </c>
      <c r="E220" s="62">
        <f>(LN(C220/Option_Portfolio!$E$4)+(Option_Portfolio!$H$4+0.5*Option_Portfolio!$G$4^2)*Option_Portfolio!$F$4)/(Option_Portfolio!$G$4*SQRT(Option_Portfolio!$F$4))</f>
        <v>6.5453909218549725E-2</v>
      </c>
      <c r="F220" s="63">
        <f>(LN(D220/Option_Portfolio!$E$5)+(Option_Portfolio!$H$5+0.5*Option_Portfolio!$G$5^2)*Option_Portfolio!$F$5)/(Option_Portfolio!$G$5*SQRT(Option_Portfolio!$F$5))</f>
        <v>1.3395679296279734</v>
      </c>
      <c r="G220" s="62">
        <f>E220-Option_Portfolio!$G$4*SQRT(Option_Portfolio!$F$4)</f>
        <v>-5.4754243583163373E-2</v>
      </c>
      <c r="H220" s="63">
        <f>F220-Option_Portfolio!$G$5*SQRT(Option_Portfolio!$F$5)</f>
        <v>1.184004437766933</v>
      </c>
      <c r="I220" s="115">
        <f t="shared" si="15"/>
        <v>0.52609369864343425</v>
      </c>
      <c r="J220" s="116">
        <f t="shared" si="16"/>
        <v>0.90980707197842869</v>
      </c>
      <c r="K220" s="115">
        <f t="shared" si="17"/>
        <v>0.47816712700576691</v>
      </c>
      <c r="L220" s="116">
        <f t="shared" si="18"/>
        <v>0.88179434693409842</v>
      </c>
      <c r="M220" s="62">
        <f>(1-K220)*Option_Portfolio!$E$4*EXP(-Option_Portfolio!$H$4*Option_Portfolio!$F$4)-(1-I220)*C220</f>
        <v>4.0276564297317918</v>
      </c>
      <c r="N220" s="116">
        <f>J220*D220-L220*Option_Portfolio!$E$5*EXP(-Option_Portfolio!$H$5*Option_Portfolio!$F$5)</f>
        <v>26.904630860615271</v>
      </c>
      <c r="O220" s="120">
        <f>M220 * -Option_Portfolio!$B$4 * 1000 + N220 * Option_Portfolio!$B$5 * 1000</f>
        <v>25615666.713108003</v>
      </c>
      <c r="P220" s="123">
        <f t="shared" si="19"/>
        <v>0.22272964059721145</v>
      </c>
    </row>
    <row r="221" spans="2:16">
      <c r="B221" s="57" t="s">
        <v>251</v>
      </c>
      <c r="C221" s="62">
        <f>$C$17*(1+Underlying_Assets!H212)</f>
        <v>84.829109403254975</v>
      </c>
      <c r="D221" s="8">
        <f>$D$17*(1+Underlying_Assets!I212)</f>
        <v>141.70466011115863</v>
      </c>
      <c r="E221" s="62">
        <f>(LN(C221/Option_Portfolio!$E$4)+(Option_Portfolio!$H$4+0.5*Option_Portfolio!$G$4^2)*Option_Portfolio!$F$4)/(Option_Portfolio!$G$4*SQRT(Option_Portfolio!$F$4))</f>
        <v>8.4956788954947099E-2</v>
      </c>
      <c r="F221" s="63">
        <f>(LN(D221/Option_Portfolio!$E$5)+(Option_Portfolio!$H$5+0.5*Option_Portfolio!$G$5^2)*Option_Portfolio!$F$5)/(Option_Portfolio!$G$5*SQRT(Option_Portfolio!$F$5))</f>
        <v>1.1786395917477923</v>
      </c>
      <c r="G221" s="62">
        <f>E221-Option_Portfolio!$G$4*SQRT(Option_Portfolio!$F$4)</f>
        <v>-3.5251363846765998E-2</v>
      </c>
      <c r="H221" s="63">
        <f>F221-Option_Portfolio!$G$5*SQRT(Option_Portfolio!$F$5)</f>
        <v>1.0230760998867519</v>
      </c>
      <c r="I221" s="115">
        <f t="shared" si="15"/>
        <v>0.53385212806273996</v>
      </c>
      <c r="J221" s="116">
        <f t="shared" si="16"/>
        <v>0.88072914034096395</v>
      </c>
      <c r="K221" s="115">
        <f t="shared" si="17"/>
        <v>0.48593965261539246</v>
      </c>
      <c r="L221" s="116">
        <f t="shared" si="18"/>
        <v>0.84686406689034155</v>
      </c>
      <c r="M221" s="62">
        <f>(1-K221)*Option_Portfolio!$E$4*EXP(-Option_Portfolio!$H$4*Option_Portfolio!$F$4)-(1-I221)*C221</f>
        <v>3.9342903333335073</v>
      </c>
      <c r="N221" s="116">
        <f>J221*D221-L221*Option_Portfolio!$E$5*EXP(-Option_Portfolio!$H$5*Option_Portfolio!$F$5)</f>
        <v>23.686585713718472</v>
      </c>
      <c r="O221" s="120">
        <f>M221 * -Option_Portfolio!$B$4 * 1000 + N221 * Option_Portfolio!$B$5 * 1000</f>
        <v>19833139.094102398</v>
      </c>
      <c r="P221" s="123">
        <f t="shared" si="19"/>
        <v>-0.22574183540757031</v>
      </c>
    </row>
    <row r="222" spans="2:16">
      <c r="B222" s="57" t="s">
        <v>252</v>
      </c>
      <c r="C222" s="62">
        <f>$C$17*(1+Underlying_Assets!H213)</f>
        <v>86.288485263879352</v>
      </c>
      <c r="D222" s="8">
        <f>$D$17*(1+Underlying_Assets!I213)</f>
        <v>146.12844036697248</v>
      </c>
      <c r="E222" s="62">
        <f>(LN(C222/Option_Portfolio!$E$4)+(Option_Portfolio!$H$4+0.5*Option_Portfolio!$G$4^2)*Option_Portfolio!$F$4)/(Option_Portfolio!$G$4*SQRT(Option_Portfolio!$F$4))</f>
        <v>0.22685571006054389</v>
      </c>
      <c r="F222" s="63">
        <f>(LN(D222/Option_Portfolio!$E$5)+(Option_Portfolio!$H$5+0.5*Option_Portfolio!$G$5^2)*Option_Portfolio!$F$5)/(Option_Portfolio!$G$5*SQRT(Option_Portfolio!$F$5))</f>
        <v>1.3762497753912957</v>
      </c>
      <c r="G222" s="62">
        <f>E222-Option_Portfolio!$G$4*SQRT(Option_Portfolio!$F$4)</f>
        <v>0.10664755725883079</v>
      </c>
      <c r="H222" s="63">
        <f>F222-Option_Portfolio!$G$5*SQRT(Option_Portfolio!$F$5)</f>
        <v>1.2206862835302552</v>
      </c>
      <c r="I222" s="115">
        <f t="shared" si="15"/>
        <v>0.58973202878831965</v>
      </c>
      <c r="J222" s="116">
        <f t="shared" si="16"/>
        <v>0.91562784175107803</v>
      </c>
      <c r="K222" s="115">
        <f t="shared" si="17"/>
        <v>0.54246570576803799</v>
      </c>
      <c r="L222" s="116">
        <f t="shared" si="18"/>
        <v>0.88889758844890643</v>
      </c>
      <c r="M222" s="62">
        <f>(1-K222)*Option_Portfolio!$E$4*EXP(-Option_Portfolio!$H$4*Option_Portfolio!$F$4)-(1-I222)*C222</f>
        <v>3.2950464675098274</v>
      </c>
      <c r="N222" s="116">
        <f>J222*D222-L222*Option_Portfolio!$E$5*EXP(-Option_Portfolio!$H$5*Option_Portfolio!$F$5)</f>
        <v>27.663565283948955</v>
      </c>
      <c r="O222" s="120">
        <f>M222 * -Option_Portfolio!$B$4 * 1000 + N222 * Option_Portfolio!$B$5 * 1000</f>
        <v>32261805.295329116</v>
      </c>
      <c r="P222" s="123">
        <f t="shared" si="19"/>
        <v>0.62666157597424998</v>
      </c>
    </row>
    <row r="223" spans="2:16">
      <c r="B223" s="57" t="s">
        <v>253</v>
      </c>
      <c r="C223" s="62">
        <f>$C$17*(1+Underlying_Assets!H214)</f>
        <v>85.934642451759359</v>
      </c>
      <c r="D223" s="8">
        <f>$D$17*(1+Underlying_Assets!I214)</f>
        <v>144.61194805194805</v>
      </c>
      <c r="E223" s="62">
        <f>(LN(C223/Option_Portfolio!$E$4)+(Option_Portfolio!$H$4+0.5*Option_Portfolio!$G$4^2)*Option_Portfolio!$F$4)/(Option_Portfolio!$G$4*SQRT(Option_Portfolio!$F$4))</f>
        <v>0.19267228392985514</v>
      </c>
      <c r="F223" s="63">
        <f>(LN(D223/Option_Portfolio!$E$5)+(Option_Portfolio!$H$5+0.5*Option_Portfolio!$G$5^2)*Option_Portfolio!$F$5)/(Option_Portfolio!$G$5*SQRT(Option_Portfolio!$F$5))</f>
        <v>1.3091901537502695</v>
      </c>
      <c r="G223" s="62">
        <f>E223-Option_Portfolio!$G$4*SQRT(Option_Portfolio!$F$4)</f>
        <v>7.246413112814204E-2</v>
      </c>
      <c r="H223" s="63">
        <f>F223-Option_Portfolio!$G$5*SQRT(Option_Portfolio!$F$5)</f>
        <v>1.153626661889229</v>
      </c>
      <c r="I223" s="115">
        <f t="shared" si="15"/>
        <v>0.57639218453153418</v>
      </c>
      <c r="J223" s="116">
        <f t="shared" si="16"/>
        <v>0.90476502666160674</v>
      </c>
      <c r="K223" s="115">
        <f t="shared" si="17"/>
        <v>0.5288837251946743</v>
      </c>
      <c r="L223" s="116">
        <f t="shared" si="18"/>
        <v>0.87567336865854462</v>
      </c>
      <c r="M223" s="62">
        <f>(1-K223)*Option_Portfolio!$E$4*EXP(-Option_Portfolio!$H$4*Option_Portfolio!$F$4)-(1-I223)*C223</f>
        <v>3.4425725074223266</v>
      </c>
      <c r="N223" s="116">
        <f>J223*D223-L223*Option_Portfolio!$E$5*EXP(-Option_Portfolio!$H$5*Option_Portfolio!$F$5)</f>
        <v>26.283121493374125</v>
      </c>
      <c r="O223" s="120">
        <f>M223 * -Option_Portfolio!$B$4 * 1000 + N223 * Option_Portfolio!$B$5 * 1000</f>
        <v>28468235.434791964</v>
      </c>
      <c r="P223" s="123">
        <f t="shared" si="19"/>
        <v>-0.1175870297960786</v>
      </c>
    </row>
    <row r="224" spans="2:16">
      <c r="B224" s="57" t="s">
        <v>254</v>
      </c>
      <c r="C224" s="62">
        <f>$C$17*(1+Underlying_Assets!H215)</f>
        <v>85.215655719139292</v>
      </c>
      <c r="D224" s="8">
        <f>$D$17*(1+Underlying_Assets!I215)</f>
        <v>143.85851755526659</v>
      </c>
      <c r="E224" s="62">
        <f>(LN(C224/Option_Portfolio!$E$4)+(Option_Portfolio!$H$4+0.5*Option_Portfolio!$G$4^2)*Option_Portfolio!$F$4)/(Option_Portfolio!$G$4*SQRT(Option_Portfolio!$F$4))</f>
        <v>0.12277797048358507</v>
      </c>
      <c r="F224" s="63">
        <f>(LN(D224/Option_Portfolio!$E$5)+(Option_Portfolio!$H$5+0.5*Option_Portfolio!$G$5^2)*Option_Portfolio!$F$5)/(Option_Portfolio!$G$5*SQRT(Option_Portfolio!$F$5))</f>
        <v>1.2756113562152804</v>
      </c>
      <c r="G224" s="62">
        <f>E224-Option_Portfolio!$G$4*SQRT(Option_Portfolio!$F$4)</f>
        <v>2.5698176818719776E-3</v>
      </c>
      <c r="H224" s="63">
        <f>F224-Option_Portfolio!$G$5*SQRT(Option_Portfolio!$F$5)</f>
        <v>1.12004786435424</v>
      </c>
      <c r="I224" s="115">
        <f t="shared" si="15"/>
        <v>0.54885854036770954</v>
      </c>
      <c r="J224" s="116">
        <f t="shared" si="16"/>
        <v>0.89895353114914378</v>
      </c>
      <c r="K224" s="115">
        <f t="shared" si="17"/>
        <v>0.50102520779781612</v>
      </c>
      <c r="L224" s="116">
        <f t="shared" si="18"/>
        <v>0.86865331710103044</v>
      </c>
      <c r="M224" s="62">
        <f>(1-K224)*Option_Portfolio!$E$4*EXP(-Option_Portfolio!$H$4*Option_Portfolio!$F$4)-(1-I224)*C224</f>
        <v>3.7570070240633768</v>
      </c>
      <c r="N224" s="116">
        <f>J224*D224-L224*Option_Portfolio!$E$5*EXP(-Option_Portfolio!$H$5*Option_Portfolio!$F$5)</f>
        <v>25.60361546927075</v>
      </c>
      <c r="O224" s="120">
        <f>M224 * -Option_Portfolio!$B$4 * 1000 + N224 * Option_Portfolio!$B$5 * 1000</f>
        <v>24908181.770097863</v>
      </c>
      <c r="P224" s="123">
        <f t="shared" si="19"/>
        <v>-0.12505354161653592</v>
      </c>
    </row>
    <row r="225" spans="2:16">
      <c r="B225" s="57" t="s">
        <v>255</v>
      </c>
      <c r="C225" s="62">
        <f>$C$17*(1+Underlying_Assets!H216)</f>
        <v>85.857237921604366</v>
      </c>
      <c r="D225" s="8">
        <f>$D$17*(1+Underlying_Assets!I216)</f>
        <v>145.55811518324612</v>
      </c>
      <c r="E225" s="62">
        <f>(LN(C225/Option_Portfolio!$E$4)+(Option_Portfolio!$H$4+0.5*Option_Portfolio!$G$4^2)*Option_Portfolio!$F$4)/(Option_Portfolio!$G$4*SQRT(Option_Portfolio!$F$4))</f>
        <v>0.18517576146159659</v>
      </c>
      <c r="F225" s="63">
        <f>(LN(D225/Option_Portfolio!$E$5)+(Option_Portfolio!$H$5+0.5*Option_Portfolio!$G$5^2)*Option_Portfolio!$F$5)/(Option_Portfolio!$G$5*SQRT(Option_Portfolio!$F$5))</f>
        <v>1.3511118748766056</v>
      </c>
      <c r="G225" s="62">
        <f>E225-Option_Portfolio!$G$4*SQRT(Option_Portfolio!$F$4)</f>
        <v>6.4967608659883491E-2</v>
      </c>
      <c r="H225" s="63">
        <f>F225-Option_Portfolio!$G$5*SQRT(Option_Portfolio!$F$5)</f>
        <v>1.1955483830155651</v>
      </c>
      <c r="I225" s="115">
        <f t="shared" si="15"/>
        <v>0.57345441007318387</v>
      </c>
      <c r="J225" s="116">
        <f t="shared" si="16"/>
        <v>0.91167020094855444</v>
      </c>
      <c r="K225" s="115">
        <f t="shared" si="17"/>
        <v>0.52590010485270244</v>
      </c>
      <c r="L225" s="116">
        <f t="shared" si="18"/>
        <v>0.88406357768885102</v>
      </c>
      <c r="M225" s="62">
        <f>(1-K225)*Option_Portfolio!$E$4*EXP(-Option_Portfolio!$H$4*Option_Portfolio!$F$4)-(1-I225)*C225</f>
        <v>3.4754753259600335</v>
      </c>
      <c r="N225" s="116">
        <f>J225*D225-L225*Option_Portfolio!$E$5*EXP(-Option_Portfolio!$H$5*Option_Portfolio!$F$5)</f>
        <v>27.142481054786487</v>
      </c>
      <c r="O225" s="120">
        <f>M225 * -Option_Portfolio!$B$4 * 1000 + N225 * Option_Portfolio!$B$5 * 1000</f>
        <v>29956634.827852741</v>
      </c>
      <c r="P225" s="123">
        <f t="shared" si="19"/>
        <v>0.20268252032011103</v>
      </c>
    </row>
    <row r="226" spans="2:16">
      <c r="B226" s="57" t="s">
        <v>256</v>
      </c>
      <c r="C226" s="62">
        <f>$C$17*(1+Underlying_Assets!H217)</f>
        <v>85.466818388711872</v>
      </c>
      <c r="D226" s="8">
        <f>$D$17*(1+Underlying_Assets!I217)</f>
        <v>145.61701388888886</v>
      </c>
      <c r="E226" s="62">
        <f>(LN(C226/Option_Portfolio!$E$4)+(Option_Portfolio!$H$4+0.5*Option_Portfolio!$G$4^2)*Option_Portfolio!$F$4)/(Option_Portfolio!$G$4*SQRT(Option_Portfolio!$F$4))</f>
        <v>0.14726085288616581</v>
      </c>
      <c r="F226" s="63">
        <f>(LN(D226/Option_Portfolio!$E$5)+(Option_Portfolio!$H$5+0.5*Option_Portfolio!$G$5^2)*Option_Portfolio!$F$5)/(Option_Portfolio!$G$5*SQRT(Option_Portfolio!$F$5))</f>
        <v>1.3537124762812314</v>
      </c>
      <c r="G226" s="62">
        <f>E226-Option_Portfolio!$G$4*SQRT(Option_Portfolio!$F$4)</f>
        <v>2.7052700084452708E-2</v>
      </c>
      <c r="H226" s="63">
        <f>F226-Option_Portfolio!$G$5*SQRT(Option_Portfolio!$F$5)</f>
        <v>1.1981489844201909</v>
      </c>
      <c r="I226" s="115">
        <f t="shared" si="15"/>
        <v>0.55853693478950794</v>
      </c>
      <c r="J226" s="116">
        <f t="shared" si="16"/>
        <v>0.9120859369142118</v>
      </c>
      <c r="K226" s="115">
        <f t="shared" si="17"/>
        <v>0.51079114959873406</v>
      </c>
      <c r="L226" s="116">
        <f t="shared" si="18"/>
        <v>0.88457048907600777</v>
      </c>
      <c r="M226" s="62">
        <f>(1-K226)*Option_Portfolio!$E$4*EXP(-Option_Portfolio!$H$4*Option_Portfolio!$F$4)-(1-I226)*C226</f>
        <v>3.6449138221958961</v>
      </c>
      <c r="N226" s="116">
        <f>J226*D226-L226*Option_Portfolio!$E$5*EXP(-Option_Portfolio!$H$5*Option_Portfolio!$F$5)</f>
        <v>27.196189500752752</v>
      </c>
      <c r="O226" s="120">
        <f>M226 * -Option_Portfolio!$B$4 * 1000 + N226 * Option_Portfolio!$B$5 * 1000</f>
        <v>28877982.246134236</v>
      </c>
      <c r="P226" s="123">
        <f t="shared" si="19"/>
        <v>-3.6007134576932054E-2</v>
      </c>
    </row>
    <row r="227" spans="2:16">
      <c r="B227" s="57" t="s">
        <v>257</v>
      </c>
      <c r="C227" s="62">
        <f>$C$17*(1+Underlying_Assets!H218)</f>
        <v>84.917835616438353</v>
      </c>
      <c r="D227" s="8">
        <f>$D$17*(1+Underlying_Assets!I218)</f>
        <v>145.17496763055678</v>
      </c>
      <c r="E227" s="62">
        <f>(LN(C227/Option_Portfolio!$E$4)+(Option_Portfolio!$H$4+0.5*Option_Portfolio!$G$4^2)*Option_Portfolio!$F$4)/(Option_Portfolio!$G$4*SQRT(Option_Portfolio!$F$4))</f>
        <v>9.3653320789419806E-2</v>
      </c>
      <c r="F227" s="63">
        <f>(LN(D227/Option_Portfolio!$E$5)+(Option_Portfolio!$H$5+0.5*Option_Portfolio!$G$5^2)*Option_Portfolio!$F$5)/(Option_Portfolio!$G$5*SQRT(Option_Portfolio!$F$5))</f>
        <v>1.3341687244523839</v>
      </c>
      <c r="G227" s="62">
        <f>E227-Option_Portfolio!$G$4*SQRT(Option_Portfolio!$F$4)</f>
        <v>-2.6554832012293292E-2</v>
      </c>
      <c r="H227" s="63">
        <f>F227-Option_Portfolio!$G$5*SQRT(Option_Portfolio!$F$5)</f>
        <v>1.1786052325913434</v>
      </c>
      <c r="I227" s="115">
        <f t="shared" si="15"/>
        <v>0.53730772407928851</v>
      </c>
      <c r="J227" s="116">
        <f t="shared" si="16"/>
        <v>0.90892571654030119</v>
      </c>
      <c r="K227" s="115">
        <f t="shared" si="17"/>
        <v>0.48940739968738989</v>
      </c>
      <c r="L227" s="116">
        <f t="shared" si="18"/>
        <v>0.88072229646236178</v>
      </c>
      <c r="M227" s="62">
        <f>(1-K227)*Option_Portfolio!$E$4*EXP(-Option_Portfolio!$H$4*Option_Portfolio!$F$4)-(1-I227)*C227</f>
        <v>3.8930841454008132</v>
      </c>
      <c r="N227" s="116">
        <f>J227*D227-L227*Option_Portfolio!$E$5*EXP(-Option_Portfolio!$H$5*Option_Portfolio!$F$5)</f>
        <v>26.793700395324393</v>
      </c>
      <c r="O227" s="120">
        <f>M227 * -Option_Portfolio!$B$4 * 1000 + N227 * Option_Portfolio!$B$5 * 1000</f>
        <v>26335811.772843096</v>
      </c>
      <c r="P227" s="123">
        <f t="shared" si="19"/>
        <v>-8.8031443873868631E-2</v>
      </c>
    </row>
    <row r="228" spans="2:16">
      <c r="B228" s="57" t="s">
        <v>258</v>
      </c>
      <c r="C228" s="62">
        <f>$C$17*(1+Underlying_Assets!H219)</f>
        <v>85.443526970954338</v>
      </c>
      <c r="D228" s="8">
        <f>$D$17*(1+Underlying_Assets!I219)</f>
        <v>144.42600086095564</v>
      </c>
      <c r="E228" s="62">
        <f>(LN(C228/Option_Portfolio!$E$4)+(Option_Portfolio!$H$4+0.5*Option_Portfolio!$G$4^2)*Option_Portfolio!$F$4)/(Option_Portfolio!$G$4*SQRT(Option_Portfolio!$F$4))</f>
        <v>0.14499347634995149</v>
      </c>
      <c r="F228" s="63">
        <f>(LN(D228/Option_Portfolio!$E$5)+(Option_Portfolio!$H$5+0.5*Option_Portfolio!$G$5^2)*Option_Portfolio!$F$5)/(Option_Portfolio!$G$5*SQRT(Option_Portfolio!$F$5))</f>
        <v>1.3009191707544856</v>
      </c>
      <c r="G228" s="62">
        <f>E228-Option_Portfolio!$G$4*SQRT(Option_Portfolio!$F$4)</f>
        <v>2.4785323548238397E-2</v>
      </c>
      <c r="H228" s="63">
        <f>F228-Option_Portfolio!$G$5*SQRT(Option_Portfolio!$F$5)</f>
        <v>1.1453556788934451</v>
      </c>
      <c r="I228" s="115">
        <f t="shared" si="15"/>
        <v>0.5576419887599835</v>
      </c>
      <c r="J228" s="116">
        <f t="shared" si="16"/>
        <v>0.90335693831748887</v>
      </c>
      <c r="K228" s="115">
        <f t="shared" si="17"/>
        <v>0.50988690121234881</v>
      </c>
      <c r="L228" s="116">
        <f t="shared" si="18"/>
        <v>0.87396907495955001</v>
      </c>
      <c r="M228" s="62">
        <f>(1-K228)*Option_Portfolio!$E$4*EXP(-Option_Portfolio!$H$4*Option_Portfolio!$F$4)-(1-I228)*C228</f>
        <v>3.6552065441041748</v>
      </c>
      <c r="N228" s="116">
        <f>J228*D228-L228*Option_Portfolio!$E$5*EXP(-Option_Portfolio!$H$5*Option_Portfolio!$F$5)</f>
        <v>26.115013629603439</v>
      </c>
      <c r="O228" s="120">
        <f>M228 * -Option_Portfolio!$B$4 * 1000 + N228 * Option_Portfolio!$B$5 * 1000</f>
        <v>26643581.450477652</v>
      </c>
      <c r="P228" s="123">
        <f t="shared" si="19"/>
        <v>1.1686356216743743E-2</v>
      </c>
    </row>
    <row r="229" spans="2:16">
      <c r="B229" s="57" t="s">
        <v>259</v>
      </c>
      <c r="C229" s="62">
        <f>$C$17*(1+Underlying_Assets!H220)</f>
        <v>84.986328938237349</v>
      </c>
      <c r="D229" s="8">
        <f>$D$17*(1+Underlying_Assets!I220)</f>
        <v>144.2375485541649</v>
      </c>
      <c r="E229" s="62">
        <f>(LN(C229/Option_Portfolio!$E$4)+(Option_Portfolio!$H$4+0.5*Option_Portfolio!$G$4^2)*Option_Portfolio!$F$4)/(Option_Portfolio!$G$4*SQRT(Option_Portfolio!$F$4))</f>
        <v>0.10036050602710248</v>
      </c>
      <c r="F229" s="63">
        <f>(LN(D229/Option_Portfolio!$E$5)+(Option_Portfolio!$H$5+0.5*Option_Portfolio!$G$5^2)*Option_Portfolio!$F$5)/(Option_Portfolio!$G$5*SQRT(Option_Portfolio!$F$5))</f>
        <v>1.2925258874028938</v>
      </c>
      <c r="G229" s="62">
        <f>E229-Option_Portfolio!$G$4*SQRT(Option_Portfolio!$F$4)</f>
        <v>-1.9847646774610622E-2</v>
      </c>
      <c r="H229" s="63">
        <f>F229-Option_Portfolio!$G$5*SQRT(Option_Portfolio!$F$5)</f>
        <v>1.1369623955418533</v>
      </c>
      <c r="I229" s="115">
        <f t="shared" si="15"/>
        <v>0.53997093848031064</v>
      </c>
      <c r="J229" s="116">
        <f t="shared" si="16"/>
        <v>0.9019124565866572</v>
      </c>
      <c r="K229" s="115">
        <f t="shared" si="17"/>
        <v>0.49208245436379527</v>
      </c>
      <c r="L229" s="116">
        <f t="shared" si="18"/>
        <v>0.87222299689862992</v>
      </c>
      <c r="M229" s="62">
        <f>(1-K229)*Option_Portfolio!$E$4*EXP(-Option_Portfolio!$H$4*Option_Portfolio!$F$4)-(1-I229)*C229</f>
        <v>3.8614840427991624</v>
      </c>
      <c r="N229" s="116">
        <f>J229*D229-L229*Option_Portfolio!$E$5*EXP(-Option_Portfolio!$H$5*Option_Portfolio!$F$5)</f>
        <v>25.944909762166873</v>
      </c>
      <c r="O229" s="120">
        <f>M229 * -Option_Portfolio!$B$4 * 1000 + N229 * Option_Portfolio!$B$5 * 1000</f>
        <v>24859431.224739611</v>
      </c>
      <c r="P229" s="123">
        <f t="shared" si="19"/>
        <v>-6.6963603562615437E-2</v>
      </c>
    </row>
    <row r="230" spans="2:16">
      <c r="B230" s="57" t="s">
        <v>260</v>
      </c>
      <c r="C230" s="62">
        <f>$C$17*(1+Underlying_Assets!H221)</f>
        <v>85.439859976662774</v>
      </c>
      <c r="D230" s="8">
        <f>$D$17*(1+Underlying_Assets!I221)</f>
        <v>145.36464471403812</v>
      </c>
      <c r="E230" s="62">
        <f>(LN(C230/Option_Portfolio!$E$4)+(Option_Portfolio!$H$4+0.5*Option_Portfolio!$G$4^2)*Option_Portfolio!$F$4)/(Option_Portfolio!$G$4*SQRT(Option_Portfolio!$F$4))</f>
        <v>0.14463644490889105</v>
      </c>
      <c r="F230" s="63">
        <f>(LN(D230/Option_Portfolio!$E$5)+(Option_Portfolio!$H$5+0.5*Option_Portfolio!$G$5^2)*Option_Portfolio!$F$5)/(Option_Portfolio!$G$5*SQRT(Option_Portfolio!$F$5))</f>
        <v>1.3425620078039766</v>
      </c>
      <c r="G230" s="62">
        <f>E230-Option_Portfolio!$G$4*SQRT(Option_Portfolio!$F$4)</f>
        <v>2.4428292107177951E-2</v>
      </c>
      <c r="H230" s="63">
        <f>F230-Option_Portfolio!$G$5*SQRT(Option_Portfolio!$F$5)</f>
        <v>1.1869985159429361</v>
      </c>
      <c r="I230" s="115">
        <f t="shared" si="15"/>
        <v>0.55750103954849461</v>
      </c>
      <c r="J230" s="116">
        <f t="shared" si="16"/>
        <v>0.91029308033357137</v>
      </c>
      <c r="K230" s="115">
        <f t="shared" si="17"/>
        <v>0.50974450939112659</v>
      </c>
      <c r="L230" s="116">
        <f t="shared" si="18"/>
        <v>0.88238589705669224</v>
      </c>
      <c r="M230" s="62">
        <f>(1-K230)*Option_Portfolio!$E$4*EXP(-Option_Portfolio!$H$4*Option_Portfolio!$F$4)-(1-I230)*C230</f>
        <v>3.6568289268321408</v>
      </c>
      <c r="N230" s="116">
        <f>J230*D230-L230*Option_Portfolio!$E$5*EXP(-Option_Portfolio!$H$5*Option_Portfolio!$F$5)</f>
        <v>26.966232724132368</v>
      </c>
      <c r="O230" s="120">
        <f>M230 * -Option_Portfolio!$B$4 * 1000 + N230 * Option_Portfolio!$B$5 * 1000</f>
        <v>28334662.960439757</v>
      </c>
      <c r="P230" s="123">
        <f t="shared" si="19"/>
        <v>0.13979530361264514</v>
      </c>
    </row>
    <row r="231" spans="2:16">
      <c r="B231" s="57" t="s">
        <v>261</v>
      </c>
      <c r="C231" s="62">
        <f>$C$17*(1+Underlying_Assets!H222)</f>
        <v>82.366622950819675</v>
      </c>
      <c r="D231" s="8">
        <f>$D$17*(1+Underlying_Assets!I222)</f>
        <v>145.36245144583515</v>
      </c>
      <c r="E231" s="62">
        <f>(LN(C231/Option_Portfolio!$E$4)+(Option_Portfolio!$H$4+0.5*Option_Portfolio!$G$4^2)*Option_Portfolio!$F$4)/(Option_Portfolio!$G$4*SQRT(Option_Portfolio!$F$4))</f>
        <v>-0.16010530452602878</v>
      </c>
      <c r="F231" s="63">
        <f>(LN(D231/Option_Portfolio!$E$5)+(Option_Portfolio!$H$5+0.5*Option_Portfolio!$G$5^2)*Option_Portfolio!$F$5)/(Option_Portfolio!$G$5*SQRT(Option_Portfolio!$F$5))</f>
        <v>1.34246501744993</v>
      </c>
      <c r="G231" s="62">
        <f>E231-Option_Portfolio!$G$4*SQRT(Option_Portfolio!$F$4)</f>
        <v>-0.28031345732774188</v>
      </c>
      <c r="H231" s="63">
        <f>F231-Option_Portfolio!$G$5*SQRT(Option_Portfolio!$F$5)</f>
        <v>1.1869015255888895</v>
      </c>
      <c r="I231" s="115">
        <f t="shared" si="15"/>
        <v>0.43639906133691897</v>
      </c>
      <c r="J231" s="116">
        <f t="shared" si="16"/>
        <v>0.91027736712400809</v>
      </c>
      <c r="K231" s="115">
        <f t="shared" si="17"/>
        <v>0.38961851351957372</v>
      </c>
      <c r="L231" s="116">
        <f t="shared" si="18"/>
        <v>0.88236676724725771</v>
      </c>
      <c r="M231" s="62">
        <f>(1-K231)*Option_Portfolio!$E$4*EXP(-Option_Portfolio!$H$4*Option_Portfolio!$F$4)-(1-I231)*C231</f>
        <v>5.2017556602872617</v>
      </c>
      <c r="N231" s="116">
        <f>J231*D231-L231*Option_Portfolio!$E$5*EXP(-Option_Portfolio!$H$5*Option_Portfolio!$F$5)</f>
        <v>26.96423622449511</v>
      </c>
      <c r="O231" s="120">
        <f>M231 * -Option_Portfolio!$B$4 * 1000 + N231 * Option_Portfolio!$B$5 * 1000</f>
        <v>17516182.826979391</v>
      </c>
      <c r="P231" s="123">
        <f t="shared" si="19"/>
        <v>-0.38181079296990028</v>
      </c>
    </row>
    <row r="232" spans="2:16">
      <c r="B232" s="57" t="s">
        <v>262</v>
      </c>
      <c r="C232" s="62">
        <f>$C$17*(1+Underlying_Assets!H223)</f>
        <v>86.617883959044363</v>
      </c>
      <c r="D232" s="8">
        <f>$D$17*(1+Underlying_Assets!I223)</f>
        <v>144.05296646603614</v>
      </c>
      <c r="E232" s="62">
        <f>(LN(C232/Option_Portfolio!$E$4)+(Option_Portfolio!$H$4+0.5*Option_Portfolio!$G$4^2)*Option_Portfolio!$F$4)/(Option_Portfolio!$G$4*SQRT(Option_Portfolio!$F$4))</f>
        <v>0.25855193064795767</v>
      </c>
      <c r="F232" s="63">
        <f>(LN(D232/Option_Portfolio!$E$5)+(Option_Portfolio!$H$5+0.5*Option_Portfolio!$G$5^2)*Option_Portfolio!$F$5)/(Option_Portfolio!$G$5*SQRT(Option_Portfolio!$F$5))</f>
        <v>1.284294338308164</v>
      </c>
      <c r="G232" s="62">
        <f>E232-Option_Portfolio!$G$4*SQRT(Option_Portfolio!$F$4)</f>
        <v>0.13834377784624458</v>
      </c>
      <c r="H232" s="63">
        <f>F232-Option_Portfolio!$G$5*SQRT(Option_Portfolio!$F$5)</f>
        <v>1.1287308464471235</v>
      </c>
      <c r="I232" s="115">
        <f t="shared" si="15"/>
        <v>0.60200951198091379</v>
      </c>
      <c r="J232" s="116">
        <f t="shared" si="16"/>
        <v>0.9004805064559227</v>
      </c>
      <c r="K232" s="115">
        <f t="shared" si="17"/>
        <v>0.55501563579830315</v>
      </c>
      <c r="L232" s="116">
        <f t="shared" si="18"/>
        <v>0.87049430368414582</v>
      </c>
      <c r="M232" s="62">
        <f>(1-K232)*Option_Portfolio!$E$4*EXP(-Option_Portfolio!$H$4*Option_Portfolio!$F$4)-(1-I232)*C232</f>
        <v>3.1619307031956936</v>
      </c>
      <c r="N232" s="116">
        <f>J232*D232-L232*Option_Portfolio!$E$5*EXP(-Option_Portfolio!$H$5*Option_Portfolio!$F$5)</f>
        <v>25.778564771989906</v>
      </c>
      <c r="O232" s="120">
        <f>M232 * -Option_Portfolio!$B$4 * 1000 + N232 * Option_Portfolio!$B$5 * 1000</f>
        <v>29423614.621609956</v>
      </c>
      <c r="P232" s="123">
        <f t="shared" si="19"/>
        <v>0.6797960441638049</v>
      </c>
    </row>
    <row r="233" spans="2:16">
      <c r="B233" s="57" t="s">
        <v>263</v>
      </c>
      <c r="C233" s="62">
        <f>$C$17*(1+Underlying_Assets!H224)</f>
        <v>86.898648648648646</v>
      </c>
      <c r="D233" s="8">
        <f>$D$17*(1+Underlying_Assets!I224)</f>
        <v>146.80242005185826</v>
      </c>
      <c r="E233" s="62">
        <f>(LN(C233/Option_Portfolio!$E$4)+(Option_Portfolio!$H$4+0.5*Option_Portfolio!$G$4^2)*Option_Portfolio!$F$4)/(Option_Portfolio!$G$4*SQRT(Option_Portfolio!$F$4))</f>
        <v>0.28547335777017513</v>
      </c>
      <c r="F233" s="63">
        <f>(LN(D233/Option_Portfolio!$E$5)+(Option_Portfolio!$H$5+0.5*Option_Portfolio!$G$5^2)*Option_Portfolio!$F$5)/(Option_Portfolio!$G$5*SQRT(Option_Portfolio!$F$5))</f>
        <v>1.4058302241294669</v>
      </c>
      <c r="G233" s="62">
        <f>E233-Option_Portfolio!$G$4*SQRT(Option_Portfolio!$F$4)</f>
        <v>0.16526520496846203</v>
      </c>
      <c r="H233" s="63">
        <f>F233-Option_Portfolio!$G$5*SQRT(Option_Portfolio!$F$5)</f>
        <v>1.2502667322684264</v>
      </c>
      <c r="I233" s="115">
        <f t="shared" si="15"/>
        <v>0.61235924351428195</v>
      </c>
      <c r="J233" s="116">
        <f t="shared" si="16"/>
        <v>0.92011272758310192</v>
      </c>
      <c r="K233" s="115">
        <f t="shared" si="17"/>
        <v>0.56563237769767094</v>
      </c>
      <c r="L233" s="116">
        <f t="shared" si="18"/>
        <v>0.89439893661660996</v>
      </c>
      <c r="M233" s="62">
        <f>(1-K233)*Option_Portfolio!$E$4*EXP(-Option_Portfolio!$H$4*Option_Portfolio!$F$4)-(1-I233)*C233</f>
        <v>3.0516445038372524</v>
      </c>
      <c r="N233" s="116">
        <f>J233*D233-L233*Option_Portfolio!$E$5*EXP(-Option_Portfolio!$H$5*Option_Portfolio!$F$5)</f>
        <v>28.28220273249255</v>
      </c>
      <c r="O233" s="120">
        <f>M233 * -Option_Portfolio!$B$4 * 1000 + N233 * Option_Portfolio!$B$5 * 1000</f>
        <v>35202893.938124336</v>
      </c>
      <c r="P233" s="123">
        <f t="shared" si="19"/>
        <v>0.19641636117235683</v>
      </c>
    </row>
    <row r="234" spans="2:16">
      <c r="B234" s="57" t="s">
        <v>264</v>
      </c>
      <c r="C234" s="62">
        <f>$C$17*(1+Underlying_Assets!H225)</f>
        <v>86.107457142857129</v>
      </c>
      <c r="D234" s="8">
        <f>$D$17*(1+Underlying_Assets!I225)</f>
        <v>145.78755328218244</v>
      </c>
      <c r="E234" s="62">
        <f>(LN(C234/Option_Portfolio!$E$4)+(Option_Portfolio!$H$4+0.5*Option_Portfolio!$G$4^2)*Option_Portfolio!$F$4)/(Option_Portfolio!$G$4*SQRT(Option_Portfolio!$F$4))</f>
        <v>0.20938481176308288</v>
      </c>
      <c r="F234" s="63">
        <f>(LN(D234/Option_Portfolio!$E$5)+(Option_Portfolio!$H$5+0.5*Option_Portfolio!$G$5^2)*Option_Portfolio!$F$5)/(Option_Portfolio!$G$5*SQRT(Option_Portfolio!$F$5))</f>
        <v>1.3612365098015009</v>
      </c>
      <c r="G234" s="62">
        <f>E234-Option_Portfolio!$G$4*SQRT(Option_Portfolio!$F$4)</f>
        <v>8.9176658961369781E-2</v>
      </c>
      <c r="H234" s="63">
        <f>F234-Option_Portfolio!$G$5*SQRT(Option_Portfolio!$F$5)</f>
        <v>1.2056730179404604</v>
      </c>
      <c r="I234" s="115">
        <f t="shared" si="15"/>
        <v>0.58292607577687705</v>
      </c>
      <c r="J234" s="116">
        <f t="shared" si="16"/>
        <v>0.91328052009463234</v>
      </c>
      <c r="K234" s="115">
        <f t="shared" si="17"/>
        <v>0.53552924254504997</v>
      </c>
      <c r="L234" s="116">
        <f t="shared" si="18"/>
        <v>0.88602820365825607</v>
      </c>
      <c r="M234" s="62">
        <f>(1-K234)*Option_Portfolio!$E$4*EXP(-Option_Portfolio!$H$4*Option_Portfolio!$F$4)-(1-I234)*C234</f>
        <v>3.3699319350131987</v>
      </c>
      <c r="N234" s="116">
        <f>J234*D234-L234*Option_Portfolio!$E$5*EXP(-Option_Portfolio!$H$5*Option_Portfolio!$F$5)</f>
        <v>27.351838138078691</v>
      </c>
      <c r="O234" s="120">
        <f>M234 * -Option_Portfolio!$B$4 * 1000 + N234 * Option_Portfolio!$B$5 * 1000</f>
        <v>31114152.731064998</v>
      </c>
      <c r="P234" s="123">
        <f t="shared" si="19"/>
        <v>-0.11614787165640605</v>
      </c>
    </row>
    <row r="235" spans="2:16">
      <c r="B235" s="57" t="s">
        <v>265</v>
      </c>
      <c r="C235" s="62">
        <f>$C$17*(1+Underlying_Assets!H226)</f>
        <v>86.207524893314357</v>
      </c>
      <c r="D235" s="8">
        <f>$D$17*(1+Underlying_Assets!I226)</f>
        <v>144.24826418289587</v>
      </c>
      <c r="E235" s="62">
        <f>(LN(C235/Option_Portfolio!$E$4)+(Option_Portfolio!$H$4+0.5*Option_Portfolio!$G$4^2)*Option_Portfolio!$F$4)/(Option_Portfolio!$G$4*SQRT(Option_Portfolio!$F$4))</f>
        <v>0.21904681589125935</v>
      </c>
      <c r="F235" s="63">
        <f>(LN(D235/Option_Portfolio!$E$5)+(Option_Portfolio!$H$5+0.5*Option_Portfolio!$G$5^2)*Option_Portfolio!$F$5)/(Option_Portfolio!$G$5*SQRT(Option_Portfolio!$F$5))</f>
        <v>1.2930034337317406</v>
      </c>
      <c r="G235" s="62">
        <f>E235-Option_Portfolio!$G$4*SQRT(Option_Portfolio!$F$4)</f>
        <v>9.8838663089546253E-2</v>
      </c>
      <c r="H235" s="63">
        <f>F235-Option_Portfolio!$G$5*SQRT(Option_Portfolio!$F$5)</f>
        <v>1.1374399418707002</v>
      </c>
      <c r="I235" s="115">
        <f t="shared" si="15"/>
        <v>0.58669321030927191</v>
      </c>
      <c r="J235" s="116">
        <f t="shared" si="16"/>
        <v>0.90199506424715614</v>
      </c>
      <c r="K235" s="115">
        <f t="shared" si="17"/>
        <v>0.53936681496597949</v>
      </c>
      <c r="L235" s="116">
        <f t="shared" si="18"/>
        <v>0.87232279103217791</v>
      </c>
      <c r="M235" s="62">
        <f>(1-K235)*Option_Portfolio!$E$4*EXP(-Option_Portfolio!$H$4*Option_Portfolio!$F$4)-(1-I235)*C235</f>
        <v>3.3283848714861151</v>
      </c>
      <c r="N235" s="116">
        <f>J235*D235-L235*Option_Portfolio!$E$5*EXP(-Option_Portfolio!$H$5*Option_Portfolio!$F$5)</f>
        <v>25.954574763847006</v>
      </c>
      <c r="O235" s="120">
        <f>M235 * -Option_Portfolio!$B$4 * 1000 + N235 * Option_Portfolio!$B$5 * 1000</f>
        <v>28610455.427291203</v>
      </c>
      <c r="P235" s="123">
        <f t="shared" si="19"/>
        <v>-8.0468117689544316E-2</v>
      </c>
    </row>
    <row r="236" spans="2:16">
      <c r="B236" s="57" t="s">
        <v>266</v>
      </c>
      <c r="C236" s="62">
        <f>$C$17*(1+Underlying_Assets!H227)</f>
        <v>86.12412166941759</v>
      </c>
      <c r="D236" s="8">
        <f>$D$17*(1+Underlying_Assets!I227)</f>
        <v>144.61538461538461</v>
      </c>
      <c r="E236" s="62">
        <f>(LN(C236/Option_Portfolio!$E$4)+(Option_Portfolio!$H$4+0.5*Option_Portfolio!$G$4^2)*Option_Portfolio!$F$4)/(Option_Portfolio!$G$4*SQRT(Option_Portfolio!$F$4))</f>
        <v>0.21099462787833845</v>
      </c>
      <c r="F236" s="63">
        <f>(LN(D236/Option_Portfolio!$E$5)+(Option_Portfolio!$H$5+0.5*Option_Portfolio!$G$5^2)*Option_Portfolio!$F$5)/(Option_Portfolio!$G$5*SQRT(Option_Portfolio!$F$5))</f>
        <v>1.3093429129397391</v>
      </c>
      <c r="G236" s="62">
        <f>E236-Option_Portfolio!$G$4*SQRT(Option_Portfolio!$F$4)</f>
        <v>9.078647507662535E-2</v>
      </c>
      <c r="H236" s="63">
        <f>F236-Option_Portfolio!$G$5*SQRT(Option_Portfolio!$F$5)</f>
        <v>1.1537794210786987</v>
      </c>
      <c r="I236" s="115">
        <f t="shared" si="15"/>
        <v>0.58355426833567314</v>
      </c>
      <c r="J236" s="116">
        <f t="shared" si="16"/>
        <v>0.90479089021560744</v>
      </c>
      <c r="K236" s="115">
        <f t="shared" si="17"/>
        <v>0.53616887150350423</v>
      </c>
      <c r="L236" s="116">
        <f t="shared" si="18"/>
        <v>0.87570469341949841</v>
      </c>
      <c r="M236" s="62">
        <f>(1-K236)*Option_Portfolio!$E$4*EXP(-Option_Portfolio!$H$4*Option_Portfolio!$F$4)-(1-I236)*C236</f>
        <v>3.3629868302551031</v>
      </c>
      <c r="N236" s="116">
        <f>J236*D236-L236*Option_Portfolio!$E$5*EXP(-Option_Portfolio!$H$5*Option_Portfolio!$F$5)</f>
        <v>26.286230820225967</v>
      </c>
      <c r="O236" s="120">
        <f>M236 * -Option_Portfolio!$B$4 * 1000 + N236 * Option_Portfolio!$B$5 * 1000</f>
        <v>29031553.82866621</v>
      </c>
      <c r="P236" s="123">
        <f t="shared" si="19"/>
        <v>1.4718339679882453E-2</v>
      </c>
    </row>
    <row r="237" spans="2:16">
      <c r="B237" s="57" t="s">
        <v>267</v>
      </c>
      <c r="C237" s="62">
        <f>$C$17*(1+Underlying_Assets!H228)</f>
        <v>85.498478873239421</v>
      </c>
      <c r="D237" s="8">
        <f>$D$17*(1+Underlying_Assets!I228)</f>
        <v>143.8141276595745</v>
      </c>
      <c r="E237" s="62">
        <f>(LN(C237/Option_Portfolio!$E$4)+(Option_Portfolio!$H$4+0.5*Option_Portfolio!$G$4^2)*Option_Portfolio!$F$4)/(Option_Portfolio!$G$4*SQRT(Option_Portfolio!$F$4))</f>
        <v>0.15034195199458575</v>
      </c>
      <c r="F237" s="63">
        <f>(LN(D237/Option_Portfolio!$E$5)+(Option_Portfolio!$H$5+0.5*Option_Portfolio!$G$5^2)*Option_Portfolio!$F$5)/(Option_Portfolio!$G$5*SQRT(Option_Portfolio!$F$5))</f>
        <v>1.2736275105912991</v>
      </c>
      <c r="G237" s="62">
        <f>E237-Option_Portfolio!$G$4*SQRT(Option_Portfolio!$F$4)</f>
        <v>3.0133799192872651E-2</v>
      </c>
      <c r="H237" s="63">
        <f>F237-Option_Portfolio!$G$5*SQRT(Option_Portfolio!$F$5)</f>
        <v>1.1180640187302586</v>
      </c>
      <c r="I237" s="115">
        <f t="shared" si="15"/>
        <v>0.55975258190218002</v>
      </c>
      <c r="J237" s="116">
        <f t="shared" si="16"/>
        <v>0.89860227114789493</v>
      </c>
      <c r="K237" s="115">
        <f t="shared" si="17"/>
        <v>0.51201982744722696</v>
      </c>
      <c r="L237" s="116">
        <f t="shared" si="18"/>
        <v>0.86823017380527112</v>
      </c>
      <c r="M237" s="62">
        <f>(1-K237)*Option_Portfolio!$E$4*EXP(-Option_Portfolio!$H$4*Option_Portfolio!$F$4)-(1-I237)*C237</f>
        <v>3.6309561342969801</v>
      </c>
      <c r="N237" s="116">
        <f>J237*D237-L237*Option_Portfolio!$E$5*EXP(-Option_Portfolio!$H$5*Option_Portfolio!$F$5)</f>
        <v>25.563718808301772</v>
      </c>
      <c r="O237" s="120">
        <f>M237 * -Option_Portfolio!$B$4 * 1000 + N237 * Option_Portfolio!$B$5 * 1000</f>
        <v>25710744.676524684</v>
      </c>
      <c r="P237" s="123">
        <f t="shared" si="19"/>
        <v>-0.11438620101906183</v>
      </c>
    </row>
    <row r="238" spans="2:16">
      <c r="B238" s="57" t="s">
        <v>268</v>
      </c>
      <c r="C238" s="62">
        <f>$C$17*(1+Underlying_Assets!H229)</f>
        <v>85.699632768361582</v>
      </c>
      <c r="D238" s="8">
        <f>$D$17*(1+Underlying_Assets!I229)</f>
        <v>143.12493573264783</v>
      </c>
      <c r="E238" s="62">
        <f>(LN(C238/Option_Portfolio!$E$4)+(Option_Portfolio!$H$4+0.5*Option_Portfolio!$G$4^2)*Option_Portfolio!$F$4)/(Option_Portfolio!$G$4*SQRT(Option_Portfolio!$F$4))</f>
        <v>0.16989100610029742</v>
      </c>
      <c r="F238" s="63">
        <f>(LN(D238/Option_Portfolio!$E$5)+(Option_Portfolio!$H$5+0.5*Option_Portfolio!$G$5^2)*Option_Portfolio!$F$5)/(Option_Portfolio!$G$5*SQRT(Option_Portfolio!$F$5))</f>
        <v>1.2427477693128293</v>
      </c>
      <c r="G238" s="62">
        <f>E238-Option_Portfolio!$G$4*SQRT(Option_Portfolio!$F$4)</f>
        <v>4.9682853298584323E-2</v>
      </c>
      <c r="H238" s="63">
        <f>F238-Option_Portfolio!$G$5*SQRT(Option_Portfolio!$F$5)</f>
        <v>1.0871842774517888</v>
      </c>
      <c r="I238" s="115">
        <f t="shared" si="15"/>
        <v>0.5674520728042175</v>
      </c>
      <c r="J238" s="116">
        <f t="shared" si="16"/>
        <v>0.89301960253691726</v>
      </c>
      <c r="K238" s="115">
        <f t="shared" si="17"/>
        <v>0.51981243966552382</v>
      </c>
      <c r="L238" s="116">
        <f t="shared" si="18"/>
        <v>0.86152231107902155</v>
      </c>
      <c r="M238" s="62">
        <f>(1-K238)*Option_Portfolio!$E$4*EXP(-Option_Portfolio!$H$4*Option_Portfolio!$F$4)-(1-I238)*C238</f>
        <v>3.5431737499063374</v>
      </c>
      <c r="N238" s="116">
        <f>J238*D238-L238*Option_Portfolio!$E$5*EXP(-Option_Portfolio!$H$5*Option_Portfolio!$F$5)</f>
        <v>24.946319145905392</v>
      </c>
      <c r="O238" s="120">
        <f>M238 * -Option_Portfolio!$B$4 * 1000 + N238 * Option_Portfolio!$B$5 * 1000</f>
        <v>25090422.042466428</v>
      </c>
      <c r="P238" s="123">
        <f t="shared" si="19"/>
        <v>-2.4126980445830615E-2</v>
      </c>
    </row>
    <row r="239" spans="2:16">
      <c r="B239" s="57" t="s">
        <v>269</v>
      </c>
      <c r="C239" s="62">
        <f>$C$17*(1+Underlying_Assets!H230)</f>
        <v>85.881351860574654</v>
      </c>
      <c r="D239" s="8">
        <f>$D$17*(1+Underlying_Assets!I230)</f>
        <v>143.60745557000436</v>
      </c>
      <c r="E239" s="62">
        <f>(LN(C239/Option_Portfolio!$E$4)+(Option_Portfolio!$H$4+0.5*Option_Portfolio!$G$4^2)*Option_Portfolio!$F$4)/(Option_Portfolio!$G$4*SQRT(Option_Portfolio!$F$4))</f>
        <v>0.18751188787608952</v>
      </c>
      <c r="F239" s="63">
        <f>(LN(D239/Option_Portfolio!$E$5)+(Option_Portfolio!$H$5+0.5*Option_Portfolio!$G$5^2)*Option_Portfolio!$F$5)/(Option_Portfolio!$G$5*SQRT(Option_Portfolio!$F$5))</f>
        <v>1.2643829804952125</v>
      </c>
      <c r="G239" s="62">
        <f>E239-Option_Portfolio!$G$4*SQRT(Option_Portfolio!$F$4)</f>
        <v>6.7303735074376425E-2</v>
      </c>
      <c r="H239" s="63">
        <f>F239-Option_Portfolio!$G$5*SQRT(Option_Portfolio!$F$5)</f>
        <v>1.108819488634172</v>
      </c>
      <c r="I239" s="115">
        <f t="shared" si="15"/>
        <v>0.57437034808993026</v>
      </c>
      <c r="J239" s="116">
        <f t="shared" si="16"/>
        <v>0.89695370069648162</v>
      </c>
      <c r="K239" s="115">
        <f t="shared" si="17"/>
        <v>0.52683004826297364</v>
      </c>
      <c r="L239" s="116">
        <f t="shared" si="18"/>
        <v>0.86624596928821351</v>
      </c>
      <c r="M239" s="62">
        <f>(1-K239)*Option_Portfolio!$E$4*EXP(-Option_Portfolio!$H$4*Option_Portfolio!$F$4)-(1-I239)*C239</f>
        <v>3.4652006763913263</v>
      </c>
      <c r="N239" s="116">
        <f>J239*D239-L239*Option_Portfolio!$E$5*EXP(-Option_Portfolio!$H$5*Option_Portfolio!$F$5)</f>
        <v>25.378172782064965</v>
      </c>
      <c r="O239" s="120">
        <f>M239 * -Option_Portfolio!$B$4 * 1000 + N239 * Option_Portfolio!$B$5 * 1000</f>
        <v>26499940.829390641</v>
      </c>
      <c r="P239" s="123">
        <f t="shared" si="19"/>
        <v>5.6177563874316272E-2</v>
      </c>
    </row>
    <row r="240" spans="2:16">
      <c r="B240" s="57" t="s">
        <v>270</v>
      </c>
      <c r="C240" s="62">
        <f>$C$17*(1+Underlying_Assets!H231)</f>
        <v>84.651366094521507</v>
      </c>
      <c r="D240" s="8">
        <f>$D$17*(1+Underlying_Assets!I231)</f>
        <v>144.16713286713286</v>
      </c>
      <c r="E240" s="62">
        <f>(LN(C240/Option_Portfolio!$E$4)+(Option_Portfolio!$H$4+0.5*Option_Portfolio!$G$4^2)*Option_Portfolio!$F$4)/(Option_Portfolio!$G$4*SQRT(Option_Portfolio!$F$4))</f>
        <v>6.7507818071709233E-2</v>
      </c>
      <c r="F240" s="63">
        <f>(LN(D240/Option_Portfolio!$E$5)+(Option_Portfolio!$H$5+0.5*Option_Portfolio!$G$5^2)*Option_Portfolio!$F$5)/(Option_Portfolio!$G$5*SQRT(Option_Portfolio!$F$5))</f>
        <v>1.2893869009843359</v>
      </c>
      <c r="G240" s="62">
        <f>E240-Option_Portfolio!$G$4*SQRT(Option_Portfolio!$F$4)</f>
        <v>-5.2700334730003864E-2</v>
      </c>
      <c r="H240" s="63">
        <f>F240-Option_Portfolio!$G$5*SQRT(Option_Portfolio!$F$5)</f>
        <v>1.1338234091232955</v>
      </c>
      <c r="I240" s="115">
        <f t="shared" si="15"/>
        <v>0.52691128084770633</v>
      </c>
      <c r="J240" s="116">
        <f t="shared" si="16"/>
        <v>0.90136819348931874</v>
      </c>
      <c r="K240" s="115">
        <f t="shared" si="17"/>
        <v>0.47898533616102712</v>
      </c>
      <c r="L240" s="116">
        <f t="shared" si="18"/>
        <v>0.87156568522550659</v>
      </c>
      <c r="M240" s="62">
        <f>(1-K240)*Option_Portfolio!$E$4*EXP(-Option_Portfolio!$H$4*Option_Portfolio!$F$4)-(1-I240)*C240</f>
        <v>4.0177614906343777</v>
      </c>
      <c r="N240" s="116">
        <f>J240*D240-L240*Option_Portfolio!$E$5*EXP(-Option_Portfolio!$H$5*Option_Portfolio!$F$5)</f>
        <v>25.881420124722112</v>
      </c>
      <c r="O240" s="120">
        <f>M240 * -Option_Portfolio!$B$4 * 1000 + N240 * Option_Portfolio!$B$5 * 1000</f>
        <v>23638509.815003581</v>
      </c>
      <c r="P240" s="123">
        <f t="shared" si="19"/>
        <v>-0.1079787699455349</v>
      </c>
    </row>
    <row r="241" spans="2:16">
      <c r="B241" s="57" t="s">
        <v>271</v>
      </c>
      <c r="C241" s="62">
        <f>$C$17*(1+Underlying_Assets!H232)</f>
        <v>85.474551083591322</v>
      </c>
      <c r="D241" s="8">
        <f>$D$17*(1+Underlying_Assets!I232)</f>
        <v>146.00772607550482</v>
      </c>
      <c r="E241" s="62">
        <f>(LN(C241/Option_Portfolio!$E$4)+(Option_Portfolio!$H$4+0.5*Option_Portfolio!$G$4^2)*Option_Portfolio!$F$4)/(Option_Portfolio!$G$4*SQRT(Option_Portfolio!$F$4))</f>
        <v>0.14801347983955226</v>
      </c>
      <c r="F241" s="63">
        <f>(LN(D241/Option_Portfolio!$E$5)+(Option_Portfolio!$H$5+0.5*Option_Portfolio!$G$5^2)*Option_Portfolio!$F$5)/(Option_Portfolio!$G$5*SQRT(Option_Portfolio!$F$5))</f>
        <v>1.3709373150484792</v>
      </c>
      <c r="G241" s="62">
        <f>E241-Option_Portfolio!$G$4*SQRT(Option_Portfolio!$F$4)</f>
        <v>2.7805327037839167E-2</v>
      </c>
      <c r="H241" s="63">
        <f>F241-Option_Portfolio!$G$5*SQRT(Option_Portfolio!$F$5)</f>
        <v>1.2153738231874387</v>
      </c>
      <c r="I241" s="115">
        <f t="shared" si="15"/>
        <v>0.55883393497652056</v>
      </c>
      <c r="J241" s="116">
        <f t="shared" si="16"/>
        <v>0.91480275111340614</v>
      </c>
      <c r="K241" s="115">
        <f t="shared" si="17"/>
        <v>0.51109129137753806</v>
      </c>
      <c r="L241" s="116">
        <f t="shared" si="18"/>
        <v>0.88788822639714859</v>
      </c>
      <c r="M241" s="62">
        <f>(1-K241)*Option_Portfolio!$E$4*EXP(-Option_Portfolio!$H$4*Option_Portfolio!$F$4)-(1-I241)*C241</f>
        <v>3.6415012713565673</v>
      </c>
      <c r="N241" s="116">
        <f>J241*D241-L241*Option_Portfolio!$E$5*EXP(-Option_Portfolio!$H$5*Option_Portfolio!$F$5)</f>
        <v>27.55308565047396</v>
      </c>
      <c r="O241" s="120">
        <f>M241 * -Option_Portfolio!$B$4 * 1000 + N241 * Option_Portfolio!$B$5 * 1000</f>
        <v>29615662.401451949</v>
      </c>
      <c r="P241" s="123">
        <f t="shared" si="19"/>
        <v>0.25285657316074195</v>
      </c>
    </row>
    <row r="242" spans="2:16">
      <c r="B242" s="57" t="s">
        <v>272</v>
      </c>
      <c r="C242" s="62">
        <f>$C$17*(1+Underlying_Assets!H233)</f>
        <v>85.637587195413289</v>
      </c>
      <c r="D242" s="8">
        <f>$D$17*(1+Underlying_Assets!I233)</f>
        <v>139.06347409664781</v>
      </c>
      <c r="E242" s="62">
        <f>(LN(C242/Option_Portfolio!$E$4)+(Option_Portfolio!$H$4+0.5*Option_Portfolio!$G$4^2)*Option_Portfolio!$F$4)/(Option_Portfolio!$G$4*SQRT(Option_Portfolio!$F$4))</f>
        <v>0.16386603213699752</v>
      </c>
      <c r="F242" s="63">
        <f>(LN(D242/Option_Portfolio!$E$5)+(Option_Portfolio!$H$5+0.5*Option_Portfolio!$G$5^2)*Option_Portfolio!$F$5)/(Option_Portfolio!$G$5*SQRT(Option_Portfolio!$F$5))</f>
        <v>1.0576950435189276</v>
      </c>
      <c r="G242" s="62">
        <f>E242-Option_Portfolio!$G$4*SQRT(Option_Portfolio!$F$4)</f>
        <v>4.3657879335284422E-2</v>
      </c>
      <c r="H242" s="63">
        <f>F242-Option_Portfolio!$G$5*SQRT(Option_Portfolio!$F$5)</f>
        <v>0.90213155165788717</v>
      </c>
      <c r="I242" s="115">
        <f t="shared" si="15"/>
        <v>0.56508169599377733</v>
      </c>
      <c r="J242" s="116">
        <f t="shared" si="16"/>
        <v>0.85490275216736988</v>
      </c>
      <c r="K242" s="115">
        <f t="shared" si="17"/>
        <v>0.51741144269866701</v>
      </c>
      <c r="L242" s="116">
        <f t="shared" si="18"/>
        <v>0.81650650499490562</v>
      </c>
      <c r="M242" s="62">
        <f>(1-K242)*Option_Portfolio!$E$4*EXP(-Option_Portfolio!$H$4*Option_Portfolio!$F$4)-(1-I242)*C242</f>
        <v>3.5700849483714734</v>
      </c>
      <c r="N242" s="116">
        <f>J242*D242-L242*Option_Portfolio!$E$5*EXP(-Option_Portfolio!$H$5*Option_Portfolio!$F$5)</f>
        <v>21.393647313747962</v>
      </c>
      <c r="O242" s="120">
        <f>M242 * -Option_Portfolio!$B$4 * 1000 + N242 * Option_Portfolio!$B$5 * 1000</f>
        <v>17796699.98889561</v>
      </c>
      <c r="P242" s="123">
        <f t="shared" si="19"/>
        <v>-0.39907810442817915</v>
      </c>
    </row>
    <row r="243" spans="2:16">
      <c r="B243" s="57" t="s">
        <v>273</v>
      </c>
      <c r="C243" s="62">
        <f>$C$17*(1+Underlying_Assets!H234)</f>
        <v>85.452901219803863</v>
      </c>
      <c r="D243" s="8">
        <f>$D$17*(1+Underlying_Assets!I234)</f>
        <v>144.99691749773348</v>
      </c>
      <c r="E243" s="62">
        <f>(LN(C243/Option_Portfolio!$E$4)+(Option_Portfolio!$H$4+0.5*Option_Portfolio!$G$4^2)*Option_Portfolio!$F$4)/(Option_Portfolio!$G$4*SQRT(Option_Portfolio!$F$4))</f>
        <v>0.1459061164872415</v>
      </c>
      <c r="F243" s="63">
        <f>(LN(D243/Option_Portfolio!$E$5)+(Option_Portfolio!$H$5+0.5*Option_Portfolio!$G$5^2)*Option_Portfolio!$F$5)/(Option_Portfolio!$G$5*SQRT(Option_Portfolio!$F$5))</f>
        <v>1.3262799536573713</v>
      </c>
      <c r="G243" s="62">
        <f>E243-Option_Portfolio!$G$4*SQRT(Option_Portfolio!$F$4)</f>
        <v>2.5697963685528402E-2</v>
      </c>
      <c r="H243" s="63">
        <f>F243-Option_Portfolio!$G$5*SQRT(Option_Portfolio!$F$5)</f>
        <v>1.1707164617963308</v>
      </c>
      <c r="I243" s="115">
        <f t="shared" si="15"/>
        <v>0.55800224849590141</v>
      </c>
      <c r="J243" s="116">
        <f t="shared" si="16"/>
        <v>0.90762650782845189</v>
      </c>
      <c r="K243" s="115">
        <f t="shared" si="17"/>
        <v>0.51025087596726437</v>
      </c>
      <c r="L243" s="116">
        <f t="shared" si="18"/>
        <v>0.87914361697724619</v>
      </c>
      <c r="M243" s="62">
        <f>(1-K243)*Option_Portfolio!$E$4*EXP(-Option_Portfolio!$H$4*Option_Portfolio!$F$4)-(1-I243)*C243</f>
        <v>3.6510614586766792</v>
      </c>
      <c r="N243" s="116">
        <f>J243*D243-L243*Option_Portfolio!$E$5*EXP(-Option_Portfolio!$H$5*Option_Portfolio!$F$5)</f>
        <v>26.631981486963767</v>
      </c>
      <c r="O243" s="120">
        <f>M243 * -Option_Portfolio!$B$4 * 1000 + N243 * Option_Portfolio!$B$5 * 1000</f>
        <v>27706532.76319078</v>
      </c>
      <c r="P243" s="123">
        <f t="shared" si="19"/>
        <v>0.55683541221004385</v>
      </c>
    </row>
    <row r="244" spans="2:16">
      <c r="B244" s="57" t="s">
        <v>274</v>
      </c>
      <c r="C244" s="62">
        <f>$C$17*(1+Underlying_Assets!H235)</f>
        <v>86.377854571634259</v>
      </c>
      <c r="D244" s="8">
        <f>$D$17*(1+Underlying_Assets!I235)</f>
        <v>147.55310095065639</v>
      </c>
      <c r="E244" s="62">
        <f>(LN(C244/Option_Portfolio!$E$4)+(Option_Portfolio!$H$4+0.5*Option_Portfolio!$G$4^2)*Option_Portfolio!$F$4)/(Option_Portfolio!$G$4*SQRT(Option_Portfolio!$F$4))</f>
        <v>0.23546717071952167</v>
      </c>
      <c r="F244" s="63">
        <f>(LN(D244/Option_Portfolio!$E$5)+(Option_Portfolio!$H$5+0.5*Option_Portfolio!$G$5^2)*Option_Portfolio!$F$5)/(Option_Portfolio!$G$5*SQRT(Option_Portfolio!$F$5))</f>
        <v>1.4386175829486685</v>
      </c>
      <c r="G244" s="62">
        <f>E244-Option_Portfolio!$G$4*SQRT(Option_Portfolio!$F$4)</f>
        <v>0.11525901791780857</v>
      </c>
      <c r="H244" s="63">
        <f>F244-Option_Portfolio!$G$5*SQRT(Option_Portfolio!$F$5)</f>
        <v>1.283054091087628</v>
      </c>
      <c r="I244" s="115">
        <f t="shared" si="15"/>
        <v>0.59307692172841076</v>
      </c>
      <c r="J244" s="116">
        <f t="shared" si="16"/>
        <v>0.92487054908539434</v>
      </c>
      <c r="K244" s="115">
        <f t="shared" si="17"/>
        <v>0.54588008961000178</v>
      </c>
      <c r="L244" s="116">
        <f t="shared" si="18"/>
        <v>0.90026343691360677</v>
      </c>
      <c r="M244" s="62">
        <f>(1-K244)*Option_Portfolio!$E$4*EXP(-Option_Portfolio!$H$4*Option_Portfolio!$F$4)-(1-I244)*C244</f>
        <v>3.2585306436873438</v>
      </c>
      <c r="N244" s="116">
        <f>J244*D244-L244*Option_Portfolio!$E$5*EXP(-Option_Portfolio!$H$5*Option_Portfolio!$F$5)</f>
        <v>28.974714980694245</v>
      </c>
      <c r="O244" s="120">
        <f>M244 * -Option_Portfolio!$B$4 * 1000 + N244 * Option_Portfolio!$B$5 * 1000</f>
        <v>35139715.455577075</v>
      </c>
      <c r="P244" s="123">
        <f t="shared" si="19"/>
        <v>0.26828267383429405</v>
      </c>
    </row>
    <row r="245" spans="2:16">
      <c r="B245" s="57" t="s">
        <v>275</v>
      </c>
      <c r="C245" s="62">
        <f>$C$17*(1+Underlying_Assets!H236)</f>
        <v>85.576607908527862</v>
      </c>
      <c r="D245" s="8">
        <f>$D$17*(1+Underlying_Assets!I236)</f>
        <v>148.78827187916482</v>
      </c>
      <c r="E245" s="62">
        <f>(LN(C245/Option_Portfolio!$E$4)+(Option_Portfolio!$H$4+0.5*Option_Portfolio!$G$4^2)*Option_Portfolio!$F$4)/(Option_Portfolio!$G$4*SQRT(Option_Portfolio!$F$4))</f>
        <v>0.15794034574707305</v>
      </c>
      <c r="F245" s="63">
        <f>(LN(D245/Option_Portfolio!$E$5)+(Option_Portfolio!$H$5+0.5*Option_Portfolio!$G$5^2)*Option_Portfolio!$F$5)/(Option_Portfolio!$G$5*SQRT(Option_Portfolio!$F$5))</f>
        <v>1.492204602231693</v>
      </c>
      <c r="G245" s="62">
        <f>E245-Option_Portfolio!$G$4*SQRT(Option_Portfolio!$F$4)</f>
        <v>3.7732192945359955E-2</v>
      </c>
      <c r="H245" s="63">
        <f>F245-Option_Portfolio!$G$5*SQRT(Option_Portfolio!$F$5)</f>
        <v>1.3366411103706526</v>
      </c>
      <c r="I245" s="115">
        <f t="shared" si="15"/>
        <v>0.56274809713575547</v>
      </c>
      <c r="J245" s="116">
        <f t="shared" si="16"/>
        <v>0.93217724187948625</v>
      </c>
      <c r="K245" s="115">
        <f t="shared" si="17"/>
        <v>0.51504939599650568</v>
      </c>
      <c r="L245" s="116">
        <f t="shared" si="18"/>
        <v>0.90933009347181049</v>
      </c>
      <c r="M245" s="62">
        <f>(1-K245)*Option_Portfolio!$E$4*EXP(-Option_Portfolio!$H$4*Option_Portfolio!$F$4)-(1-I245)*C245</f>
        <v>3.5966770872468103</v>
      </c>
      <c r="N245" s="116">
        <f>J245*D245-L245*Option_Portfolio!$E$5*EXP(-Option_Portfolio!$H$5*Option_Portfolio!$F$5)</f>
        <v>30.121666019147014</v>
      </c>
      <c r="O245" s="120">
        <f>M245 * -Option_Portfolio!$B$4 * 1000 + N245 * Option_Portfolio!$B$5 * 1000</f>
        <v>35066592.427566364</v>
      </c>
      <c r="P245" s="123">
        <f t="shared" si="19"/>
        <v>-2.0809225989081304E-3</v>
      </c>
    </row>
    <row r="246" spans="2:16">
      <c r="B246" s="57" t="s">
        <v>276</v>
      </c>
      <c r="C246" s="62">
        <f>$C$17*(1+Underlying_Assets!H237)</f>
        <v>85.944630071599036</v>
      </c>
      <c r="D246" s="8">
        <f>$D$17*(1+Underlying_Assets!I237)</f>
        <v>145.80164288802422</v>
      </c>
      <c r="E246" s="62">
        <f>(LN(C246/Option_Portfolio!$E$4)+(Option_Portfolio!$H$4+0.5*Option_Portfolio!$G$4^2)*Option_Portfolio!$F$4)/(Option_Portfolio!$G$4*SQRT(Option_Portfolio!$F$4))</f>
        <v>0.19363907931591592</v>
      </c>
      <c r="F246" s="63">
        <f>(LN(D246/Option_Portfolio!$E$5)+(Option_Portfolio!$H$5+0.5*Option_Portfolio!$G$5^2)*Option_Portfolio!$F$5)/(Option_Portfolio!$G$5*SQRT(Option_Portfolio!$F$5))</f>
        <v>1.3618577359507653</v>
      </c>
      <c r="G246" s="62">
        <f>E246-Option_Portfolio!$G$4*SQRT(Option_Portfolio!$F$4)</f>
        <v>7.3430926514202827E-2</v>
      </c>
      <c r="H246" s="63">
        <f>F246-Option_Portfolio!$G$5*SQRT(Option_Portfolio!$F$5)</f>
        <v>1.2062942440897249</v>
      </c>
      <c r="I246" s="115">
        <f t="shared" si="15"/>
        <v>0.5767707517871894</v>
      </c>
      <c r="J246" s="116">
        <f t="shared" si="16"/>
        <v>0.91337860675543003</v>
      </c>
      <c r="K246" s="115">
        <f t="shared" si="17"/>
        <v>0.52926839589078856</v>
      </c>
      <c r="L246" s="116">
        <f t="shared" si="18"/>
        <v>0.88614797188126004</v>
      </c>
      <c r="M246" s="62">
        <f>(1-K246)*Option_Portfolio!$E$4*EXP(-Option_Portfolio!$H$4*Option_Portfolio!$F$4)-(1-I246)*C246</f>
        <v>3.4383435641886777</v>
      </c>
      <c r="N246" s="116">
        <f>J246*D246-L246*Option_Portfolio!$E$5*EXP(-Option_Portfolio!$H$5*Option_Portfolio!$F$5)</f>
        <v>27.36470659173952</v>
      </c>
      <c r="O246" s="120">
        <f>M246 * -Option_Portfolio!$B$4 * 1000 + N246 * Option_Portfolio!$B$5 * 1000</f>
        <v>30661008.2341583</v>
      </c>
      <c r="P246" s="123">
        <f t="shared" si="19"/>
        <v>-0.12563479620976148</v>
      </c>
    </row>
    <row r="247" spans="2:16">
      <c r="B247" s="57" t="s">
        <v>277</v>
      </c>
      <c r="C247" s="62">
        <f>$C$17*(1+Underlying_Assets!H238)</f>
        <v>86.066628571428552</v>
      </c>
      <c r="D247" s="8">
        <f>$D$17*(1+Underlying_Assets!I238)</f>
        <v>146.9138686131387</v>
      </c>
      <c r="E247" s="62">
        <f>(LN(C247/Option_Portfolio!$E$4)+(Option_Portfolio!$H$4+0.5*Option_Portfolio!$G$4^2)*Option_Portfolio!$F$4)/(Option_Portfolio!$G$4*SQRT(Option_Portfolio!$F$4))</f>
        <v>0.20543939869027697</v>
      </c>
      <c r="F247" s="63">
        <f>(LN(D247/Option_Portfolio!$E$5)+(Option_Portfolio!$H$5+0.5*Option_Portfolio!$G$5^2)*Option_Portfolio!$F$5)/(Option_Portfolio!$G$5*SQRT(Option_Portfolio!$F$5))</f>
        <v>1.4107085270891728</v>
      </c>
      <c r="G247" s="62">
        <f>E247-Option_Portfolio!$G$4*SQRT(Option_Portfolio!$F$4)</f>
        <v>8.5231245888563872E-2</v>
      </c>
      <c r="H247" s="63">
        <f>F247-Option_Portfolio!$G$5*SQRT(Option_Portfolio!$F$5)</f>
        <v>1.2551450352281324</v>
      </c>
      <c r="I247" s="115">
        <f t="shared" si="15"/>
        <v>0.58138557951550773</v>
      </c>
      <c r="J247" s="116">
        <f t="shared" si="16"/>
        <v>0.920834712182941</v>
      </c>
      <c r="K247" s="115">
        <f t="shared" si="17"/>
        <v>0.53396122483706021</v>
      </c>
      <c r="L247" s="116">
        <f t="shared" si="18"/>
        <v>0.89528694279435683</v>
      </c>
      <c r="M247" s="62">
        <f>(1-K247)*Option_Portfolio!$E$4*EXP(-Option_Portfolio!$H$4*Option_Portfolio!$F$4)-(1-I247)*C247</f>
        <v>3.3869919088752027</v>
      </c>
      <c r="N247" s="116">
        <f>J247*D247-L247*Option_Portfolio!$E$5*EXP(-Option_Portfolio!$H$5*Option_Portfolio!$F$5)</f>
        <v>28.384788255423956</v>
      </c>
      <c r="O247" s="120">
        <f>M247 * -Option_Portfolio!$B$4 * 1000 + N247 * Option_Portfolio!$B$5 * 1000</f>
        <v>33060633.148721494</v>
      </c>
      <c r="P247" s="123">
        <f t="shared" si="19"/>
        <v>7.8263079160256099E-2</v>
      </c>
    </row>
    <row r="248" spans="2:16">
      <c r="B248" s="57" t="s">
        <v>278</v>
      </c>
      <c r="C248" s="62">
        <f>$C$17*(1+Underlying_Assets!H239)</f>
        <v>85.292590132827314</v>
      </c>
      <c r="D248" s="8">
        <f>$D$17*(1+Underlying_Assets!I239)</f>
        <v>143.75827338129497</v>
      </c>
      <c r="E248" s="62">
        <f>(LN(C248/Option_Portfolio!$E$4)+(Option_Portfolio!$H$4+0.5*Option_Portfolio!$G$4^2)*Option_Portfolio!$F$4)/(Option_Portfolio!$G$4*SQRT(Option_Portfolio!$F$4))</f>
        <v>0.13028505600626988</v>
      </c>
      <c r="F248" s="63">
        <f>(LN(D248/Option_Portfolio!$E$5)+(Option_Portfolio!$H$5+0.5*Option_Portfolio!$G$5^2)*Option_Portfolio!$F$5)/(Option_Portfolio!$G$5*SQRT(Option_Portfolio!$F$5))</f>
        <v>1.2711304357497881</v>
      </c>
      <c r="G248" s="62">
        <f>E248-Option_Portfolio!$G$4*SQRT(Option_Portfolio!$F$4)</f>
        <v>1.0076903204556786E-2</v>
      </c>
      <c r="H248" s="63">
        <f>F248-Option_Portfolio!$G$5*SQRT(Option_Portfolio!$F$5)</f>
        <v>1.1155669438887477</v>
      </c>
      <c r="I248" s="115">
        <f t="shared" si="15"/>
        <v>0.55182954856389888</v>
      </c>
      <c r="J248" s="116">
        <f t="shared" si="16"/>
        <v>0.89815887537474526</v>
      </c>
      <c r="K248" s="115">
        <f t="shared" si="17"/>
        <v>0.50402003470864243</v>
      </c>
      <c r="L248" s="116">
        <f t="shared" si="18"/>
        <v>0.86769622584379325</v>
      </c>
      <c r="M248" s="62">
        <f>(1-K248)*Option_Portfolio!$E$4*EXP(-Option_Portfolio!$H$4*Option_Portfolio!$F$4)-(1-I248)*C248</f>
        <v>3.7224130420450479</v>
      </c>
      <c r="N248" s="116">
        <f>J248*D248-L248*Option_Portfolio!$E$5*EXP(-Option_Portfolio!$H$5*Option_Portfolio!$F$5)</f>
        <v>25.513540402403123</v>
      </c>
      <c r="O248" s="120">
        <f>M248 * -Option_Portfolio!$B$4 * 1000 + N248 * Option_Portfolio!$B$5 * 1000</f>
        <v>24970189.510490913</v>
      </c>
      <c r="P248" s="123">
        <f t="shared" si="19"/>
        <v>-0.24471532658906292</v>
      </c>
    </row>
    <row r="249" spans="2:16">
      <c r="B249" s="57" t="s">
        <v>279</v>
      </c>
      <c r="C249" s="62">
        <f>$C$17*(1+Underlying_Assets!H240)</f>
        <v>85.74</v>
      </c>
      <c r="D249" s="8">
        <f>$D$17*(1+Underlying_Assets!I240)</f>
        <v>144.3062233589088</v>
      </c>
      <c r="E249" s="62">
        <f>(LN(C249/Option_Portfolio!$E$4)+(Option_Portfolio!$H$4+0.5*Option_Portfolio!$G$4^2)*Option_Portfolio!$F$4)/(Option_Portfolio!$G$4*SQRT(Option_Portfolio!$F$4))</f>
        <v>0.17380854952474384</v>
      </c>
      <c r="F249" s="63">
        <f>(LN(D249/Option_Portfolio!$E$5)+(Option_Portfolio!$H$5+0.5*Option_Portfolio!$G$5^2)*Option_Portfolio!$F$5)/(Option_Portfolio!$G$5*SQRT(Option_Portfolio!$F$5))</f>
        <v>1.2955857931512424</v>
      </c>
      <c r="G249" s="62">
        <f>E249-Option_Portfolio!$G$4*SQRT(Option_Portfolio!$F$4)</f>
        <v>5.3600396723030741E-2</v>
      </c>
      <c r="H249" s="63">
        <f>F249-Option_Portfolio!$G$5*SQRT(Option_Portfolio!$F$5)</f>
        <v>1.140022301290202</v>
      </c>
      <c r="I249" s="115">
        <f t="shared" si="15"/>
        <v>0.56899203744105553</v>
      </c>
      <c r="J249" s="116">
        <f t="shared" si="16"/>
        <v>0.90244088686046897</v>
      </c>
      <c r="K249" s="115">
        <f t="shared" si="17"/>
        <v>0.52137322978555622</v>
      </c>
      <c r="L249" s="116">
        <f t="shared" si="18"/>
        <v>0.87286149491062626</v>
      </c>
      <c r="M249" s="62">
        <f>(1-K249)*Option_Portfolio!$E$4*EXP(-Option_Portfolio!$H$4*Option_Portfolio!$F$4)-(1-I249)*C249</f>
        <v>3.5257440755162008</v>
      </c>
      <c r="N249" s="116">
        <f>J249*D249-L249*Option_Portfolio!$E$5*EXP(-Option_Portfolio!$H$5*Option_Portfolio!$F$5)</f>
        <v>26.00686658235621</v>
      </c>
      <c r="O249" s="120">
        <f>M249 * -Option_Portfolio!$B$4 * 1000 + N249 * Option_Portfolio!$B$5 * 1000</f>
        <v>27333524.636099014</v>
      </c>
      <c r="P249" s="123">
        <f t="shared" si="19"/>
        <v>9.4646263081630932E-2</v>
      </c>
    </row>
    <row r="250" spans="2:16">
      <c r="B250" s="57" t="s">
        <v>280</v>
      </c>
      <c r="C250" s="62">
        <f>$C$17*(1+Underlying_Assets!H241)</f>
        <v>87.907010014306152</v>
      </c>
      <c r="D250" s="8">
        <f>$D$17*(1+Underlying_Assets!I241)</f>
        <v>144.49033361847734</v>
      </c>
      <c r="E250" s="62">
        <f>(LN(C250/Option_Portfolio!$E$4)+(Option_Portfolio!$H$4+0.5*Option_Portfolio!$G$4^2)*Option_Portfolio!$F$4)/(Option_Portfolio!$G$4*SQRT(Option_Portfolio!$F$4))</f>
        <v>0.38144912662404495</v>
      </c>
      <c r="F250" s="63">
        <f>(LN(D250/Option_Portfolio!$E$5)+(Option_Portfolio!$H$5+0.5*Option_Portfolio!$G$5^2)*Option_Portfolio!$F$5)/(Option_Portfolio!$G$5*SQRT(Option_Portfolio!$F$5))</f>
        <v>1.3037819139477738</v>
      </c>
      <c r="G250" s="62">
        <f>E250-Option_Portfolio!$G$4*SQRT(Option_Portfolio!$F$4)</f>
        <v>0.26124097382233186</v>
      </c>
      <c r="H250" s="63">
        <f>F250-Option_Portfolio!$G$5*SQRT(Option_Portfolio!$F$5)</f>
        <v>1.1482184220867333</v>
      </c>
      <c r="I250" s="115">
        <f t="shared" si="15"/>
        <v>0.64856499314323313</v>
      </c>
      <c r="J250" s="116">
        <f t="shared" si="16"/>
        <v>0.90384602456026775</v>
      </c>
      <c r="K250" s="115">
        <f t="shared" si="17"/>
        <v>0.60304665883750797</v>
      </c>
      <c r="L250" s="116">
        <f t="shared" si="18"/>
        <v>0.87456079694619249</v>
      </c>
      <c r="M250" s="62">
        <f>(1-K250)*Option_Portfolio!$E$4*EXP(-Option_Portfolio!$H$4*Option_Portfolio!$F$4)-(1-I250)*C250</f>
        <v>2.6791492225467763</v>
      </c>
      <c r="N250" s="116">
        <f>J250*D250-L250*Option_Portfolio!$E$5*EXP(-Option_Portfolio!$H$5*Option_Portfolio!$F$5)</f>
        <v>26.173144815548469</v>
      </c>
      <c r="O250" s="120">
        <f>M250 * -Option_Portfolio!$B$4 * 1000 + N250 * Option_Portfolio!$B$5 * 1000</f>
        <v>33592245.073269501</v>
      </c>
      <c r="P250" s="123">
        <f t="shared" si="19"/>
        <v>0.22897597439390172</v>
      </c>
    </row>
    <row r="251" spans="2:16">
      <c r="B251" s="57" t="s">
        <v>281</v>
      </c>
      <c r="C251" s="62">
        <f>$C$17*(1+Underlying_Assets!H242)</f>
        <v>85.720060465116276</v>
      </c>
      <c r="D251" s="8">
        <f>$D$17*(1+Underlying_Assets!I242)</f>
        <v>144.98619802828975</v>
      </c>
      <c r="E251" s="62">
        <f>(LN(C251/Option_Portfolio!$E$4)+(Option_Portfolio!$H$4+0.5*Option_Portfolio!$G$4^2)*Option_Portfolio!$F$4)/(Option_Portfolio!$G$4*SQRT(Option_Portfolio!$F$4))</f>
        <v>0.17187369585674109</v>
      </c>
      <c r="F251" s="63">
        <f>(LN(D251/Option_Portfolio!$E$5)+(Option_Portfolio!$H$5+0.5*Option_Portfolio!$G$5^2)*Option_Portfolio!$F$5)/(Option_Portfolio!$G$5*SQRT(Option_Portfolio!$F$5))</f>
        <v>1.3258047028186464</v>
      </c>
      <c r="G251" s="62">
        <f>E251-Option_Portfolio!$G$4*SQRT(Option_Portfolio!$F$4)</f>
        <v>5.166554305502799E-2</v>
      </c>
      <c r="H251" s="63">
        <f>F251-Option_Portfolio!$G$5*SQRT(Option_Portfolio!$F$5)</f>
        <v>1.1702412109576059</v>
      </c>
      <c r="I251" s="115">
        <f t="shared" si="15"/>
        <v>0.56823158675350371</v>
      </c>
      <c r="J251" s="116">
        <f t="shared" si="16"/>
        <v>0.9075478025603696</v>
      </c>
      <c r="K251" s="115">
        <f t="shared" si="17"/>
        <v>0.52060240339385677</v>
      </c>
      <c r="L251" s="116">
        <f t="shared" si="18"/>
        <v>0.87904804364179778</v>
      </c>
      <c r="M251" s="62">
        <f>(1-K251)*Option_Portfolio!$E$4*EXP(-Option_Portfolio!$H$4*Option_Portfolio!$F$4)-(1-I251)*C251</f>
        <v>3.5343457546208512</v>
      </c>
      <c r="N251" s="116">
        <f>J251*D251-L251*Option_Portfolio!$E$5*EXP(-Option_Portfolio!$H$5*Option_Portfolio!$F$5)</f>
        <v>26.622252634136672</v>
      </c>
      <c r="O251" s="120">
        <f>M251 * -Option_Portfolio!$B$4 * 1000 + N251 * Option_Portfolio!$B$5 * 1000</f>
        <v>28504084.985927384</v>
      </c>
      <c r="P251" s="123">
        <f t="shared" si="19"/>
        <v>-0.15146829502595349</v>
      </c>
    </row>
    <row r="252" spans="2:16">
      <c r="B252" s="57" t="s">
        <v>282</v>
      </c>
      <c r="C252" s="62">
        <f>$C$17*(1+Underlying_Assets!H243)</f>
        <v>86.118939288206548</v>
      </c>
      <c r="D252" s="8">
        <f>$D$17*(1+Underlying_Assets!I243)</f>
        <v>142.13458904109592</v>
      </c>
      <c r="E252" s="62">
        <f>(LN(C252/Option_Portfolio!$E$4)+(Option_Portfolio!$H$4+0.5*Option_Portfolio!$G$4^2)*Option_Portfolio!$F$4)/(Option_Portfolio!$G$4*SQRT(Option_Portfolio!$F$4))</f>
        <v>0.21049403612185752</v>
      </c>
      <c r="F252" s="63">
        <f>(LN(D252/Option_Portfolio!$E$5)+(Option_Portfolio!$H$5+0.5*Option_Portfolio!$G$5^2)*Option_Portfolio!$F$5)/(Option_Portfolio!$G$5*SQRT(Option_Portfolio!$F$5))</f>
        <v>1.1981132195582642</v>
      </c>
      <c r="G252" s="62">
        <f>E252-Option_Portfolio!$G$4*SQRT(Option_Portfolio!$F$4)</f>
        <v>9.0285883320144422E-2</v>
      </c>
      <c r="H252" s="63">
        <f>F252-Option_Portfolio!$G$5*SQRT(Option_Portfolio!$F$5)</f>
        <v>1.0425497276972238</v>
      </c>
      <c r="I252" s="115">
        <f t="shared" si="15"/>
        <v>0.5833589470577929</v>
      </c>
      <c r="J252" s="116">
        <f t="shared" si="16"/>
        <v>0.88456352845776054</v>
      </c>
      <c r="K252" s="115">
        <f t="shared" si="17"/>
        <v>0.53596998109377503</v>
      </c>
      <c r="L252" s="116">
        <f t="shared" si="18"/>
        <v>0.85142155853105983</v>
      </c>
      <c r="M252" s="62">
        <f>(1-K252)*Option_Portfolio!$E$4*EXP(-Option_Portfolio!$H$4*Option_Portfolio!$F$4)-(1-I252)*C252</f>
        <v>3.3651455168909834</v>
      </c>
      <c r="N252" s="116">
        <f>J252*D252-L252*Option_Portfolio!$E$5*EXP(-Option_Portfolio!$H$5*Option_Portfolio!$F$5)</f>
        <v>24.066064503035079</v>
      </c>
      <c r="O252" s="120">
        <f>M252 * -Option_Portfolio!$B$4 * 1000 + N252 * Option_Portfolio!$B$5 * 1000</f>
        <v>24576110.387833275</v>
      </c>
      <c r="P252" s="123">
        <f t="shared" si="19"/>
        <v>-0.13780391828165584</v>
      </c>
    </row>
    <row r="253" spans="2:16">
      <c r="B253" s="57" t="s">
        <v>283</v>
      </c>
      <c r="C253" s="62">
        <f>$C$17*(1+Underlying_Assets!H244)</f>
        <v>84.906030569708193</v>
      </c>
      <c r="D253" s="8">
        <f>$D$17*(1+Underlying_Assets!I244)</f>
        <v>142.27405146096817</v>
      </c>
      <c r="E253" s="62">
        <f>(LN(C253/Option_Portfolio!$E$4)+(Option_Portfolio!$H$4+0.5*Option_Portfolio!$G$4^2)*Option_Portfolio!$F$4)/(Option_Portfolio!$G$4*SQRT(Option_Portfolio!$F$4))</f>
        <v>9.249676906722433E-2</v>
      </c>
      <c r="F253" s="63">
        <f>(LN(D253/Option_Portfolio!$E$5)+(Option_Portfolio!$H$5+0.5*Option_Portfolio!$G$5^2)*Option_Portfolio!$F$5)/(Option_Portfolio!$G$5*SQRT(Option_Portfolio!$F$5))</f>
        <v>1.2044175179050063</v>
      </c>
      <c r="G253" s="62">
        <f>E253-Option_Portfolio!$G$4*SQRT(Option_Portfolio!$F$4)</f>
        <v>-2.7711383734488768E-2</v>
      </c>
      <c r="H253" s="63">
        <f>F253-Option_Portfolio!$G$5*SQRT(Option_Portfolio!$F$5)</f>
        <v>1.0488540260439658</v>
      </c>
      <c r="I253" s="115">
        <f t="shared" si="15"/>
        <v>0.53684832093560064</v>
      </c>
      <c r="J253" s="116">
        <f t="shared" si="16"/>
        <v>0.88578587772431505</v>
      </c>
      <c r="K253" s="115">
        <f t="shared" si="17"/>
        <v>0.48894617214202118</v>
      </c>
      <c r="L253" s="116">
        <f t="shared" si="18"/>
        <v>0.85287734617760536</v>
      </c>
      <c r="M253" s="62">
        <f>(1-K253)*Option_Portfolio!$E$4*EXP(-Option_Portfolio!$H$4*Option_Portfolio!$F$4)-(1-I253)*C253</f>
        <v>3.8985489608660444</v>
      </c>
      <c r="N253" s="116">
        <f>J253*D253-L253*Option_Portfolio!$E$5*EXP(-Option_Portfolio!$H$5*Option_Portfolio!$F$5)</f>
        <v>24.189513230653489</v>
      </c>
      <c r="O253" s="120">
        <f>M253 * -Option_Portfolio!$B$4 * 1000 + N253 * Option_Portfolio!$B$5 * 1000</f>
        <v>21089183.735244673</v>
      </c>
      <c r="P253" s="123">
        <f t="shared" si="19"/>
        <v>-0.14188277142158556</v>
      </c>
    </row>
    <row r="254" spans="2:16">
      <c r="B254" s="57" t="s">
        <v>284</v>
      </c>
      <c r="C254" s="62">
        <f>$C$17*(1+Underlying_Assets!H245)</f>
        <v>85.599639850327407</v>
      </c>
      <c r="D254" s="8">
        <f>$D$17*(1+Underlying_Assets!I245)</f>
        <v>143.77168220150909</v>
      </c>
      <c r="E254" s="62">
        <f>(LN(C254/Option_Portfolio!$E$4)+(Option_Portfolio!$H$4+0.5*Option_Portfolio!$G$4^2)*Option_Portfolio!$F$4)/(Option_Portfolio!$G$4*SQRT(Option_Portfolio!$F$4))</f>
        <v>0.16017897990914234</v>
      </c>
      <c r="F254" s="63">
        <f>(LN(D254/Option_Portfolio!$E$5)+(Option_Portfolio!$H$5+0.5*Option_Portfolio!$G$5^2)*Option_Portfolio!$F$5)/(Option_Portfolio!$G$5*SQRT(Option_Portfolio!$F$5))</f>
        <v>1.2717299917912235</v>
      </c>
      <c r="G254" s="62">
        <f>E254-Option_Portfolio!$G$4*SQRT(Option_Portfolio!$F$4)</f>
        <v>3.9970827107429246E-2</v>
      </c>
      <c r="H254" s="63">
        <f>F254-Option_Portfolio!$G$5*SQRT(Option_Portfolio!$F$5)</f>
        <v>1.116166499930183</v>
      </c>
      <c r="I254" s="115">
        <f t="shared" si="15"/>
        <v>0.56362995640526536</v>
      </c>
      <c r="J254" s="116">
        <f t="shared" si="16"/>
        <v>0.89826546471745738</v>
      </c>
      <c r="K254" s="115">
        <f t="shared" si="17"/>
        <v>0.51594180785267629</v>
      </c>
      <c r="L254" s="116">
        <f t="shared" si="18"/>
        <v>0.86782456438816968</v>
      </c>
      <c r="M254" s="62">
        <f>(1-K254)*Option_Portfolio!$E$4*EXP(-Option_Portfolio!$H$4*Option_Portfolio!$F$4)-(1-I254)*C254</f>
        <v>3.5866164833921346</v>
      </c>
      <c r="N254" s="116">
        <f>J254*D254-L254*Option_Portfolio!$E$5*EXP(-Option_Portfolio!$H$5*Option_Portfolio!$F$5)</f>
        <v>25.525584368007287</v>
      </c>
      <c r="O254" s="120">
        <f>M254 * -Option_Portfolio!$B$4 * 1000 + N254 * Option_Portfolio!$B$5 * 1000</f>
        <v>25944853.352269631</v>
      </c>
      <c r="P254" s="123">
        <f t="shared" si="19"/>
        <v>0.23024454990688259</v>
      </c>
    </row>
    <row r="255" spans="2:16">
      <c r="B255" s="57" t="s">
        <v>285</v>
      </c>
      <c r="C255" s="62">
        <f>$C$17*(1+Underlying_Assets!H246)</f>
        <v>85.177638791286014</v>
      </c>
      <c r="D255" s="8">
        <f>$D$17*(1+Underlying_Assets!I246)</f>
        <v>145.31783638801969</v>
      </c>
      <c r="E255" s="62">
        <f>(LN(C255/Option_Portfolio!$E$4)+(Option_Portfolio!$H$4+0.5*Option_Portfolio!$G$4^2)*Option_Portfolio!$F$4)/(Option_Portfolio!$G$4*SQRT(Option_Portfolio!$F$4))</f>
        <v>0.11906586252724763</v>
      </c>
      <c r="F255" s="63">
        <f>(LN(D255/Option_Portfolio!$E$5)+(Option_Portfolio!$H$5+0.5*Option_Portfolio!$G$5^2)*Option_Portfolio!$F$5)/(Option_Portfolio!$G$5*SQRT(Option_Portfolio!$F$5))</f>
        <v>1.3404917398104519</v>
      </c>
      <c r="G255" s="62">
        <f>E255-Option_Portfolio!$G$4*SQRT(Option_Portfolio!$F$4)</f>
        <v>-1.1422902744654684E-3</v>
      </c>
      <c r="H255" s="63">
        <f>F255-Option_Portfolio!$G$5*SQRT(Option_Portfolio!$F$5)</f>
        <v>1.1849282479494114</v>
      </c>
      <c r="I255" s="115">
        <f t="shared" si="15"/>
        <v>0.54738841196809129</v>
      </c>
      <c r="J255" s="116">
        <f t="shared" si="16"/>
        <v>0.90995723599438572</v>
      </c>
      <c r="K255" s="115">
        <f t="shared" si="17"/>
        <v>0.49954429221212771</v>
      </c>
      <c r="L255" s="116">
        <f t="shared" si="18"/>
        <v>0.88197709122217782</v>
      </c>
      <c r="M255" s="62">
        <f>(1-K255)*Option_Portfolio!$E$4*EXP(-Option_Portfolio!$H$4*Option_Portfolio!$F$4)-(1-I255)*C255</f>
        <v>3.7741859770995703</v>
      </c>
      <c r="N255" s="116">
        <f>J255*D255-L255*Option_Portfolio!$E$5*EXP(-Option_Portfolio!$H$5*Option_Portfolio!$F$5)</f>
        <v>26.923631284951213</v>
      </c>
      <c r="O255" s="120">
        <f>M255 * -Option_Portfolio!$B$4 * 1000 + N255 * Option_Portfolio!$B$5 * 1000</f>
        <v>27427960.730205435</v>
      </c>
      <c r="P255" s="123">
        <f t="shared" si="19"/>
        <v>5.7163837382263161E-2</v>
      </c>
    </row>
    <row r="256" spans="2:16">
      <c r="B256" s="57" t="s">
        <v>286</v>
      </c>
      <c r="C256" s="62">
        <f>$C$17*(1+Underlying_Assets!H247)</f>
        <v>85.456962980429154</v>
      </c>
      <c r="D256" s="8">
        <f>$D$17*(1+Underlying_Assets!I247)</f>
        <v>144.15501113585748</v>
      </c>
      <c r="E256" s="62">
        <f>(LN(C256/Option_Portfolio!$E$4)+(Option_Portfolio!$H$4+0.5*Option_Portfolio!$G$4^2)*Option_Portfolio!$F$4)/(Option_Portfolio!$G$4*SQRT(Option_Portfolio!$F$4))</f>
        <v>0.14630152249925568</v>
      </c>
      <c r="F256" s="63">
        <f>(LN(D256/Option_Portfolio!$E$5)+(Option_Portfolio!$H$5+0.5*Option_Portfolio!$G$5^2)*Option_Portfolio!$F$5)/(Option_Portfolio!$G$5*SQRT(Option_Portfolio!$F$5))</f>
        <v>1.2888463844716356</v>
      </c>
      <c r="G256" s="62">
        <f>E256-Option_Portfolio!$G$4*SQRT(Option_Portfolio!$F$4)</f>
        <v>2.6093369697542584E-2</v>
      </c>
      <c r="H256" s="63">
        <f>F256-Option_Portfolio!$G$5*SQRT(Option_Portfolio!$F$5)</f>
        <v>1.1332828926105951</v>
      </c>
      <c r="I256" s="115">
        <f t="shared" si="15"/>
        <v>0.55815831799465887</v>
      </c>
      <c r="J256" s="116">
        <f t="shared" si="16"/>
        <v>0.90127425165536912</v>
      </c>
      <c r="K256" s="115">
        <f t="shared" si="17"/>
        <v>0.51040856726073813</v>
      </c>
      <c r="L256" s="116">
        <f t="shared" si="18"/>
        <v>0.87145226323585767</v>
      </c>
      <c r="M256" s="62">
        <f>(1-K256)*Option_Portfolio!$E$4*EXP(-Option_Portfolio!$H$4*Option_Portfolio!$F$4)-(1-I256)*C256</f>
        <v>3.6492664865771971</v>
      </c>
      <c r="N256" s="116">
        <f>J256*D256-L256*Option_Portfolio!$E$5*EXP(-Option_Portfolio!$H$5*Option_Portfolio!$F$5)</f>
        <v>25.870494550995176</v>
      </c>
      <c r="O256" s="120">
        <f>M256 * -Option_Portfolio!$B$4 * 1000 + N256 * Option_Portfolio!$B$5 * 1000</f>
        <v>26196123.695949972</v>
      </c>
      <c r="P256" s="123">
        <f t="shared" si="19"/>
        <v>-4.4911725168794048E-2</v>
      </c>
    </row>
    <row r="257" spans="2:16">
      <c r="B257" s="57" t="s">
        <v>287</v>
      </c>
      <c r="C257" s="62">
        <f>$C$17*(1+Underlying_Assets!H248)</f>
        <v>85.598012775017736</v>
      </c>
      <c r="D257" s="8">
        <f>$D$17*(1+Underlying_Assets!I248)</f>
        <v>146.1605369127517</v>
      </c>
      <c r="E257" s="62">
        <f>(LN(C257/Option_Portfolio!$E$4)+(Option_Portfolio!$H$4+0.5*Option_Portfolio!$G$4^2)*Option_Portfolio!$F$4)/(Option_Portfolio!$G$4*SQRT(Option_Portfolio!$F$4))</f>
        <v>0.16002085294923468</v>
      </c>
      <c r="F257" s="63">
        <f>(LN(D257/Option_Portfolio!$E$5)+(Option_Portfolio!$H$5+0.5*Option_Portfolio!$G$5^2)*Option_Portfolio!$F$5)/(Option_Portfolio!$G$5*SQRT(Option_Portfolio!$F$5))</f>
        <v>1.3776615591226871</v>
      </c>
      <c r="G257" s="62">
        <f>E257-Option_Portfolio!$G$4*SQRT(Option_Portfolio!$F$4)</f>
        <v>3.9812700147521585E-2</v>
      </c>
      <c r="H257" s="63">
        <f>F257-Option_Portfolio!$G$5*SQRT(Option_Portfolio!$F$5)</f>
        <v>1.2220980672616466</v>
      </c>
      <c r="I257" s="115">
        <f t="shared" si="15"/>
        <v>0.56356767619467951</v>
      </c>
      <c r="J257" s="116">
        <f t="shared" si="16"/>
        <v>0.9158460974547401</v>
      </c>
      <c r="K257" s="115">
        <f t="shared" si="17"/>
        <v>0.51587877449687569</v>
      </c>
      <c r="L257" s="116">
        <f t="shared" si="18"/>
        <v>0.88916472803767543</v>
      </c>
      <c r="M257" s="62">
        <f>(1-K257)*Option_Portfolio!$E$4*EXP(-Option_Portfolio!$H$4*Option_Portfolio!$F$4)-(1-I257)*C257</f>
        <v>3.5873265409828861</v>
      </c>
      <c r="N257" s="116">
        <f>J257*D257-L257*Option_Portfolio!$E$5*EXP(-Option_Portfolio!$H$5*Option_Portfolio!$F$5)</f>
        <v>27.692957278778579</v>
      </c>
      <c r="O257" s="120">
        <f>M257 * -Option_Portfolio!$B$4 * 1000 + N257 * Option_Portfolio!$B$5 * 1000</f>
        <v>30274628.770676956</v>
      </c>
      <c r="P257" s="123">
        <f t="shared" si="19"/>
        <v>0.15569116721484777</v>
      </c>
    </row>
    <row r="258" spans="2:16">
      <c r="B258" s="57" t="s">
        <v>288</v>
      </c>
      <c r="C258" s="62">
        <f>$C$17*(1+Underlying_Assets!H249)</f>
        <v>84.378725118483402</v>
      </c>
      <c r="D258" s="8">
        <f>$D$17*(1+Underlying_Assets!I249)</f>
        <v>144.28652482269504</v>
      </c>
      <c r="E258" s="62">
        <f>(LN(C258/Option_Portfolio!$E$4)+(Option_Portfolio!$H$4+0.5*Option_Portfolio!$G$4^2)*Option_Portfolio!$F$4)/(Option_Portfolio!$G$4*SQRT(Option_Portfolio!$F$4))</f>
        <v>4.0671461679268273E-2</v>
      </c>
      <c r="F258" s="63">
        <f>(LN(D258/Option_Portfolio!$E$5)+(Option_Portfolio!$H$5+0.5*Option_Portfolio!$G$5^2)*Option_Portfolio!$F$5)/(Option_Portfolio!$G$5*SQRT(Option_Portfolio!$F$5))</f>
        <v>1.2947082452039216</v>
      </c>
      <c r="G258" s="62">
        <f>E258-Option_Portfolio!$G$4*SQRT(Option_Portfolio!$F$4)</f>
        <v>-7.9536691122444825E-2</v>
      </c>
      <c r="H258" s="63">
        <f>F258-Option_Portfolio!$G$5*SQRT(Option_Portfolio!$F$5)</f>
        <v>1.1391447533428811</v>
      </c>
      <c r="I258" s="115">
        <f t="shared" si="15"/>
        <v>0.51622109347794209</v>
      </c>
      <c r="J258" s="116">
        <f t="shared" si="16"/>
        <v>0.90228955272912492</v>
      </c>
      <c r="K258" s="115">
        <f t="shared" si="17"/>
        <v>0.46830287437219997</v>
      </c>
      <c r="L258" s="116">
        <f t="shared" si="18"/>
        <v>0.87267860804095121</v>
      </c>
      <c r="M258" s="62">
        <f>(1-K258)*Option_Portfolio!$E$4*EXP(-Option_Portfolio!$H$4*Option_Portfolio!$F$4)-(1-I258)*C258</f>
        <v>4.1482010162507308</v>
      </c>
      <c r="N258" s="116">
        <f>J258*D258-L258*Option_Portfolio!$E$5*EXP(-Option_Portfolio!$H$5*Option_Portfolio!$F$5)</f>
        <v>25.989091308079779</v>
      </c>
      <c r="O258" s="120">
        <f>M258 * -Option_Portfolio!$B$4 * 1000 + N258 * Option_Portfolio!$B$5 * 1000</f>
        <v>22940775.502404444</v>
      </c>
      <c r="P258" s="123">
        <f t="shared" si="19"/>
        <v>-0.24224420136823777</v>
      </c>
    </row>
    <row r="259" spans="2:16">
      <c r="B259" s="57" t="s">
        <v>289</v>
      </c>
      <c r="C259" s="62">
        <f>$C$17*(1+Underlying_Assets!H250)</f>
        <v>85.079349867565611</v>
      </c>
      <c r="D259" s="8">
        <f>$D$17*(1+Underlying_Assets!I250)</f>
        <v>143.89822064056941</v>
      </c>
      <c r="E259" s="62">
        <f>(LN(C259/Option_Portfolio!$E$4)+(Option_Portfolio!$H$4+0.5*Option_Portfolio!$G$4^2)*Option_Portfolio!$F$4)/(Option_Portfolio!$G$4*SQRT(Option_Portfolio!$F$4))</f>
        <v>0.10946089829100838</v>
      </c>
      <c r="F259" s="63">
        <f>(LN(D259/Option_Portfolio!$E$5)+(Option_Portfolio!$H$5+0.5*Option_Portfolio!$G$5^2)*Option_Portfolio!$F$5)/(Option_Portfolio!$G$5*SQRT(Option_Portfolio!$F$5))</f>
        <v>1.2773852232800178</v>
      </c>
      <c r="G259" s="62">
        <f>E259-Option_Portfolio!$G$4*SQRT(Option_Portfolio!$F$4)</f>
        <v>-1.0747254510704712E-2</v>
      </c>
      <c r="H259" s="63">
        <f>F259-Option_Portfolio!$G$5*SQRT(Option_Portfolio!$F$5)</f>
        <v>1.1218217314189773</v>
      </c>
      <c r="I259" s="115">
        <f t="shared" si="15"/>
        <v>0.54358153299707213</v>
      </c>
      <c r="J259" s="116">
        <f t="shared" si="16"/>
        <v>0.89926686048612381</v>
      </c>
      <c r="K259" s="115">
        <f t="shared" si="17"/>
        <v>0.49571254831353512</v>
      </c>
      <c r="L259" s="116">
        <f t="shared" si="18"/>
        <v>0.86903087778749155</v>
      </c>
      <c r="M259" s="62">
        <f>(1-K259)*Option_Portfolio!$E$4*EXP(-Option_Portfolio!$H$4*Option_Portfolio!$F$4)-(1-I259)*C259</f>
        <v>3.8188596997462412</v>
      </c>
      <c r="N259" s="116">
        <f>J259*D259-L259*Option_Portfolio!$E$5*EXP(-Option_Portfolio!$H$5*Option_Portfolio!$F$5)</f>
        <v>25.639312920705393</v>
      </c>
      <c r="O259" s="120">
        <f>M259 * -Option_Portfolio!$B$4 * 1000 + N259 * Option_Portfolio!$B$5 * 1000</f>
        <v>24546607.943187099</v>
      </c>
      <c r="P259" s="123">
        <f t="shared" si="19"/>
        <v>6.9999047792187685E-2</v>
      </c>
    </row>
    <row r="260" spans="2:16">
      <c r="B260" s="57" t="s">
        <v>290</v>
      </c>
      <c r="C260" s="62">
        <f>$C$17*(1+Underlying_Assets!H251)</f>
        <v>84.866163552535781</v>
      </c>
      <c r="D260" s="8">
        <f>$D$17*(1+Underlying_Assets!I251)</f>
        <v>143.43885407341094</v>
      </c>
      <c r="E260" s="62">
        <f>(LN(C260/Option_Portfolio!$E$4)+(Option_Portfolio!$H$4+0.5*Option_Portfolio!$G$4^2)*Option_Portfolio!$F$4)/(Option_Portfolio!$G$4*SQRT(Option_Portfolio!$F$4))</f>
        <v>8.8589770411178062E-2</v>
      </c>
      <c r="F260" s="63">
        <f>(LN(D260/Option_Portfolio!$E$5)+(Option_Portfolio!$H$5+0.5*Option_Portfolio!$G$5^2)*Option_Portfolio!$F$5)/(Option_Portfolio!$G$5*SQRT(Option_Portfolio!$F$5))</f>
        <v>1.2568315049531191</v>
      </c>
      <c r="G260" s="62">
        <f>E260-Option_Portfolio!$G$4*SQRT(Option_Portfolio!$F$4)</f>
        <v>-3.1618382390535035E-2</v>
      </c>
      <c r="H260" s="63">
        <f>F260-Option_Portfolio!$G$5*SQRT(Option_Portfolio!$F$5)</f>
        <v>1.1012680130920787</v>
      </c>
      <c r="I260" s="115">
        <f t="shared" si="15"/>
        <v>0.53529603092590428</v>
      </c>
      <c r="J260" s="116">
        <f t="shared" si="16"/>
        <v>0.89559267236981344</v>
      </c>
      <c r="K260" s="115">
        <f t="shared" si="17"/>
        <v>0.48738819184541898</v>
      </c>
      <c r="L260" s="116">
        <f t="shared" si="18"/>
        <v>0.86460998583046855</v>
      </c>
      <c r="M260" s="62">
        <f>(1-K260)*Option_Portfolio!$E$4*EXP(-Option_Portfolio!$H$4*Option_Portfolio!$F$4)-(1-I260)*C260</f>
        <v>3.9170443751485848</v>
      </c>
      <c r="N260" s="116">
        <f>J260*D260-L260*Option_Portfolio!$E$5*EXP(-Option_Portfolio!$H$5*Option_Portfolio!$F$5)</f>
        <v>25.227059576958865</v>
      </c>
      <c r="O260" s="120">
        <f>M260 * -Option_Portfolio!$B$4 * 1000 + N260 * Option_Portfolio!$B$5 * 1000</f>
        <v>23034808.527877636</v>
      </c>
      <c r="P260" s="123">
        <f t="shared" si="19"/>
        <v>-6.1588933949998648E-2</v>
      </c>
    </row>
    <row r="261" spans="2:16">
      <c r="B261" s="57" t="s">
        <v>291</v>
      </c>
      <c r="C261" s="62">
        <f>$C$17*(1+Underlying_Assets!H252)</f>
        <v>86.938131895072317</v>
      </c>
      <c r="D261" s="8">
        <f>$D$17*(1+Underlying_Assets!I252)</f>
        <v>146.43578852236783</v>
      </c>
      <c r="E261" s="62">
        <f>(LN(C261/Option_Portfolio!$E$4)+(Option_Portfolio!$H$4+0.5*Option_Portfolio!$G$4^2)*Option_Portfolio!$F$4)/(Option_Portfolio!$G$4*SQRT(Option_Portfolio!$F$4))</f>
        <v>0.28925227399156506</v>
      </c>
      <c r="F261" s="63">
        <f>(LN(D261/Option_Portfolio!$E$5)+(Option_Portfolio!$H$5+0.5*Option_Portfolio!$G$5^2)*Option_Portfolio!$F$5)/(Option_Portfolio!$G$5*SQRT(Option_Portfolio!$F$5))</f>
        <v>1.3897559344033679</v>
      </c>
      <c r="G261" s="62">
        <f>E261-Option_Portfolio!$G$4*SQRT(Option_Portfolio!$F$4)</f>
        <v>0.16904412118985196</v>
      </c>
      <c r="H261" s="63">
        <f>F261-Option_Portfolio!$G$5*SQRT(Option_Portfolio!$F$5)</f>
        <v>1.2341924425423274</v>
      </c>
      <c r="I261" s="115">
        <f t="shared" si="15"/>
        <v>0.61380583412025946</v>
      </c>
      <c r="J261" s="116">
        <f t="shared" si="16"/>
        <v>0.91769849836133321</v>
      </c>
      <c r="K261" s="115">
        <f t="shared" si="17"/>
        <v>0.56711903146749565</v>
      </c>
      <c r="L261" s="116">
        <f t="shared" si="18"/>
        <v>0.89143439855198292</v>
      </c>
      <c r="M261" s="62">
        <f>(1-K261)*Option_Portfolio!$E$4*EXP(-Option_Portfolio!$H$4*Option_Portfolio!$F$4)-(1-I261)*C261</f>
        <v>3.0363677537024927</v>
      </c>
      <c r="N261" s="116">
        <f>J261*D261-L261*Option_Portfolio!$E$5*EXP(-Option_Portfolio!$H$5*Option_Portfolio!$F$5)</f>
        <v>27.945301120433157</v>
      </c>
      <c r="O261" s="120">
        <f>M261 * -Option_Portfolio!$B$4 * 1000 + N261 * Option_Portfolio!$B$5 * 1000</f>
        <v>34636027.964948863</v>
      </c>
      <c r="P261" s="123">
        <f t="shared" si="19"/>
        <v>0.50363863120594088</v>
      </c>
    </row>
    <row r="262" spans="2:16">
      <c r="B262" s="57" t="s">
        <v>292</v>
      </c>
      <c r="C262" s="62">
        <f>$C$17*(1+Underlying_Assets!H253)</f>
        <v>84.765681818181818</v>
      </c>
      <c r="D262" s="8">
        <f>$D$17*(1+Underlying_Assets!I253)</f>
        <v>142.79428060768544</v>
      </c>
      <c r="E262" s="62">
        <f>(LN(C262/Option_Portfolio!$E$4)+(Option_Portfolio!$H$4+0.5*Option_Portfolio!$G$4^2)*Option_Portfolio!$F$4)/(Option_Portfolio!$G$4*SQRT(Option_Portfolio!$F$4))</f>
        <v>7.8734334030602704E-2</v>
      </c>
      <c r="F262" s="63">
        <f>(LN(D262/Option_Portfolio!$E$5)+(Option_Portfolio!$H$5+0.5*Option_Portfolio!$G$5^2)*Option_Portfolio!$F$5)/(Option_Portfolio!$G$5*SQRT(Option_Portfolio!$F$5))</f>
        <v>1.2278797053813983</v>
      </c>
      <c r="G262" s="62">
        <f>E262-Option_Portfolio!$G$4*SQRT(Option_Portfolio!$F$4)</f>
        <v>-4.1473818771110393E-2</v>
      </c>
      <c r="H262" s="63">
        <f>F262-Option_Portfolio!$G$5*SQRT(Option_Portfolio!$F$5)</f>
        <v>1.0723162135203579</v>
      </c>
      <c r="I262" s="115">
        <f t="shared" si="15"/>
        <v>0.53137803218440016</v>
      </c>
      <c r="J262" s="116">
        <f t="shared" si="16"/>
        <v>0.89025393549943743</v>
      </c>
      <c r="K262" s="115">
        <f t="shared" si="17"/>
        <v>0.48345908224218437</v>
      </c>
      <c r="L262" s="116">
        <f t="shared" si="18"/>
        <v>0.858210986611882</v>
      </c>
      <c r="M262" s="62">
        <f>(1-K262)*Option_Portfolio!$E$4*EXP(-Option_Portfolio!$H$4*Option_Portfolio!$F$4)-(1-I262)*C262</f>
        <v>3.9639354136593639</v>
      </c>
      <c r="N262" s="116">
        <f>J262*D262-L262*Option_Portfolio!$E$5*EXP(-Option_Portfolio!$H$5*Option_Portfolio!$F$5)</f>
        <v>24.651493302712566</v>
      </c>
      <c r="O262" s="120">
        <f>M262 * -Option_Portfolio!$B$4 * 1000 + N262 * Option_Portfolio!$B$5 * 1000</f>
        <v>21555438.70980959</v>
      </c>
      <c r="P262" s="123">
        <f t="shared" si="19"/>
        <v>-0.37765846789293023</v>
      </c>
    </row>
    <row r="263" spans="2:16">
      <c r="B263" s="57" t="s">
        <v>293</v>
      </c>
      <c r="C263" s="62">
        <f>$C$17*(1+Underlying_Assets!H254)</f>
        <v>84.73351430667644</v>
      </c>
      <c r="D263" s="8">
        <f>$D$17*(1+Underlying_Assets!I254)</f>
        <v>147.09632985953783</v>
      </c>
      <c r="E263" s="62">
        <f>(LN(C263/Option_Portfolio!$E$4)+(Option_Portfolio!$H$4+0.5*Option_Portfolio!$G$4^2)*Option_Portfolio!$F$4)/(Option_Portfolio!$G$4*SQRT(Option_Portfolio!$F$4))</f>
        <v>7.5576815562017147E-2</v>
      </c>
      <c r="F263" s="63">
        <f>(LN(D263/Option_Portfolio!$E$5)+(Option_Portfolio!$H$5+0.5*Option_Portfolio!$G$5^2)*Option_Portfolio!$F$5)/(Option_Portfolio!$G$5*SQRT(Option_Portfolio!$F$5))</f>
        <v>1.4186871990638974</v>
      </c>
      <c r="G263" s="62">
        <f>E263-Option_Portfolio!$G$4*SQRT(Option_Portfolio!$F$4)</f>
        <v>-4.4631337239695951E-2</v>
      </c>
      <c r="H263" s="63">
        <f>F263-Option_Portfolio!$G$5*SQRT(Option_Portfolio!$F$5)</f>
        <v>1.2631237072028569</v>
      </c>
      <c r="I263" s="115">
        <f t="shared" si="15"/>
        <v>0.53012210890005718</v>
      </c>
      <c r="J263" s="116">
        <f t="shared" si="16"/>
        <v>0.92200488457241947</v>
      </c>
      <c r="K263" s="115">
        <f t="shared" si="17"/>
        <v>0.4822005820173354</v>
      </c>
      <c r="L263" s="116">
        <f t="shared" si="18"/>
        <v>0.89672763733270644</v>
      </c>
      <c r="M263" s="62">
        <f>(1-K263)*Option_Portfolio!$E$4*EXP(-Option_Portfolio!$H$4*Option_Portfolio!$F$4)-(1-I263)*C263</f>
        <v>3.9790300140660619</v>
      </c>
      <c r="N263" s="116">
        <f>J263*D263-L263*Option_Portfolio!$E$5*EXP(-Option_Portfolio!$H$5*Option_Portfolio!$F$5)</f>
        <v>28.552911883208196</v>
      </c>
      <c r="O263" s="120">
        <f>M263 * -Option_Portfolio!$B$4 * 1000 + N263 * Option_Portfolio!$B$5 * 1000</f>
        <v>29252613.667953961</v>
      </c>
      <c r="P263" s="123">
        <f t="shared" si="19"/>
        <v>0.35708737185856898</v>
      </c>
    </row>
    <row r="264" spans="2:16">
      <c r="B264" s="57" t="s">
        <v>294</v>
      </c>
      <c r="C264" s="62">
        <f>$C$17*(1+Underlying_Assets!H255)</f>
        <v>84.191121009651084</v>
      </c>
      <c r="D264" s="8">
        <f>$D$17*(1+Underlying_Assets!I255)</f>
        <v>144.4770740410348</v>
      </c>
      <c r="E264" s="62">
        <f>(LN(C264/Option_Portfolio!$E$4)+(Option_Portfolio!$H$4+0.5*Option_Portfolio!$G$4^2)*Option_Portfolio!$F$4)/(Option_Portfolio!$G$4*SQRT(Option_Portfolio!$F$4))</f>
        <v>2.2154969889583945E-2</v>
      </c>
      <c r="F264" s="63">
        <f>(LN(D264/Option_Portfolio!$E$5)+(Option_Portfolio!$H$5+0.5*Option_Portfolio!$G$5^2)*Option_Portfolio!$F$5)/(Option_Portfolio!$G$5*SQRT(Option_Portfolio!$F$5))</f>
        <v>1.3031919803438548</v>
      </c>
      <c r="G264" s="62">
        <f>E264-Option_Portfolio!$G$4*SQRT(Option_Portfolio!$F$4)</f>
        <v>-9.8053182912129153E-2</v>
      </c>
      <c r="H264" s="63">
        <f>F264-Option_Portfolio!$G$5*SQRT(Option_Portfolio!$F$5)</f>
        <v>1.1476284884828143</v>
      </c>
      <c r="I264" s="115">
        <f t="shared" si="15"/>
        <v>0.50883783120658677</v>
      </c>
      <c r="J264" s="116">
        <f t="shared" si="16"/>
        <v>0.90374538631459611</v>
      </c>
      <c r="K264" s="115">
        <f t="shared" si="17"/>
        <v>0.46094503146655175</v>
      </c>
      <c r="L264" s="116">
        <f t="shared" si="18"/>
        <v>0.87443901801803903</v>
      </c>
      <c r="M264" s="62">
        <f>(1-K264)*Option_Portfolio!$E$4*EXP(-Option_Portfolio!$H$4*Option_Portfolio!$F$4)-(1-I264)*C264</f>
        <v>4.239652167987046</v>
      </c>
      <c r="N264" s="116">
        <f>J264*D264-L264*Option_Portfolio!$E$5*EXP(-Option_Portfolio!$H$5*Option_Portfolio!$F$5)</f>
        <v>26.161160866304257</v>
      </c>
      <c r="O264" s="120">
        <f>M264 * -Option_Portfolio!$B$4 * 1000 + N264 * Option_Portfolio!$B$5 * 1000</f>
        <v>22644756.55669919</v>
      </c>
      <c r="P264" s="123">
        <f t="shared" si="19"/>
        <v>-0.22588946021235812</v>
      </c>
    </row>
    <row r="265" spans="2:16">
      <c r="B265" s="57" t="s">
        <v>295</v>
      </c>
      <c r="C265" s="62">
        <f>$C$17*(1+Underlying_Assets!H256)</f>
        <v>85.848039314516114</v>
      </c>
      <c r="D265" s="8">
        <f>$D$17*(1+Underlying_Assets!I256)</f>
        <v>155.28618685739832</v>
      </c>
      <c r="E265" s="62">
        <f>(LN(C265/Option_Portfolio!$E$4)+(Option_Portfolio!$H$4+0.5*Option_Portfolio!$G$4^2)*Option_Portfolio!$F$4)/(Option_Portfolio!$G$4*SQRT(Option_Portfolio!$F$4))</f>
        <v>0.18428443972424405</v>
      </c>
      <c r="F265" s="63">
        <f>(LN(D265/Option_Portfolio!$E$5)+(Option_Portfolio!$H$5+0.5*Option_Portfolio!$G$5^2)*Option_Portfolio!$F$5)/(Option_Portfolio!$G$5*SQRT(Option_Portfolio!$F$5))</f>
        <v>1.7669829548739764</v>
      </c>
      <c r="G265" s="62">
        <f>E265-Option_Portfolio!$G$4*SQRT(Option_Portfolio!$F$4)</f>
        <v>6.4076286922530951E-2</v>
      </c>
      <c r="H265" s="63">
        <f>F265-Option_Portfolio!$G$5*SQRT(Option_Portfolio!$F$5)</f>
        <v>1.6114194630129359</v>
      </c>
      <c r="I265" s="115">
        <f t="shared" si="15"/>
        <v>0.57310483991194283</v>
      </c>
      <c r="J265" s="116">
        <f t="shared" si="16"/>
        <v>0.96138445853240662</v>
      </c>
      <c r="K265" s="115">
        <f t="shared" si="17"/>
        <v>0.52554525833475962</v>
      </c>
      <c r="L265" s="116">
        <f t="shared" si="18"/>
        <v>0.94645583604135242</v>
      </c>
      <c r="M265" s="62">
        <f>(1-K265)*Option_Portfolio!$E$4*EXP(-Option_Portfolio!$H$4*Option_Portfolio!$F$4)-(1-I265)*C265</f>
        <v>3.4794005589534436</v>
      </c>
      <c r="N265" s="116">
        <f>J265*D265-L265*Option_Portfolio!$E$5*EXP(-Option_Portfolio!$H$5*Option_Portfolio!$F$5)</f>
        <v>36.281482525555319</v>
      </c>
      <c r="O265" s="120">
        <f>M265 * -Option_Portfolio!$B$4 * 1000 + N265 * Option_Portfolio!$B$5 * 1000</f>
        <v>48207161.138436534</v>
      </c>
      <c r="P265" s="123">
        <f t="shared" si="19"/>
        <v>1.1288443096189966</v>
      </c>
    </row>
    <row r="266" spans="2:16">
      <c r="B266" s="57" t="s">
        <v>296</v>
      </c>
      <c r="C266" s="62">
        <f>$C$17*(1+Underlying_Assets!H257)</f>
        <v>85.222063931537889</v>
      </c>
      <c r="D266" s="8">
        <f>$D$17*(1+Underlying_Assets!I257)</f>
        <v>142.86852855356398</v>
      </c>
      <c r="E266" s="62">
        <f>(LN(C266/Option_Portfolio!$E$4)+(Option_Portfolio!$H$4+0.5*Option_Portfolio!$G$4^2)*Option_Portfolio!$F$4)/(Option_Portfolio!$G$4*SQRT(Option_Portfolio!$F$4))</f>
        <v>0.12340352801223445</v>
      </c>
      <c r="F266" s="63">
        <f>(LN(D266/Option_Portfolio!$E$5)+(Option_Portfolio!$H$5+0.5*Option_Portfolio!$G$5^2)*Option_Portfolio!$F$5)/(Option_Portfolio!$G$5*SQRT(Option_Portfolio!$F$5))</f>
        <v>1.2312212946142223</v>
      </c>
      <c r="G266" s="62">
        <f>E266-Option_Portfolio!$G$4*SQRT(Option_Portfolio!$F$4)</f>
        <v>3.1953752105213507E-3</v>
      </c>
      <c r="H266" s="63">
        <f>F266-Option_Portfolio!$G$5*SQRT(Option_Portfolio!$F$5)</f>
        <v>1.0756578027531818</v>
      </c>
      <c r="I266" s="115">
        <f t="shared" si="15"/>
        <v>0.54910621826045691</v>
      </c>
      <c r="J266" s="116">
        <f t="shared" si="16"/>
        <v>0.89087994545842886</v>
      </c>
      <c r="K266" s="115">
        <f t="shared" si="17"/>
        <v>0.50127476810390303</v>
      </c>
      <c r="L266" s="116">
        <f t="shared" si="18"/>
        <v>0.85895983705066514</v>
      </c>
      <c r="M266" s="62">
        <f>(1-K266)*Option_Portfolio!$E$4*EXP(-Option_Portfolio!$H$4*Option_Portfolio!$F$4)-(1-I266)*C266</f>
        <v>3.7541168073746434</v>
      </c>
      <c r="N266" s="116">
        <f>J266*D266-L266*Option_Portfolio!$E$5*EXP(-Option_Portfolio!$H$5*Option_Portfolio!$F$5)</f>
        <v>24.717616086638088</v>
      </c>
      <c r="O266" s="120">
        <f>M266 * -Option_Portfolio!$B$4 * 1000 + N266 * Option_Portfolio!$B$5 * 1000</f>
        <v>23156414.521653675</v>
      </c>
      <c r="P266" s="123">
        <f t="shared" si="19"/>
        <v>-0.51964782877059723</v>
      </c>
    </row>
    <row r="267" spans="2:16">
      <c r="B267" s="58" t="s">
        <v>297</v>
      </c>
      <c r="C267" s="64">
        <f>$C$17*(1+Underlying_Assets!H258)</f>
        <v>85.783423651557328</v>
      </c>
      <c r="D267" s="112">
        <f>$D$17*(1+Underlying_Assets!I258)</f>
        <v>149.93865652724969</v>
      </c>
      <c r="E267" s="64">
        <f>(LN(C267/Option_Portfolio!$E$4)+(Option_Portfolio!$H$4+0.5*Option_Portfolio!$G$4^2)*Option_Portfolio!$F$4)/(Option_Portfolio!$G$4*SQRT(Option_Portfolio!$F$4))</f>
        <v>0.17802065255552743</v>
      </c>
      <c r="F267" s="65">
        <f>(LN(D267/Option_Portfolio!$E$5)+(Option_Portfolio!$H$5+0.5*Option_Portfolio!$G$5^2)*Option_Portfolio!$F$5)/(Option_Portfolio!$G$5*SQRT(Option_Portfolio!$F$5))</f>
        <v>1.541714629277765</v>
      </c>
      <c r="G267" s="64">
        <f>E267-Option_Portfolio!$G$4*SQRT(Option_Portfolio!$F$4)</f>
        <v>5.7812499753814334E-2</v>
      </c>
      <c r="H267" s="65">
        <f>F267-Option_Portfolio!$G$5*SQRT(Option_Portfolio!$F$5)</f>
        <v>1.3861511374167246</v>
      </c>
      <c r="I267" s="115">
        <f t="shared" si="15"/>
        <v>0.57064662179597425</v>
      </c>
      <c r="J267" s="116">
        <f t="shared" si="16"/>
        <v>0.93842852231996443</v>
      </c>
      <c r="K267" s="117">
        <f t="shared" si="17"/>
        <v>0.52305100926526804</v>
      </c>
      <c r="L267" s="118">
        <f t="shared" si="18"/>
        <v>0.91714962091096475</v>
      </c>
      <c r="M267" s="64">
        <f>(1-K267)*Option_Portfolio!$E$4*EXP(-Option_Portfolio!$H$4*Option_Portfolio!$F$4)-(1-I267)*C267</f>
        <v>3.5070640674468692</v>
      </c>
      <c r="N267" s="118">
        <f>J267*D267-L267*Option_Portfolio!$E$5*EXP(-Option_Portfolio!$H$5*Option_Portfolio!$F$5)</f>
        <v>31.197673712317879</v>
      </c>
      <c r="O267" s="121">
        <f>M267 * -Option_Portfolio!$B$4 * 1000 + N267 * Option_Portfolio!$B$5 * 1000</f>
        <v>37845898.952507675</v>
      </c>
      <c r="P267" s="124">
        <f t="shared" si="19"/>
        <v>0.63435919309173672</v>
      </c>
    </row>
  </sheetData>
  <mergeCells count="2">
    <mergeCell ref="S3:W3"/>
    <mergeCell ref="C2:D2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F225-84E8-B646-877D-382F608C4D62}">
  <dimension ref="B1:V267"/>
  <sheetViews>
    <sheetView zoomScale="85" zoomScaleNormal="142" workbookViewId="0">
      <selection activeCell="R12" sqref="R12"/>
    </sheetView>
  </sheetViews>
  <sheetFormatPr baseColWidth="10" defaultRowHeight="15"/>
  <cols>
    <col min="1" max="1" width="10.83203125" customWidth="1"/>
    <col min="2" max="2" width="7.5" customWidth="1"/>
    <col min="3" max="3" width="16.83203125" customWidth="1"/>
    <col min="4" max="4" width="15.5" bestFit="1" customWidth="1"/>
    <col min="5" max="5" width="18" customWidth="1"/>
    <col min="6" max="6" width="15.1640625" bestFit="1" customWidth="1"/>
    <col min="7" max="7" width="17.33203125" bestFit="1" customWidth="1"/>
    <col min="8" max="8" width="15.83203125" customWidth="1"/>
    <col min="9" max="9" width="17" customWidth="1"/>
    <col min="10" max="10" width="10.83203125" style="291"/>
    <col min="11" max="11" width="12" customWidth="1"/>
    <col min="19" max="19" width="12.5" customWidth="1"/>
    <col min="22" max="22" width="12.6640625" customWidth="1"/>
  </cols>
  <sheetData>
    <row r="1" spans="2:22" ht="16" thickBot="1"/>
    <row r="2" spans="2:22" ht="16" thickBot="1">
      <c r="C2" s="276" t="s">
        <v>326</v>
      </c>
      <c r="D2" s="277"/>
      <c r="E2" s="278"/>
      <c r="H2" s="279">
        <v>1</v>
      </c>
      <c r="I2" s="280"/>
    </row>
    <row r="3" spans="2:22" ht="16" thickBot="1">
      <c r="H3" s="205" t="s">
        <v>341</v>
      </c>
      <c r="I3" s="87">
        <f>SUM(E10:E12)</f>
        <v>429859386.86618912</v>
      </c>
    </row>
    <row r="4" spans="2:22" ht="17" thickBot="1">
      <c r="C4" s="139" t="s">
        <v>320</v>
      </c>
      <c r="D4" s="140" t="s">
        <v>24</v>
      </c>
      <c r="E4" s="140" t="s">
        <v>25</v>
      </c>
      <c r="F4" s="141"/>
      <c r="L4" s="268" t="s">
        <v>366</v>
      </c>
      <c r="M4" s="269"/>
      <c r="N4" s="269"/>
      <c r="O4" s="269"/>
      <c r="P4" s="269"/>
      <c r="Q4" s="269"/>
      <c r="R4" s="269"/>
      <c r="S4" s="269"/>
      <c r="T4" s="269"/>
      <c r="U4" s="269"/>
      <c r="V4" s="270"/>
    </row>
    <row r="5" spans="2:22" ht="17" thickBot="1">
      <c r="B5" s="182" t="s">
        <v>336</v>
      </c>
      <c r="C5" s="128">
        <v>2000000</v>
      </c>
      <c r="D5" s="142">
        <v>1</v>
      </c>
      <c r="E5" s="144" t="s">
        <v>3</v>
      </c>
      <c r="F5" s="131">
        <v>0</v>
      </c>
      <c r="H5" s="279">
        <v>2</v>
      </c>
      <c r="I5" s="280"/>
      <c r="L5" s="230" t="s">
        <v>362</v>
      </c>
      <c r="M5" s="231"/>
      <c r="N5" s="231"/>
      <c r="O5" s="231"/>
      <c r="P5" s="231"/>
      <c r="Q5" s="231"/>
      <c r="R5" s="231"/>
      <c r="S5" s="231"/>
      <c r="T5" s="231"/>
      <c r="U5" s="231"/>
      <c r="V5" s="232"/>
    </row>
    <row r="6" spans="2:22" ht="18" thickBot="1">
      <c r="B6" s="183" t="s">
        <v>337</v>
      </c>
      <c r="C6" s="132">
        <v>-1500000</v>
      </c>
      <c r="D6" s="143">
        <v>3</v>
      </c>
      <c r="E6" s="145">
        <v>5</v>
      </c>
      <c r="F6" s="134">
        <v>5</v>
      </c>
      <c r="H6" s="75" t="s">
        <v>304</v>
      </c>
      <c r="I6" s="76" cm="1">
        <f t="array" ref="I6">SQRT(MMULT(MMULT(C26:G26,_xlfn.ANCHORARRAY(C43)),TRANSPOSE(C26:G26)))</f>
        <v>978748.46325128106</v>
      </c>
      <c r="L6" s="233" t="s">
        <v>358</v>
      </c>
      <c r="M6" s="234"/>
      <c r="N6" s="234"/>
      <c r="O6" s="234"/>
      <c r="P6" s="234"/>
      <c r="Q6" s="234"/>
      <c r="R6" s="234"/>
      <c r="S6" s="234"/>
      <c r="T6" s="234"/>
      <c r="U6" s="234"/>
      <c r="V6" s="235"/>
    </row>
    <row r="7" spans="2:22" ht="17" thickBot="1">
      <c r="B7" s="184" t="s">
        <v>338</v>
      </c>
      <c r="C7" s="135">
        <v>4000000</v>
      </c>
      <c r="D7" s="21">
        <v>5</v>
      </c>
      <c r="E7" s="146">
        <v>2</v>
      </c>
      <c r="F7" s="138">
        <v>2</v>
      </c>
      <c r="H7" s="77" t="s">
        <v>305</v>
      </c>
      <c r="I7" s="78">
        <f>_xlfn.NORM.S.INV(0.99)*I6</f>
        <v>2276909.4067053576</v>
      </c>
      <c r="L7" s="233" t="s">
        <v>359</v>
      </c>
      <c r="M7" s="234"/>
      <c r="N7" s="234"/>
      <c r="O7" s="234"/>
      <c r="P7" s="234"/>
      <c r="Q7" s="234"/>
      <c r="R7" s="234"/>
      <c r="S7" s="234"/>
      <c r="T7" s="234"/>
      <c r="U7" s="234"/>
      <c r="V7" s="235"/>
    </row>
    <row r="8" spans="2:22" ht="16" thickBot="1">
      <c r="H8" s="79" t="s">
        <v>306</v>
      </c>
      <c r="I8" s="80">
        <f>I6*EXP(-(_xlfn.NORM.S.INV(0.99)^2)/2)/(SQRT(2*PI())*0.01)</f>
        <v>2608574.3223989205</v>
      </c>
      <c r="L8" s="233" t="s">
        <v>360</v>
      </c>
      <c r="M8" s="234"/>
      <c r="N8" s="234"/>
      <c r="O8" s="234"/>
      <c r="P8" s="234"/>
      <c r="Q8" s="234"/>
      <c r="R8" s="234"/>
      <c r="S8" s="234"/>
      <c r="T8" s="234"/>
      <c r="U8" s="234"/>
      <c r="V8" s="235"/>
    </row>
    <row r="9" spans="2:22" ht="16" thickBot="1">
      <c r="C9" s="281" t="s">
        <v>321</v>
      </c>
      <c r="D9" s="282" t="s">
        <v>322</v>
      </c>
      <c r="E9" s="283" t="s">
        <v>323</v>
      </c>
      <c r="L9" s="236" t="s">
        <v>361</v>
      </c>
      <c r="M9" s="237"/>
      <c r="N9" s="237"/>
      <c r="O9" s="237"/>
      <c r="P9" s="237"/>
      <c r="Q9" s="237"/>
      <c r="R9" s="237"/>
      <c r="S9" s="237"/>
      <c r="T9" s="237"/>
      <c r="U9" s="237"/>
      <c r="V9" s="238"/>
    </row>
    <row r="10" spans="2:22" ht="16" thickBot="1">
      <c r="C10" s="288">
        <v>2000000</v>
      </c>
      <c r="D10" s="284">
        <f>100/(1+(TSIR!B1080/100))</f>
        <v>96.200096200096198</v>
      </c>
      <c r="E10" s="239">
        <f>C10*D10</f>
        <v>192400192.40019241</v>
      </c>
      <c r="H10" s="266">
        <v>3</v>
      </c>
      <c r="I10" s="267"/>
    </row>
    <row r="11" spans="2:22" ht="16" thickBot="1">
      <c r="C11" s="289">
        <v>-1500000</v>
      </c>
      <c r="D11" s="285">
        <f>(F6/(1+(TSIR!D1080/100))) + (F6/(1+(TSIR!D1080/100))^2) + (F6+100/(1+(TSIR!D1080/100))^3)</f>
        <v>103.98095013320987</v>
      </c>
      <c r="E11" s="239">
        <f t="shared" ref="E11:E12" si="0">C11*D11</f>
        <v>-155971425.1998148</v>
      </c>
      <c r="H11" s="97" t="s">
        <v>309</v>
      </c>
      <c r="I11" s="210">
        <f>_xlfn.PERCENTILE.INC(T17:T267,0.01)</f>
        <v>-5.987494418243422E-3</v>
      </c>
    </row>
    <row r="12" spans="2:22" ht="16" thickBot="1">
      <c r="C12" s="290">
        <v>4000000</v>
      </c>
      <c r="D12" s="286">
        <f>(F7/(1+(TSIR!F1080/100)))+(F7/(1+(TSIR!F1080/100))^2)+(F7+100/(1+(TSIR!F1080/100))^3)+(F7/(1+(TSIR!F1080/100))^4)+(F7/(1+(TSIR!F1080/100))^5)</f>
        <v>98.357654916452887</v>
      </c>
      <c r="E12" s="239">
        <f t="shared" si="0"/>
        <v>393430619.66581154</v>
      </c>
      <c r="H12" s="99" t="s">
        <v>310</v>
      </c>
      <c r="I12" s="76">
        <f>ABS(S17*I11)</f>
        <v>2416696.8090292006</v>
      </c>
    </row>
    <row r="13" spans="2:22" ht="16" thickBot="1">
      <c r="C13" s="287"/>
      <c r="D13" s="287"/>
      <c r="E13" s="287"/>
      <c r="H13" s="100" t="s">
        <v>311</v>
      </c>
      <c r="I13" s="98">
        <f>AVERAGEIF(T17:T267,"&lt;-0.0124")</f>
        <v>-1.3494973803500065E-2</v>
      </c>
    </row>
    <row r="14" spans="2:22" ht="16" thickBot="1">
      <c r="H14" s="101" t="s">
        <v>312</v>
      </c>
      <c r="I14" s="80">
        <f>ABS(S17*I13)</f>
        <v>5446896.1222713189</v>
      </c>
    </row>
    <row r="15" spans="2:22">
      <c r="K15" s="185"/>
      <c r="L15" s="186"/>
      <c r="M15" s="186" t="s">
        <v>345</v>
      </c>
      <c r="N15" s="186"/>
      <c r="O15" s="106"/>
      <c r="P15" s="185"/>
      <c r="Q15" s="209" t="s">
        <v>342</v>
      </c>
      <c r="R15" s="106"/>
      <c r="S15" s="93" t="s">
        <v>343</v>
      </c>
      <c r="T15" s="38" t="s">
        <v>344</v>
      </c>
    </row>
    <row r="16" spans="2:22">
      <c r="B16" s="297" t="s">
        <v>327</v>
      </c>
      <c r="C16" s="185">
        <v>1</v>
      </c>
      <c r="D16" s="186">
        <v>2</v>
      </c>
      <c r="E16" s="186">
        <v>3</v>
      </c>
      <c r="F16" s="186">
        <v>4</v>
      </c>
      <c r="G16" s="106">
        <v>5</v>
      </c>
      <c r="J16" s="292" t="s">
        <v>12</v>
      </c>
      <c r="K16" s="82">
        <v>1</v>
      </c>
      <c r="L16" s="110">
        <v>2</v>
      </c>
      <c r="M16" s="110">
        <v>3</v>
      </c>
      <c r="N16" s="110">
        <v>4</v>
      </c>
      <c r="O16" s="83">
        <v>5</v>
      </c>
      <c r="P16" s="82"/>
      <c r="Q16" s="110"/>
      <c r="R16" s="83"/>
      <c r="S16" s="6"/>
      <c r="T16" s="83"/>
    </row>
    <row r="17" spans="2:20">
      <c r="B17" s="298" t="s">
        <v>328</v>
      </c>
      <c r="C17" s="178">
        <f>TSIR!B1080</f>
        <v>3.95</v>
      </c>
      <c r="D17" s="178">
        <f>TSIR!C1080</f>
        <v>3.74</v>
      </c>
      <c r="E17" s="178">
        <f>TSIR!D1080</f>
        <v>3.76</v>
      </c>
      <c r="F17" s="178">
        <f>TSIR!E1080</f>
        <v>3.7865000000000002</v>
      </c>
      <c r="G17" s="179">
        <f>TSIR!F1080</f>
        <v>3.88</v>
      </c>
      <c r="J17" s="293">
        <v>45772</v>
      </c>
      <c r="K17" s="199">
        <f>TSIR!B1080</f>
        <v>3.95</v>
      </c>
      <c r="L17" s="199">
        <f>TSIR!C1080</f>
        <v>3.74</v>
      </c>
      <c r="M17" s="199">
        <f>TSIR!D1080</f>
        <v>3.76</v>
      </c>
      <c r="N17" s="199">
        <f>TSIR!E1080</f>
        <v>3.7865000000000002</v>
      </c>
      <c r="O17" s="199">
        <f>TSIR!F1080</f>
        <v>3.88</v>
      </c>
      <c r="P17" s="201">
        <f>100/(1+(K17/100))</f>
        <v>96.200096200096198</v>
      </c>
      <c r="Q17" s="197">
        <f>$F$6 * ((1 - (1 + M17 / 100)^(-$D$6)) / (M17 / 100)) + 100 / (1 + M17 / 100)^$D$6</f>
        <v>103.45684745460802</v>
      </c>
      <c r="R17" s="202">
        <f>$F$7*((1-(1+O17/100)^(-$D$7))/(O17/100)) + (100/(1+O17/100)^$D$7)</f>
        <v>91.602284808601311</v>
      </c>
      <c r="S17" s="200">
        <f>P17*$C$10+Q17*$C$11+R17*$C$12</f>
        <v>403624060.45268559</v>
      </c>
      <c r="T17" s="198">
        <v>0</v>
      </c>
    </row>
    <row r="18" spans="2:20">
      <c r="B18" s="298" t="s">
        <v>329</v>
      </c>
      <c r="C18" s="85">
        <f>C16/(1+(C17/100))</f>
        <v>0.96200096200096197</v>
      </c>
      <c r="D18" s="85">
        <f t="shared" ref="D18:F18" si="1">D16/(1+(D17/100))</f>
        <v>1.9278966647387699</v>
      </c>
      <c r="E18" s="85">
        <f t="shared" si="1"/>
        <v>2.8912875867386272</v>
      </c>
      <c r="F18" s="85">
        <f t="shared" si="1"/>
        <v>3.8540657985383455</v>
      </c>
      <c r="G18" s="181">
        <f>G16/(1+(G17/100))</f>
        <v>4.8132460531382364</v>
      </c>
      <c r="J18" s="294" t="s">
        <v>48</v>
      </c>
      <c r="K18" s="85">
        <f>K17*((TSIR!B4/TSIR!B3))</f>
        <v>4.3449999999999998</v>
      </c>
      <c r="L18" s="203">
        <f>L17*((TSIR!C4/TSIR!C3))</f>
        <v>4.0276923076923081</v>
      </c>
      <c r="M18" s="203">
        <f>M17*((TSIR!D4/TSIR!D3))</f>
        <v>4.4235294117647062</v>
      </c>
      <c r="N18" s="203">
        <f>N17*((TSIR!E4/TSIR!E3))</f>
        <v>4.334844644366183</v>
      </c>
      <c r="O18" s="203">
        <f>O17*((TSIR!F4/TSIR!F3))</f>
        <v>4.3905263157894732</v>
      </c>
      <c r="P18" s="243">
        <f>100/(1+(K18/100))</f>
        <v>95.835928889740771</v>
      </c>
      <c r="Q18" s="204">
        <f>$F$6 * ((1 - (1 + M18 / 100)^(-$D$6)) / ($M$17 / 100)) + 100 / (1 + M18 / 100)^$D$6</f>
        <v>104.01604401801163</v>
      </c>
      <c r="R18" s="202">
        <f>$F$7*((1-(1+O18/100)^(-$D$7))/($O$17/100)) + (100/(1+O18/100)^$D$7)</f>
        <v>90.63234314448755</v>
      </c>
      <c r="S18" s="200">
        <f t="shared" ref="S18:S81" si="2">P18*$C$10+Q18*$C$11+R18*$C$12</f>
        <v>398177164.3304143</v>
      </c>
      <c r="T18" s="70">
        <f>(S18/S17)-1</f>
        <v>-1.3494973803500065E-2</v>
      </c>
    </row>
    <row r="19" spans="2:20">
      <c r="B19" s="298" t="s">
        <v>304</v>
      </c>
      <c r="C19" s="84">
        <f>STDEV(TSIR!G831:G1080)</f>
        <v>4.4750374120623189E-4</v>
      </c>
      <c r="D19" s="84">
        <f>STDEV(TSIR!H831:H1080)</f>
        <v>5.9178105687585905E-4</v>
      </c>
      <c r="E19" s="84">
        <f>STDEV(TSIR!I831:I1080)</f>
        <v>6.0028052344492154E-4</v>
      </c>
      <c r="F19" s="84">
        <f>STDEV(TSIR!J831:J1080)</f>
        <v>4.8602163542831885E-4</v>
      </c>
      <c r="G19" s="47">
        <f>STDEV(TSIR!K831:K1080)</f>
        <v>6.0628886245663136E-4</v>
      </c>
      <c r="J19" s="295" t="s">
        <v>49</v>
      </c>
      <c r="K19" s="85">
        <f>K18*((TSIR!B5/TSIR!B4))</f>
        <v>4.3449999999999998</v>
      </c>
      <c r="L19" s="203">
        <f>L18*((TSIR!C5/TSIR!C4))</f>
        <v>4.0276923076923081</v>
      </c>
      <c r="M19" s="203">
        <f>M18*((TSIR!D5/TSIR!D4))</f>
        <v>4.8658823529411759</v>
      </c>
      <c r="N19" s="203">
        <f>N18*((TSIR!E5/TSIR!E4))</f>
        <v>4.6756730128809831</v>
      </c>
      <c r="O19" s="203">
        <f>O18*((TSIR!F5/TSIR!F4))</f>
        <v>4.6968421052631575</v>
      </c>
      <c r="P19" s="243">
        <f t="shared" ref="P19:P82" si="3">100/(1+(K19/100))</f>
        <v>95.835928889740771</v>
      </c>
      <c r="Q19" s="204">
        <f>$F$6*((1-(1+M19/100)^(-$D$6))/(M19/100))+($F$6+100)/(1+$M$17/100)^$D$6</f>
        <v>107.64437513969354</v>
      </c>
      <c r="R19" s="202">
        <f>$F$7*((1-(1+O19/100)^(-$D$7))/(O19/100))+($F$7+100)/(1+$O$17/100)^$D$7</f>
        <v>93.053916850113339</v>
      </c>
      <c r="S19" s="200">
        <f t="shared" si="2"/>
        <v>402420962.47039455</v>
      </c>
      <c r="T19" s="70">
        <f t="shared" ref="T19:T82" si="4">(S19/S18)-1</f>
        <v>1.0658065103047232E-2</v>
      </c>
    </row>
    <row r="20" spans="2:20">
      <c r="B20" s="298" t="s">
        <v>330</v>
      </c>
      <c r="C20" s="84">
        <f>C18*C19</f>
        <v>4.304990295394246E-4</v>
      </c>
      <c r="D20" s="84">
        <f t="shared" ref="D20:G20" si="5">D18*D19</f>
        <v>1.140892725806553E-3</v>
      </c>
      <c r="E20" s="84">
        <f t="shared" si="5"/>
        <v>1.7355836259972672E-3</v>
      </c>
      <c r="F20" s="84">
        <f t="shared" si="5"/>
        <v>1.8731593624539563E-3</v>
      </c>
      <c r="G20" s="47">
        <f t="shared" si="5"/>
        <v>2.9182174742810518E-3</v>
      </c>
      <c r="J20" s="295" t="s">
        <v>50</v>
      </c>
      <c r="K20" s="85">
        <f>K19*((TSIR!B6/TSIR!B5))</f>
        <v>3.95</v>
      </c>
      <c r="L20" s="203">
        <f>L19*((TSIR!C6/TSIR!C5))</f>
        <v>4.0276923076923081</v>
      </c>
      <c r="M20" s="203">
        <f>M19*((TSIR!D6/TSIR!D5))</f>
        <v>5.3082352941176456</v>
      </c>
      <c r="N20" s="203">
        <f>N19*((TSIR!E6/TSIR!E5))</f>
        <v>5.0237720434047741</v>
      </c>
      <c r="O20" s="203">
        <f>O19*((TSIR!F6/TSIR!F5))</f>
        <v>5.0031578947368409</v>
      </c>
      <c r="P20" s="243">
        <f t="shared" si="3"/>
        <v>96.200096200096198</v>
      </c>
      <c r="Q20" s="204">
        <f>$F$6*((1-(1+M20/100)^(-$D$6))/(M20/100))+($F$6+100)/(1+$M$17/100)^$D$6</f>
        <v>107.53182050006616</v>
      </c>
      <c r="R20" s="202">
        <f t="shared" ref="R20:R83" si="6">$F$7*((1-(1+O20/100)^(-$D$7))/(O20/100))+($F$7+100)/(1+$O$17/100)^$D$7</f>
        <v>92.980113668284403</v>
      </c>
      <c r="S20" s="200">
        <f t="shared" si="2"/>
        <v>403022916.32323074</v>
      </c>
      <c r="T20" s="70">
        <f t="shared" si="4"/>
        <v>1.4958312537718399E-3</v>
      </c>
    </row>
    <row r="21" spans="2:20">
      <c r="B21" s="298" t="s">
        <v>331</v>
      </c>
      <c r="C21" s="200">
        <f>C5*100</f>
        <v>200000000</v>
      </c>
      <c r="D21" s="200">
        <v>0</v>
      </c>
      <c r="E21" s="200">
        <v>0</v>
      </c>
      <c r="F21" s="200">
        <v>0</v>
      </c>
      <c r="G21" s="239">
        <v>0</v>
      </c>
      <c r="J21" s="295" t="s">
        <v>51</v>
      </c>
      <c r="K21" s="85">
        <f>K20*((TSIR!B7/TSIR!B6))</f>
        <v>3.95</v>
      </c>
      <c r="L21" s="203">
        <f>L20*((TSIR!C7/TSIR!C6))</f>
        <v>4.0276923076923081</v>
      </c>
      <c r="M21" s="203">
        <f>M20*((TSIR!D7/TSIR!D6))</f>
        <v>4.8658823529411759</v>
      </c>
      <c r="N21" s="203">
        <f>N20*((TSIR!E7/TSIR!E6))</f>
        <v>4.9564138878135235</v>
      </c>
      <c r="O21" s="203">
        <f>O20*((TSIR!F7/TSIR!F6))</f>
        <v>5.1052631578947354</v>
      </c>
      <c r="P21" s="243">
        <f>100/(1+(K21/100))</f>
        <v>96.200096200096198</v>
      </c>
      <c r="Q21" s="204">
        <f t="shared" ref="Q21:Q83" si="7">$F$6*((1-(1+M21/100)^(-$D$6))/(M21/100))+($F$6+100)/(1+$M$17/100)^$D$6</f>
        <v>107.64437513969354</v>
      </c>
      <c r="R21" s="202">
        <f t="shared" si="6"/>
        <v>92.955731560523304</v>
      </c>
      <c r="S21" s="200">
        <f t="shared" si="2"/>
        <v>402756555.93274534</v>
      </c>
      <c r="T21" s="70">
        <f t="shared" si="4"/>
        <v>-6.6090631499415853E-4</v>
      </c>
    </row>
    <row r="22" spans="2:20">
      <c r="B22" s="298" t="s">
        <v>332</v>
      </c>
      <c r="C22" s="200">
        <f>C6*F6</f>
        <v>-7500000</v>
      </c>
      <c r="D22" s="200">
        <f>C6*F6</f>
        <v>-7500000</v>
      </c>
      <c r="E22" s="200">
        <f>C6*F6+C6*100</f>
        <v>-157500000</v>
      </c>
      <c r="F22" s="200">
        <v>0</v>
      </c>
      <c r="G22" s="239">
        <v>0</v>
      </c>
      <c r="J22" s="295" t="s">
        <v>52</v>
      </c>
      <c r="K22" s="85">
        <f>K21*((TSIR!B8/TSIR!B7))</f>
        <v>4.3449999999999998</v>
      </c>
      <c r="L22" s="203">
        <f>L21*((TSIR!C8/TSIR!C7))</f>
        <v>4.0276923076923081</v>
      </c>
      <c r="M22" s="203">
        <f>M21*((TSIR!D8/TSIR!D7))</f>
        <v>5.0870588235294107</v>
      </c>
      <c r="N22" s="203">
        <f>N21*((TSIR!E8/TSIR!E7))</f>
        <v>5.0248846634440056</v>
      </c>
      <c r="O22" s="203">
        <f>O21*((TSIR!F8/TSIR!F7))</f>
        <v>5.1052631578947354</v>
      </c>
      <c r="P22" s="243">
        <f t="shared" si="3"/>
        <v>95.835928889740771</v>
      </c>
      <c r="Q22" s="204">
        <f t="shared" si="7"/>
        <v>107.58790206007707</v>
      </c>
      <c r="R22" s="202">
        <f t="shared" si="6"/>
        <v>92.955731560523304</v>
      </c>
      <c r="S22" s="200">
        <f t="shared" si="2"/>
        <v>402112930.93145913</v>
      </c>
      <c r="T22" s="70">
        <f t="shared" si="4"/>
        <v>-1.5980497196268484E-3</v>
      </c>
    </row>
    <row r="23" spans="2:20">
      <c r="B23" s="298" t="s">
        <v>333</v>
      </c>
      <c r="C23" s="200">
        <f>C7*F7</f>
        <v>8000000</v>
      </c>
      <c r="D23" s="200">
        <f>C7*F7</f>
        <v>8000000</v>
      </c>
      <c r="E23" s="200">
        <f>C7*F7</f>
        <v>8000000</v>
      </c>
      <c r="F23" s="200">
        <f>C7*F7</f>
        <v>8000000</v>
      </c>
      <c r="G23" s="239">
        <f>IF(D7=5, C7*F7 + C7*100, C7*F7)</f>
        <v>408000000</v>
      </c>
      <c r="J23" s="295" t="s">
        <v>53</v>
      </c>
      <c r="K23" s="85">
        <f>K22*((TSIR!B9/TSIR!B8))</f>
        <v>4.7399999999999993</v>
      </c>
      <c r="L23" s="203">
        <f>L22*((TSIR!C9/TSIR!C8))</f>
        <v>4.0276923076923081</v>
      </c>
      <c r="M23" s="203">
        <f>M22*((TSIR!D9/TSIR!D8))</f>
        <v>4.865882352941175</v>
      </c>
      <c r="N23" s="203">
        <f>N22*((TSIR!E9/TSIR!E8))</f>
        <v>4.8144116466757243</v>
      </c>
      <c r="O23" s="203">
        <f>O22*((TSIR!F9/TSIR!F8))</f>
        <v>4.9010526315789456</v>
      </c>
      <c r="P23" s="243">
        <f t="shared" si="3"/>
        <v>95.474508306282232</v>
      </c>
      <c r="Q23" s="204">
        <f t="shared" si="7"/>
        <v>107.64437513969349</v>
      </c>
      <c r="R23" s="202">
        <f t="shared" si="6"/>
        <v>93.004604830333335</v>
      </c>
      <c r="S23" s="200">
        <f t="shared" si="2"/>
        <v>401500873.2243576</v>
      </c>
      <c r="T23" s="70">
        <f t="shared" si="4"/>
        <v>-1.5221040161124133E-3</v>
      </c>
    </row>
    <row r="24" spans="2:20">
      <c r="B24" s="298" t="s">
        <v>334</v>
      </c>
      <c r="C24" s="200">
        <f>SUM(C21:C23)</f>
        <v>200500000</v>
      </c>
      <c r="D24" s="200">
        <f t="shared" ref="D24:G24" si="8">SUM(D21:D23)</f>
        <v>500000</v>
      </c>
      <c r="E24" s="200">
        <f t="shared" si="8"/>
        <v>-149500000</v>
      </c>
      <c r="F24" s="200">
        <f t="shared" si="8"/>
        <v>8000000</v>
      </c>
      <c r="G24" s="239">
        <f t="shared" si="8"/>
        <v>408000000</v>
      </c>
      <c r="J24" s="295" t="s">
        <v>54</v>
      </c>
      <c r="K24" s="85">
        <f>K23*((TSIR!B10/TSIR!B9))</f>
        <v>3.9499999999999997</v>
      </c>
      <c r="L24" s="203">
        <f>L23*((TSIR!C10/TSIR!C9))</f>
        <v>4.6030769230769231</v>
      </c>
      <c r="M24" s="203">
        <f>M23*((TSIR!D10/TSIR!D9))</f>
        <v>5.0870588235294099</v>
      </c>
      <c r="N24" s="203">
        <f>N23*((TSIR!E10/TSIR!E9))</f>
        <v>4.9565209749052492</v>
      </c>
      <c r="O24" s="203">
        <f>O23*((TSIR!F10/TSIR!F9))</f>
        <v>5.00315789473684</v>
      </c>
      <c r="P24" s="243">
        <f t="shared" si="3"/>
        <v>96.200096200096198</v>
      </c>
      <c r="Q24" s="204">
        <f t="shared" si="7"/>
        <v>107.58790206007707</v>
      </c>
      <c r="R24" s="202">
        <f t="shared" si="6"/>
        <v>92.980113668284403</v>
      </c>
      <c r="S24" s="200">
        <f t="shared" si="2"/>
        <v>402938793.98321438</v>
      </c>
      <c r="T24" s="70">
        <f t="shared" si="4"/>
        <v>3.5813639639414863E-3</v>
      </c>
    </row>
    <row r="25" spans="2:20">
      <c r="B25" s="298" t="s">
        <v>335</v>
      </c>
      <c r="C25" s="84">
        <f>1/(1+(C18/100))^C17</f>
        <v>0.96288872304684503</v>
      </c>
      <c r="D25" s="84">
        <f t="shared" ref="D25:E25" si="9">1/(1+(D18/100))^D17</f>
        <v>0.93107345829394306</v>
      </c>
      <c r="E25" s="84">
        <f t="shared" si="9"/>
        <v>0.89837251453018452</v>
      </c>
      <c r="F25" s="84">
        <f>1/(1+(F18/100))^F17</f>
        <v>0.86658746772198636</v>
      </c>
      <c r="G25" s="47">
        <f>1/(1+(G18/100))^G17</f>
        <v>0.83326905846650112</v>
      </c>
      <c r="J25" s="295" t="s">
        <v>55</v>
      </c>
      <c r="K25" s="85">
        <f>K24*((TSIR!B11/TSIR!B10))</f>
        <v>3.9499999999999997</v>
      </c>
      <c r="L25" s="203">
        <f>L24*((TSIR!C11/TSIR!C10))</f>
        <v>3.74</v>
      </c>
      <c r="M25" s="203">
        <f>M24*((TSIR!D11/TSIR!D10))</f>
        <v>4.4235294117647044</v>
      </c>
      <c r="N25" s="203">
        <f>N24*((TSIR!E11/TSIR!E10))</f>
        <v>4.5411248778846254</v>
      </c>
      <c r="O25" s="203">
        <f>O24*((TSIR!F11/TSIR!F10))</f>
        <v>4.6968421052631566</v>
      </c>
      <c r="P25" s="243">
        <f t="shared" si="3"/>
        <v>96.200096200096198</v>
      </c>
      <c r="Q25" s="204">
        <f t="shared" si="7"/>
        <v>107.75851074657821</v>
      </c>
      <c r="R25" s="202">
        <f t="shared" si="6"/>
        <v>93.053916850113339</v>
      </c>
      <c r="S25" s="200">
        <f t="shared" si="2"/>
        <v>402978093.68077838</v>
      </c>
      <c r="T25" s="70">
        <f t="shared" si="4"/>
        <v>9.7532672829858669E-5</v>
      </c>
    </row>
    <row r="26" spans="2:20">
      <c r="B26" s="299" t="s">
        <v>34</v>
      </c>
      <c r="C26" s="200">
        <f>C24*C25</f>
        <v>193059188.97089243</v>
      </c>
      <c r="D26" s="200">
        <f t="shared" ref="D26:F26" si="10">D24*D25</f>
        <v>465536.72914697154</v>
      </c>
      <c r="E26" s="200">
        <f t="shared" si="10"/>
        <v>-134306690.92226258</v>
      </c>
      <c r="F26" s="200">
        <f t="shared" si="10"/>
        <v>6932699.7417758908</v>
      </c>
      <c r="G26" s="200">
        <f>G24*G25</f>
        <v>339973775.85433245</v>
      </c>
      <c r="J26" s="295" t="s">
        <v>56</v>
      </c>
      <c r="K26" s="85">
        <f>K25*((TSIR!B12/TSIR!B11))</f>
        <v>3.9499999999999997</v>
      </c>
      <c r="L26" s="203">
        <f>L25*((TSIR!C12/TSIR!C11))</f>
        <v>4.0276923076923081</v>
      </c>
      <c r="M26" s="203">
        <f>M25*((TSIR!D12/TSIR!D11))</f>
        <v>4.6447058823529392</v>
      </c>
      <c r="N26" s="203">
        <f>N25*((TSIR!E12/TSIR!E11))</f>
        <v>4.5413851340553864</v>
      </c>
      <c r="O26" s="203">
        <f>O25*((TSIR!F12/TSIR!F11))</f>
        <v>4.5947368421052621</v>
      </c>
      <c r="P26" s="243">
        <f t="shared" si="3"/>
        <v>96.200096200096198</v>
      </c>
      <c r="Q26" s="204">
        <f t="shared" si="7"/>
        <v>107.70124345013649</v>
      </c>
      <c r="R26" s="202">
        <f t="shared" si="6"/>
        <v>93.078738985329935</v>
      </c>
      <c r="S26" s="200">
        <f t="shared" si="2"/>
        <v>403163283.16630745</v>
      </c>
      <c r="T26" s="70">
        <f t="shared" si="4"/>
        <v>4.5955223976945625E-4</v>
      </c>
    </row>
    <row r="27" spans="2:20">
      <c r="B27" s="29"/>
      <c r="J27" s="295" t="s">
        <v>57</v>
      </c>
      <c r="K27" s="85">
        <f>K26*((TSIR!B13/TSIR!B12))</f>
        <v>3.9499999999999997</v>
      </c>
      <c r="L27" s="203">
        <f>L26*((TSIR!C13/TSIR!C12))</f>
        <v>3.74</v>
      </c>
      <c r="M27" s="203">
        <f>M26*((TSIR!D13/TSIR!D12))</f>
        <v>4.2023529411764686</v>
      </c>
      <c r="N27" s="203">
        <f>N26*((TSIR!E13/TSIR!E12))</f>
        <v>4.4040169705565253</v>
      </c>
      <c r="O27" s="203">
        <f>O26*((TSIR!F13/TSIR!F12))</f>
        <v>4.5947368421052621</v>
      </c>
      <c r="P27" s="243">
        <f t="shared" si="3"/>
        <v>96.200096200096198</v>
      </c>
      <c r="Q27" s="204">
        <f t="shared" si="7"/>
        <v>107.81618082876317</v>
      </c>
      <c r="R27" s="202">
        <f t="shared" si="6"/>
        <v>93.078738985329935</v>
      </c>
      <c r="S27" s="200">
        <f t="shared" si="2"/>
        <v>402990877.09836745</v>
      </c>
      <c r="T27" s="70">
        <f t="shared" si="4"/>
        <v>-4.2763335635620514E-4</v>
      </c>
    </row>
    <row r="28" spans="2:20">
      <c r="B28" s="300" t="s">
        <v>339</v>
      </c>
      <c r="C28" s="71" t="s">
        <v>15</v>
      </c>
      <c r="D28" s="189" t="s">
        <v>16</v>
      </c>
      <c r="E28" s="189" t="s">
        <v>17</v>
      </c>
      <c r="F28" s="189" t="s">
        <v>18</v>
      </c>
      <c r="G28" s="72" t="s">
        <v>19</v>
      </c>
      <c r="J28" s="295" t="s">
        <v>58</v>
      </c>
      <c r="K28" s="85">
        <f>K27*((TSIR!B14/TSIR!B13))</f>
        <v>3.9499999999999997</v>
      </c>
      <c r="L28" s="203">
        <f>L27*((TSIR!C14/TSIR!C13))</f>
        <v>3.74</v>
      </c>
      <c r="M28" s="203">
        <f>M27*((TSIR!D14/TSIR!D13))</f>
        <v>4.2023529411764686</v>
      </c>
      <c r="N28" s="203">
        <f>N27*((TSIR!E14/TSIR!E13))</f>
        <v>4.4061612744375349</v>
      </c>
      <c r="O28" s="203">
        <f>O27*((TSIR!F14/TSIR!F13))</f>
        <v>4.5947368421052621</v>
      </c>
      <c r="P28" s="243">
        <f t="shared" si="3"/>
        <v>96.200096200096198</v>
      </c>
      <c r="Q28" s="204">
        <f t="shared" si="7"/>
        <v>107.81618082876317</v>
      </c>
      <c r="R28" s="202">
        <f t="shared" si="6"/>
        <v>93.078738985329935</v>
      </c>
      <c r="S28" s="200">
        <f t="shared" si="2"/>
        <v>402990877.09836745</v>
      </c>
      <c r="T28" s="70">
        <f t="shared" si="4"/>
        <v>0</v>
      </c>
    </row>
    <row r="29" spans="2:20">
      <c r="B29" s="301" t="str" cm="1">
        <f t="array" ref="B29:B33">TRANSPOSE(C28:G28)</f>
        <v>1y</v>
      </c>
      <c r="C29" s="190">
        <f>C20</f>
        <v>4.304990295394246E-4</v>
      </c>
      <c r="D29" s="191">
        <v>0</v>
      </c>
      <c r="E29" s="191">
        <v>0</v>
      </c>
      <c r="F29" s="191">
        <v>0</v>
      </c>
      <c r="G29" s="192">
        <v>0</v>
      </c>
      <c r="J29" s="295" t="s">
        <v>59</v>
      </c>
      <c r="K29" s="85">
        <f>K28*((TSIR!B15/TSIR!B14))</f>
        <v>3.9499999999999997</v>
      </c>
      <c r="L29" s="203">
        <f>L28*((TSIR!C15/TSIR!C14))</f>
        <v>3.74</v>
      </c>
      <c r="M29" s="203">
        <f>M28*((TSIR!D15/TSIR!D14))</f>
        <v>4.2023529411764686</v>
      </c>
      <c r="N29" s="203">
        <f>N28*((TSIR!E15/TSIR!E14))</f>
        <v>4.338304450372469</v>
      </c>
      <c r="O29" s="203">
        <f>O28*((TSIR!F15/TSIR!F14))</f>
        <v>4.4926315789473676</v>
      </c>
      <c r="P29" s="243">
        <f t="shared" si="3"/>
        <v>96.200096200096198</v>
      </c>
      <c r="Q29" s="204">
        <f t="shared" si="7"/>
        <v>107.81618082876317</v>
      </c>
      <c r="R29" s="202">
        <f t="shared" si="6"/>
        <v>93.103672729877474</v>
      </c>
      <c r="S29" s="200">
        <f t="shared" si="2"/>
        <v>403090612.07655752</v>
      </c>
      <c r="T29" s="70">
        <f t="shared" si="4"/>
        <v>2.4748693793807952E-4</v>
      </c>
    </row>
    <row r="30" spans="2:20">
      <c r="B30" s="301" t="str">
        <v>2y</v>
      </c>
      <c r="C30" s="180">
        <v>0</v>
      </c>
      <c r="D30" s="188">
        <f>D20</f>
        <v>1.140892725806553E-3</v>
      </c>
      <c r="E30" s="188">
        <v>0</v>
      </c>
      <c r="F30" s="188">
        <v>0</v>
      </c>
      <c r="G30" s="193">
        <v>0</v>
      </c>
      <c r="J30" s="295" t="s">
        <v>60</v>
      </c>
      <c r="K30" s="85">
        <f>K29*((TSIR!B16/TSIR!B15))</f>
        <v>3.9499999999999997</v>
      </c>
      <c r="L30" s="203">
        <f>L29*((TSIR!C16/TSIR!C15))</f>
        <v>3.74</v>
      </c>
      <c r="M30" s="203">
        <f>M29*((TSIR!D16/TSIR!D15))</f>
        <v>3.7599999999999985</v>
      </c>
      <c r="N30" s="203">
        <f>N29*((TSIR!E16/TSIR!E15))</f>
        <v>4.0604439545168569</v>
      </c>
      <c r="O30" s="203">
        <f>O29*((TSIR!F16/TSIR!F15))</f>
        <v>4.2884210526315778</v>
      </c>
      <c r="P30" s="243">
        <f t="shared" si="3"/>
        <v>96.200096200096198</v>
      </c>
      <c r="Q30" s="204">
        <f t="shared" si="7"/>
        <v>107.93274477600616</v>
      </c>
      <c r="R30" s="202">
        <f t="shared" si="6"/>
        <v>93.153877651452703</v>
      </c>
      <c r="S30" s="200">
        <f t="shared" si="2"/>
        <v>403116585.84199399</v>
      </c>
      <c r="T30" s="70">
        <f t="shared" si="4"/>
        <v>6.44365426984983E-5</v>
      </c>
    </row>
    <row r="31" spans="2:20">
      <c r="B31" s="301" t="str">
        <v>3y</v>
      </c>
      <c r="C31" s="180">
        <v>0</v>
      </c>
      <c r="D31" s="188">
        <v>0</v>
      </c>
      <c r="E31" s="188">
        <f>E20</f>
        <v>1.7355836259972672E-3</v>
      </c>
      <c r="F31" s="188">
        <v>0</v>
      </c>
      <c r="G31" s="193">
        <v>0</v>
      </c>
      <c r="J31" s="295" t="s">
        <v>61</v>
      </c>
      <c r="K31" s="85">
        <f>K30*((TSIR!B17/TSIR!B16))</f>
        <v>3.5549999999999993</v>
      </c>
      <c r="L31" s="203">
        <f>L30*((TSIR!C17/TSIR!C16))</f>
        <v>3.1646153846153848</v>
      </c>
      <c r="M31" s="203">
        <f>M30*((TSIR!D17/TSIR!D16))</f>
        <v>3.9811764705882329</v>
      </c>
      <c r="N31" s="203">
        <f>N30*((TSIR!E17/TSIR!E16))</f>
        <v>4.126393279921591</v>
      </c>
      <c r="O31" s="203">
        <f>O30*((TSIR!F17/TSIR!F16))</f>
        <v>4.2884210526315778</v>
      </c>
      <c r="P31" s="243">
        <f t="shared" si="3"/>
        <v>96.567041668678485</v>
      </c>
      <c r="Q31" s="204">
        <f t="shared" si="7"/>
        <v>107.87425754164056</v>
      </c>
      <c r="R31" s="202">
        <f t="shared" si="6"/>
        <v>93.153877651452703</v>
      </c>
      <c r="S31" s="200">
        <f t="shared" si="2"/>
        <v>403938207.63070691</v>
      </c>
      <c r="T31" s="70">
        <f t="shared" si="4"/>
        <v>2.0381741103427942E-3</v>
      </c>
    </row>
    <row r="32" spans="2:20">
      <c r="B32" s="301" t="str">
        <v>4y</v>
      </c>
      <c r="C32" s="180">
        <v>0</v>
      </c>
      <c r="D32" s="188">
        <v>0</v>
      </c>
      <c r="E32" s="188">
        <v>0</v>
      </c>
      <c r="F32" s="188">
        <f>F20</f>
        <v>1.8731593624539563E-3</v>
      </c>
      <c r="G32" s="193">
        <v>0</v>
      </c>
      <c r="J32" s="295" t="s">
        <v>62</v>
      </c>
      <c r="K32" s="85">
        <f>K31*((TSIR!B18/TSIR!B17))</f>
        <v>3.5549999999999993</v>
      </c>
      <c r="L32" s="203">
        <f>L31*((TSIR!C18/TSIR!C17))</f>
        <v>3.4523076923076923</v>
      </c>
      <c r="M32" s="203">
        <f>M31*((TSIR!D18/TSIR!D17))</f>
        <v>3.9811764705882329</v>
      </c>
      <c r="N32" s="203">
        <f>N31*((TSIR!E18/TSIR!E17))</f>
        <v>4.0587579468581003</v>
      </c>
      <c r="O32" s="203">
        <f>O31*((TSIR!F18/TSIR!F17))</f>
        <v>4.1863157894736833</v>
      </c>
      <c r="P32" s="243">
        <f t="shared" si="3"/>
        <v>96.567041668678485</v>
      </c>
      <c r="Q32" s="204">
        <f t="shared" si="7"/>
        <v>107.87425754164056</v>
      </c>
      <c r="R32" s="202">
        <f t="shared" si="6"/>
        <v>93.179150142164886</v>
      </c>
      <c r="S32" s="200">
        <f t="shared" si="2"/>
        <v>404039297.59355569</v>
      </c>
      <c r="T32" s="70">
        <f t="shared" si="4"/>
        <v>2.5026095808500237E-4</v>
      </c>
    </row>
    <row r="33" spans="2:20">
      <c r="B33" s="302" t="str">
        <v>5y</v>
      </c>
      <c r="C33" s="194">
        <v>0</v>
      </c>
      <c r="D33" s="195">
        <v>0</v>
      </c>
      <c r="E33" s="195">
        <v>0</v>
      </c>
      <c r="F33" s="195">
        <v>0</v>
      </c>
      <c r="G33" s="196">
        <f>G20</f>
        <v>2.9182174742810518E-3</v>
      </c>
      <c r="J33" s="295" t="s">
        <v>63</v>
      </c>
      <c r="K33" s="85">
        <f>K32*((TSIR!B19/TSIR!B18))</f>
        <v>3.1599999999999997</v>
      </c>
      <c r="L33" s="203">
        <f>L32*((TSIR!C19/TSIR!C18))</f>
        <v>3.4523076923076923</v>
      </c>
      <c r="M33" s="203">
        <f>M32*((TSIR!D19/TSIR!D18))</f>
        <v>3.9811764705882329</v>
      </c>
      <c r="N33" s="203">
        <f>N32*((TSIR!E19/TSIR!E18))</f>
        <v>4.1289343369060703</v>
      </c>
      <c r="O33" s="203">
        <f>O32*((TSIR!F19/TSIR!F18))</f>
        <v>4.2884210526315778</v>
      </c>
      <c r="P33" s="243">
        <f t="shared" si="3"/>
        <v>96.936797208220227</v>
      </c>
      <c r="Q33" s="204">
        <f t="shared" si="7"/>
        <v>107.87425754164056</v>
      </c>
      <c r="R33" s="202">
        <f t="shared" si="6"/>
        <v>93.153877651452703</v>
      </c>
      <c r="S33" s="200">
        <f t="shared" si="2"/>
        <v>404677718.70979047</v>
      </c>
      <c r="T33" s="70">
        <f t="shared" si="4"/>
        <v>1.580096589705926E-3</v>
      </c>
    </row>
    <row r="34" spans="2:20">
      <c r="B34" s="29"/>
      <c r="J34" s="295" t="s">
        <v>64</v>
      </c>
      <c r="K34" s="85">
        <f>K33*((TSIR!B20/TSIR!B19))</f>
        <v>3.9499999999999997</v>
      </c>
      <c r="L34" s="203">
        <f>L33*((TSIR!C20/TSIR!C19))</f>
        <v>3.1646153846153848</v>
      </c>
      <c r="M34" s="203">
        <f>M33*((TSIR!D20/TSIR!D19))</f>
        <v>4.2023529411764677</v>
      </c>
      <c r="N34" s="203">
        <f>N33*((TSIR!E20/TSIR!E19))</f>
        <v>4.4059919201148396</v>
      </c>
      <c r="O34" s="203">
        <f>O33*((TSIR!F20/TSIR!F19))</f>
        <v>4.5947368421052621</v>
      </c>
      <c r="P34" s="243">
        <f t="shared" si="3"/>
        <v>96.200096200096198</v>
      </c>
      <c r="Q34" s="204">
        <f t="shared" si="7"/>
        <v>107.81618082876308</v>
      </c>
      <c r="R34" s="202">
        <f t="shared" si="6"/>
        <v>93.078738985329935</v>
      </c>
      <c r="S34" s="200">
        <f t="shared" si="2"/>
        <v>402990877.09836757</v>
      </c>
      <c r="T34" s="70">
        <f t="shared" si="4"/>
        <v>-4.1683580128921704E-3</v>
      </c>
    </row>
    <row r="35" spans="2:20">
      <c r="B35" s="303" t="s">
        <v>340</v>
      </c>
      <c r="C35" s="71" t="s">
        <v>15</v>
      </c>
      <c r="D35" s="189" t="s">
        <v>16</v>
      </c>
      <c r="E35" s="189" t="s">
        <v>17</v>
      </c>
      <c r="F35" s="189" t="s">
        <v>18</v>
      </c>
      <c r="G35" s="72" t="s">
        <v>19</v>
      </c>
      <c r="J35" s="295" t="s">
        <v>65</v>
      </c>
      <c r="K35" s="85">
        <f>K34*((TSIR!B21/TSIR!B20))</f>
        <v>3.1599999999999997</v>
      </c>
      <c r="L35" s="203">
        <f>L34*((TSIR!C21/TSIR!C20))</f>
        <v>3.1646153846153848</v>
      </c>
      <c r="M35" s="203">
        <f>M34*((TSIR!D21/TSIR!D20))</f>
        <v>3.7599999999999976</v>
      </c>
      <c r="N35" s="203">
        <f>N34*((TSIR!E21/TSIR!E20))</f>
        <v>4.0617226991380351</v>
      </c>
      <c r="O35" s="203">
        <f>O34*((TSIR!F21/TSIR!F20))</f>
        <v>4.2884210526315778</v>
      </c>
      <c r="P35" s="243">
        <f t="shared" si="3"/>
        <v>96.936797208220227</v>
      </c>
      <c r="Q35" s="204">
        <f t="shared" si="7"/>
        <v>107.93274477600617</v>
      </c>
      <c r="R35" s="202">
        <f t="shared" si="6"/>
        <v>93.153877651452703</v>
      </c>
      <c r="S35" s="200">
        <f t="shared" si="2"/>
        <v>404589987.85824203</v>
      </c>
      <c r="T35" s="70">
        <f t="shared" si="4"/>
        <v>3.9681066017882571E-3</v>
      </c>
    </row>
    <row r="36" spans="2:20">
      <c r="B36" s="301" t="str" cm="1">
        <f t="array" ref="B36:B40">TRANSPOSE(C35:G35)</f>
        <v>1y</v>
      </c>
      <c r="C36" s="190">
        <f>CORREL(TSIR!G831:G1080,TSIR!G831:G1080)</f>
        <v>0.99999999999999989</v>
      </c>
      <c r="D36" s="190">
        <f>CORREL(TSIR!G831:G1080,TSIR!H831:H1080)</f>
        <v>0.90791141544008591</v>
      </c>
      <c r="E36" s="190">
        <f>CORREL(TSIR!G831:G1080,TSIR!I831:I1080)</f>
        <v>0.86685152813891342</v>
      </c>
      <c r="F36" s="190">
        <f>CORREL(TSIR!G831:G1080,TSIR!J831:J1080)</f>
        <v>0.81743920168811257</v>
      </c>
      <c r="G36" s="240">
        <f>CORREL(TSIR!G831:G1080,TSIR!K831:K1080)</f>
        <v>0.80107857817757666</v>
      </c>
      <c r="J36" s="295" t="s">
        <v>66</v>
      </c>
      <c r="K36" s="85">
        <f>K35*((TSIR!B22/TSIR!B21))</f>
        <v>3.1599999999999997</v>
      </c>
      <c r="L36" s="203">
        <f>L35*((TSIR!C22/TSIR!C21))</f>
        <v>3.1646153846153848</v>
      </c>
      <c r="M36" s="203">
        <f>M35*((TSIR!D22/TSIR!D21))</f>
        <v>3.981176470588232</v>
      </c>
      <c r="N36" s="203">
        <f>N35*((TSIR!E22/TSIR!E21))</f>
        <v>4.3379380115289052</v>
      </c>
      <c r="O36" s="203">
        <f>O35*((TSIR!F22/TSIR!F21))</f>
        <v>4.5947368421052621</v>
      </c>
      <c r="P36" s="243">
        <f t="shared" si="3"/>
        <v>96.936797208220227</v>
      </c>
      <c r="Q36" s="204">
        <f t="shared" si="7"/>
        <v>107.87425754164049</v>
      </c>
      <c r="R36" s="202">
        <f t="shared" si="6"/>
        <v>93.078738985329935</v>
      </c>
      <c r="S36" s="200">
        <f t="shared" si="2"/>
        <v>404377164.04529953</v>
      </c>
      <c r="T36" s="70">
        <f t="shared" si="4"/>
        <v>-5.2602342947016822E-4</v>
      </c>
    </row>
    <row r="37" spans="2:20">
      <c r="B37" s="301" t="str">
        <v>2y</v>
      </c>
      <c r="C37" s="187">
        <f>CORREL(TSIR!H744:H993,TSIR!G744:G993)</f>
        <v>0.90862350951488247</v>
      </c>
      <c r="D37" s="188">
        <f>CORREL(TSIR!H831:H1080,TSIR!H831:H1080)</f>
        <v>1.0000000000000002</v>
      </c>
      <c r="E37" s="188">
        <f>CORREL(TSIR!H831:H1080,TSIR!I831:I1080)</f>
        <v>0.94728721978771313</v>
      </c>
      <c r="F37" s="188">
        <f>CORREL(TSIR!H831:H1080,TSIR!J831:J1080)</f>
        <v>0.89139758786614154</v>
      </c>
      <c r="G37" s="241">
        <f>CORREL(TSIR!H831:H1080,TSIR!K831:K1080)</f>
        <v>0.9094639967548811</v>
      </c>
      <c r="J37" s="295" t="s">
        <v>67</v>
      </c>
      <c r="K37" s="85">
        <f>K36*((TSIR!B23/TSIR!B22))</f>
        <v>3.1599999999999997</v>
      </c>
      <c r="L37" s="203">
        <f>L36*((TSIR!C23/TSIR!C22))</f>
        <v>3.1646153846153848</v>
      </c>
      <c r="M37" s="203">
        <f>M36*((TSIR!D23/TSIR!D22))</f>
        <v>4.2023529411764668</v>
      </c>
      <c r="N37" s="203">
        <f>N36*((TSIR!E23/TSIR!E22))</f>
        <v>4.4735999864942668</v>
      </c>
      <c r="O37" s="203">
        <f>O36*((TSIR!F23/TSIR!F22))</f>
        <v>4.6968421052631566</v>
      </c>
      <c r="P37" s="243">
        <f t="shared" si="3"/>
        <v>96.936797208220227</v>
      </c>
      <c r="Q37" s="204">
        <f t="shared" si="7"/>
        <v>107.81618082876308</v>
      </c>
      <c r="R37" s="202">
        <f t="shared" si="6"/>
        <v>93.053916850113339</v>
      </c>
      <c r="S37" s="200">
        <f t="shared" si="2"/>
        <v>404364990.57374918</v>
      </c>
      <c r="T37" s="70">
        <f t="shared" si="4"/>
        <v>-3.0104250765661256E-5</v>
      </c>
    </row>
    <row r="38" spans="2:20">
      <c r="B38" s="301" t="str">
        <v>3y</v>
      </c>
      <c r="C38" s="180">
        <f>CORREL(TSIR!I831:I1080,TSIR!G831:G1080)</f>
        <v>0.86685152813891342</v>
      </c>
      <c r="D38" s="188">
        <f>CORREL(TSIR!I831:I1080,TSIR!H831:H1080)</f>
        <v>0.94728721978771313</v>
      </c>
      <c r="E38" s="188">
        <f>CORREL(TSIR!B831:B1080,TSIR!B831:B1080)</f>
        <v>1.0000000000000002</v>
      </c>
      <c r="F38" s="188">
        <f>CORREL(TSIR!I831:I1080,TSIR!J831:J1080)</f>
        <v>0.93224196388419367</v>
      </c>
      <c r="G38" s="241">
        <f>CORREL(TSIR!I831:I1080,TSIR!K831:K1080)</f>
        <v>0.95054191912535169</v>
      </c>
      <c r="J38" s="295" t="s">
        <v>68</v>
      </c>
      <c r="K38" s="85">
        <f>K37*((TSIR!B24/TSIR!B23))</f>
        <v>2.7650000000000001</v>
      </c>
      <c r="L38" s="203">
        <f>L37*((TSIR!C24/TSIR!C23))</f>
        <v>3.1646153846153848</v>
      </c>
      <c r="M38" s="203">
        <f>M37*((TSIR!D24/TSIR!D23))</f>
        <v>3.9811764705882315</v>
      </c>
      <c r="N38" s="203">
        <f>N37*((TSIR!E24/TSIR!E23))</f>
        <v>4.4057637429955943</v>
      </c>
      <c r="O38" s="203">
        <f>O37*((TSIR!F24/TSIR!F23))</f>
        <v>4.6968421052631566</v>
      </c>
      <c r="P38" s="243">
        <f t="shared" si="3"/>
        <v>97.309395222108705</v>
      </c>
      <c r="Q38" s="204">
        <f t="shared" si="7"/>
        <v>107.87425754164049</v>
      </c>
      <c r="R38" s="202">
        <f t="shared" si="6"/>
        <v>93.053916850113339</v>
      </c>
      <c r="S38" s="200">
        <f t="shared" si="2"/>
        <v>405023071.53220999</v>
      </c>
      <c r="T38" s="70">
        <f t="shared" si="4"/>
        <v>1.6274429631681908E-3</v>
      </c>
    </row>
    <row r="39" spans="2:20">
      <c r="B39" s="301" t="str">
        <v>4y</v>
      </c>
      <c r="C39" s="180">
        <f>CORREL(TSIR!J831:J1080,TSIR!G831:G1080)</f>
        <v>0.81743920168811257</v>
      </c>
      <c r="D39" s="188">
        <f>CORREL(TSIR!J831:J1080,TSIR!H831:H1080)</f>
        <v>0.89139758786614154</v>
      </c>
      <c r="E39" s="188">
        <f>CORREL(TSIR!J831:J1080,TSIR!I831:I1080)</f>
        <v>0.93224196388419367</v>
      </c>
      <c r="F39" s="188">
        <f>CORREL(TSIR!J831:J1080,TSIR!J831:J1080)</f>
        <v>1</v>
      </c>
      <c r="G39" s="241">
        <f>CORREL(TSIR!J831:J1080,TSIR!K831:K1080)</f>
        <v>0.96271996577405006</v>
      </c>
      <c r="J39" s="295" t="s">
        <v>69</v>
      </c>
      <c r="K39" s="85">
        <f>K38*((TSIR!B25/TSIR!B24))</f>
        <v>2.3699999999999997</v>
      </c>
      <c r="L39" s="203">
        <f>L38*((TSIR!C25/TSIR!C24))</f>
        <v>2.589230769230769</v>
      </c>
      <c r="M39" s="203">
        <f>M38*((TSIR!D25/TSIR!D24))</f>
        <v>4.2023529411764668</v>
      </c>
      <c r="N39" s="203">
        <f>N38*((TSIR!E25/TSIR!E24))</f>
        <v>4.5432257028461596</v>
      </c>
      <c r="O39" s="203">
        <f>O38*((TSIR!F25/TSIR!F24))</f>
        <v>4.7989473684210511</v>
      </c>
      <c r="P39" s="243">
        <f t="shared" si="3"/>
        <v>97.684868613851705</v>
      </c>
      <c r="Q39" s="204">
        <f t="shared" si="7"/>
        <v>107.81618082876308</v>
      </c>
      <c r="R39" s="202">
        <f t="shared" si="6"/>
        <v>93.029205678770737</v>
      </c>
      <c r="S39" s="200">
        <f t="shared" si="2"/>
        <v>405762288.6996417</v>
      </c>
      <c r="T39" s="70">
        <f t="shared" si="4"/>
        <v>1.8251236025523809E-3</v>
      </c>
    </row>
    <row r="40" spans="2:20">
      <c r="B40" s="302" t="str">
        <v>5y</v>
      </c>
      <c r="C40" s="194">
        <f>CORREL(TSIR!K831:K1080,TSIR!G831:G1080)</f>
        <v>0.80107857817757666</v>
      </c>
      <c r="D40" s="195">
        <f>CORREL(TSIR!K831:K1080,TSIR!H831:H1080)</f>
        <v>0.9094639967548811</v>
      </c>
      <c r="E40" s="195">
        <f>CORREL(TSIR!K831:K1080,TSIR!I831:I1080)</f>
        <v>0.95054191912535169</v>
      </c>
      <c r="F40" s="195">
        <f>CORREL(TSIR!K831:K1080,TSIR!J831:J1080)</f>
        <v>0.96271996577405006</v>
      </c>
      <c r="G40" s="242">
        <f>CORREL(TSIR!K831:K1080,TSIR!K831:K1080)</f>
        <v>1</v>
      </c>
      <c r="J40" s="295" t="s">
        <v>70</v>
      </c>
      <c r="K40" s="85">
        <f>K39*((TSIR!B26/TSIR!B25))</f>
        <v>2.7649999999999997</v>
      </c>
      <c r="L40" s="203">
        <f>L39*((TSIR!C26/TSIR!C25))</f>
        <v>3.1646153846153844</v>
      </c>
      <c r="M40" s="203">
        <f>M39*((TSIR!D26/TSIR!D25))</f>
        <v>4.4235294117647017</v>
      </c>
      <c r="N40" s="203">
        <f>N39*((TSIR!E26/TSIR!E25))</f>
        <v>4.678370286453247</v>
      </c>
      <c r="O40" s="203">
        <f>O39*((TSIR!F26/TSIR!F25))</f>
        <v>4.9010526315789456</v>
      </c>
      <c r="P40" s="243">
        <f t="shared" si="3"/>
        <v>97.309395222108705</v>
      </c>
      <c r="Q40" s="204">
        <f t="shared" si="7"/>
        <v>107.75851074657815</v>
      </c>
      <c r="R40" s="202">
        <f t="shared" si="6"/>
        <v>93.004604830333335</v>
      </c>
      <c r="S40" s="200">
        <f t="shared" si="2"/>
        <v>404999443.64568353</v>
      </c>
      <c r="T40" s="70">
        <f t="shared" si="4"/>
        <v>-1.8800294537052453E-3</v>
      </c>
    </row>
    <row r="41" spans="2:20">
      <c r="B41" s="29"/>
      <c r="J41" s="295" t="s">
        <v>71</v>
      </c>
      <c r="K41" s="85">
        <f>K40*((TSIR!B27/TSIR!B26))</f>
        <v>2.7649999999999997</v>
      </c>
      <c r="L41" s="203">
        <f>L40*((TSIR!C27/TSIR!C26))</f>
        <v>3.1646153846153844</v>
      </c>
      <c r="M41" s="203">
        <f>M40*((TSIR!D27/TSIR!D26))</f>
        <v>4.2023529411764668</v>
      </c>
      <c r="N41" s="203">
        <f>N40*((TSIR!E27/TSIR!E26))</f>
        <v>4.6083092010806634</v>
      </c>
      <c r="O41" s="203">
        <f>O40*((TSIR!F27/TSIR!F26))</f>
        <v>4.9010526315789456</v>
      </c>
      <c r="P41" s="243">
        <f t="shared" si="3"/>
        <v>97.309395222108705</v>
      </c>
      <c r="Q41" s="204">
        <f t="shared" si="7"/>
        <v>107.81618082876308</v>
      </c>
      <c r="R41" s="202">
        <f t="shared" si="6"/>
        <v>93.004604830333335</v>
      </c>
      <c r="S41" s="200">
        <f t="shared" si="2"/>
        <v>404912938.5224061</v>
      </c>
      <c r="T41" s="70">
        <f t="shared" si="4"/>
        <v>-2.1359319039737645E-4</v>
      </c>
    </row>
    <row r="42" spans="2:20">
      <c r="B42" s="300" t="s">
        <v>26</v>
      </c>
      <c r="C42" s="71" t="s">
        <v>15</v>
      </c>
      <c r="D42" s="189" t="s">
        <v>16</v>
      </c>
      <c r="E42" s="189" t="s">
        <v>17</v>
      </c>
      <c r="F42" s="189" t="s">
        <v>18</v>
      </c>
      <c r="G42" s="72" t="s">
        <v>19</v>
      </c>
      <c r="J42" s="295" t="s">
        <v>72</v>
      </c>
      <c r="K42" s="85">
        <f>K41*((TSIR!B28/TSIR!B27))</f>
        <v>2.7649999999999997</v>
      </c>
      <c r="L42" s="203">
        <f>L41*((TSIR!C28/TSIR!C27))</f>
        <v>3.1646153846153844</v>
      </c>
      <c r="M42" s="203">
        <f>M41*((TSIR!D28/TSIR!D27))</f>
        <v>4.2023529411764668</v>
      </c>
      <c r="N42" s="203">
        <f>N41*((TSIR!E28/TSIR!E27))</f>
        <v>4.4719872896633692</v>
      </c>
      <c r="O42" s="203">
        <f>O41*((TSIR!F28/TSIR!F27))</f>
        <v>4.6968421052631566</v>
      </c>
      <c r="P42" s="243">
        <f t="shared" si="3"/>
        <v>97.309395222108705</v>
      </c>
      <c r="Q42" s="204">
        <f t="shared" si="7"/>
        <v>107.81618082876308</v>
      </c>
      <c r="R42" s="202">
        <f t="shared" si="6"/>
        <v>93.053916850113339</v>
      </c>
      <c r="S42" s="200">
        <f t="shared" si="2"/>
        <v>405110186.60152614</v>
      </c>
      <c r="T42" s="70">
        <f t="shared" si="4"/>
        <v>4.8713701231628548E-4</v>
      </c>
    </row>
    <row r="43" spans="2:20">
      <c r="B43" s="301" t="str" cm="1">
        <f t="array" ref="B43:B47">TRANSPOSE(C42:G42)</f>
        <v>1y</v>
      </c>
      <c r="C43" s="190" cm="1">
        <f t="array" ref="C43:G47">MMULT(MMULT(C36:G40,C29:G33),C29:G33)</f>
        <v>1.8532941443438637E-7</v>
      </c>
      <c r="D43" s="191">
        <v>1.181770375441872E-6</v>
      </c>
      <c r="E43" s="191">
        <v>2.6111739688522719E-6</v>
      </c>
      <c r="F43" s="191">
        <v>2.8681701780517333E-6</v>
      </c>
      <c r="G43" s="192">
        <v>6.8219797462146721E-6</v>
      </c>
      <c r="J43" s="295" t="s">
        <v>73</v>
      </c>
      <c r="K43" s="85">
        <f>K42*((TSIR!B29/TSIR!B28))</f>
        <v>2.7649999999999997</v>
      </c>
      <c r="L43" s="203">
        <f>L42*((TSIR!C29/TSIR!C28))</f>
        <v>3.1646153846153844</v>
      </c>
      <c r="M43" s="203">
        <f>M42*((TSIR!D29/TSIR!D28))</f>
        <v>4.2023529411764668</v>
      </c>
      <c r="N43" s="203">
        <f>N42*((TSIR!E29/TSIR!E28))</f>
        <v>4.4755519571042788</v>
      </c>
      <c r="O43" s="203">
        <f>O42*((TSIR!F29/TSIR!F28))</f>
        <v>4.6968421052631566</v>
      </c>
      <c r="P43" s="243">
        <f t="shared" si="3"/>
        <v>97.309395222108705</v>
      </c>
      <c r="Q43" s="204">
        <f t="shared" si="7"/>
        <v>107.81618082876308</v>
      </c>
      <c r="R43" s="202">
        <f t="shared" si="6"/>
        <v>93.053916850113339</v>
      </c>
      <c r="S43" s="200">
        <f t="shared" si="2"/>
        <v>405110186.60152614</v>
      </c>
      <c r="T43" s="70">
        <f t="shared" si="4"/>
        <v>0</v>
      </c>
    </row>
    <row r="44" spans="2:20">
      <c r="B44" s="301" t="str">
        <v>2y</v>
      </c>
      <c r="C44" s="180">
        <v>1.6839466295971026E-7</v>
      </c>
      <c r="D44" s="188">
        <v>1.3016362117983069E-6</v>
      </c>
      <c r="E44" s="188">
        <v>2.8534664230755474E-6</v>
      </c>
      <c r="F44" s="188">
        <v>3.1276698903417625E-6</v>
      </c>
      <c r="G44" s="193">
        <v>7.7449892367461554E-6</v>
      </c>
      <c r="J44" s="295" t="s">
        <v>74</v>
      </c>
      <c r="K44" s="85">
        <f>K43*((TSIR!B30/TSIR!B29))</f>
        <v>2.3699999999999992</v>
      </c>
      <c r="L44" s="203">
        <f>L43*((TSIR!C30/TSIR!C29))</f>
        <v>3.1646153846153844</v>
      </c>
      <c r="M44" s="203">
        <f>M43*((TSIR!D30/TSIR!D29))</f>
        <v>4.4235294117647017</v>
      </c>
      <c r="N44" s="203">
        <f>N43*((TSIR!E30/TSIR!E29))</f>
        <v>4.817712098259979</v>
      </c>
      <c r="O44" s="203">
        <f>O43*((TSIR!F30/TSIR!F29))</f>
        <v>5.1052631578947354</v>
      </c>
      <c r="P44" s="243">
        <f t="shared" si="3"/>
        <v>97.684868613851705</v>
      </c>
      <c r="Q44" s="204">
        <f t="shared" si="7"/>
        <v>107.75851074657815</v>
      </c>
      <c r="R44" s="202">
        <f t="shared" si="6"/>
        <v>92.955731560523304</v>
      </c>
      <c r="S44" s="200">
        <f t="shared" si="2"/>
        <v>405554897.34992939</v>
      </c>
      <c r="T44" s="70">
        <f t="shared" si="4"/>
        <v>1.0977525698228074E-3</v>
      </c>
    </row>
    <row r="45" spans="2:20">
      <c r="B45" s="301" t="str">
        <v>3y</v>
      </c>
      <c r="C45" s="180">
        <v>1.6065308611153782E-7</v>
      </c>
      <c r="D45" s="188">
        <v>1.2330233482494288E-6</v>
      </c>
      <c r="E45" s="188">
        <v>3.0122505228298228E-6</v>
      </c>
      <c r="F45" s="188">
        <v>3.2709816143136272E-6</v>
      </c>
      <c r="G45" s="193">
        <v>8.0948085454405011E-6</v>
      </c>
      <c r="J45" s="295" t="s">
        <v>75</v>
      </c>
      <c r="K45" s="85">
        <f>K44*((TSIR!B31/TSIR!B30))</f>
        <v>3.1599999999999993</v>
      </c>
      <c r="L45" s="203">
        <f>L44*((TSIR!C31/TSIR!C30))</f>
        <v>3.7399999999999998</v>
      </c>
      <c r="M45" s="203">
        <f>M44*((TSIR!D31/TSIR!D30))</f>
        <v>5.0870588235294063</v>
      </c>
      <c r="N45" s="203">
        <f>N44*((TSIR!E31/TSIR!E30))</f>
        <v>5.505811969232882</v>
      </c>
      <c r="O45" s="203">
        <f>O44*((TSIR!F31/TSIR!F30))</f>
        <v>5.8199999999999976</v>
      </c>
      <c r="P45" s="243">
        <f t="shared" si="3"/>
        <v>96.936797208220227</v>
      </c>
      <c r="Q45" s="204">
        <f t="shared" si="7"/>
        <v>107.58790206007708</v>
      </c>
      <c r="R45" s="202">
        <f t="shared" si="6"/>
        <v>92.788058140952373</v>
      </c>
      <c r="S45" s="200">
        <f t="shared" si="2"/>
        <v>403643973.89013433</v>
      </c>
      <c r="T45" s="70">
        <f t="shared" si="4"/>
        <v>-4.7118737124908217E-3</v>
      </c>
    </row>
    <row r="46" spans="2:20">
      <c r="B46" s="301" t="str">
        <v>4y</v>
      </c>
      <c r="C46" s="180">
        <v>1.5149552858457016E-7</v>
      </c>
      <c r="D46" s="188">
        <v>1.1602753794762325E-6</v>
      </c>
      <c r="E46" s="188">
        <v>2.8081463431140622E-6</v>
      </c>
      <c r="F46" s="188">
        <v>3.5087259971489119E-6</v>
      </c>
      <c r="G46" s="193">
        <v>8.1985167082213352E-6</v>
      </c>
      <c r="J46" s="295" t="s">
        <v>76</v>
      </c>
      <c r="K46" s="85">
        <f>K45*((TSIR!B32/TSIR!B31))</f>
        <v>2.7649999999999997</v>
      </c>
      <c r="L46" s="203">
        <f>L45*((TSIR!C32/TSIR!C31))</f>
        <v>3.1646153846153844</v>
      </c>
      <c r="M46" s="203">
        <f>M45*((TSIR!D32/TSIR!D31))</f>
        <v>4.6447058823529357</v>
      </c>
      <c r="N46" s="203">
        <f>N45*((TSIR!E32/TSIR!E31))</f>
        <v>5.3693371219402302</v>
      </c>
      <c r="O46" s="203">
        <f>O45*((TSIR!F32/TSIR!F31))</f>
        <v>5.8199999999999976</v>
      </c>
      <c r="P46" s="243">
        <f t="shared" si="3"/>
        <v>97.309395222108705</v>
      </c>
      <c r="Q46" s="204">
        <f t="shared" si="7"/>
        <v>107.7012434501365</v>
      </c>
      <c r="R46" s="202">
        <f t="shared" si="6"/>
        <v>92.788058140952373</v>
      </c>
      <c r="S46" s="200">
        <f t="shared" si="2"/>
        <v>404219157.8328222</v>
      </c>
      <c r="T46" s="70">
        <f t="shared" si="4"/>
        <v>1.4249783965420981E-3</v>
      </c>
    </row>
    <row r="47" spans="2:20">
      <c r="B47" s="302" t="str">
        <v>5y</v>
      </c>
      <c r="C47" s="194">
        <v>1.4846342380958109E-7</v>
      </c>
      <c r="D47" s="195">
        <v>1.1837912715029707E-6</v>
      </c>
      <c r="E47" s="195">
        <v>2.8632703928570029E-6</v>
      </c>
      <c r="F47" s="195">
        <v>3.3779205718857204E-6</v>
      </c>
      <c r="G47" s="196">
        <v>8.5159932271992818E-6</v>
      </c>
      <c r="J47" s="295" t="s">
        <v>77</v>
      </c>
      <c r="K47" s="85">
        <f>K46*((TSIR!B33/TSIR!B32))</f>
        <v>2.3699999999999992</v>
      </c>
      <c r="L47" s="203">
        <f>L46*((TSIR!C33/TSIR!C32))</f>
        <v>3.1646153846153844</v>
      </c>
      <c r="M47" s="203">
        <f>M46*((TSIR!D33/TSIR!D32))</f>
        <v>4.6447058823529357</v>
      </c>
      <c r="N47" s="203">
        <f>N46*((TSIR!E33/TSIR!E32))</f>
        <v>5.2950654613633903</v>
      </c>
      <c r="O47" s="203">
        <f>O46*((TSIR!F33/TSIR!F32))</f>
        <v>5.717894736842104</v>
      </c>
      <c r="P47" s="243">
        <f t="shared" si="3"/>
        <v>97.684868613851705</v>
      </c>
      <c r="Q47" s="204">
        <f t="shared" si="7"/>
        <v>107.7012434501365</v>
      </c>
      <c r="R47" s="202">
        <f t="shared" si="6"/>
        <v>92.811694203929207</v>
      </c>
      <c r="S47" s="200">
        <f t="shared" si="2"/>
        <v>405064648.86821544</v>
      </c>
      <c r="T47" s="70">
        <f t="shared" si="4"/>
        <v>2.0916649273285959E-3</v>
      </c>
    </row>
    <row r="48" spans="2:20">
      <c r="J48" s="295" t="s">
        <v>78</v>
      </c>
      <c r="K48" s="85">
        <f>K47*((TSIR!B34/TSIR!B33))</f>
        <v>2.7649999999999992</v>
      </c>
      <c r="L48" s="203">
        <f>L47*((TSIR!C34/TSIR!C33))</f>
        <v>3.1646153846153844</v>
      </c>
      <c r="M48" s="203">
        <f>M47*((TSIR!D34/TSIR!D33))</f>
        <v>4.8658823529411706</v>
      </c>
      <c r="N48" s="203">
        <f>N47*((TSIR!E34/TSIR!E33))</f>
        <v>5.5736491870702718</v>
      </c>
      <c r="O48" s="203">
        <f>O47*((TSIR!F34/TSIR!F33))</f>
        <v>6.0242105263157875</v>
      </c>
      <c r="P48" s="243">
        <f t="shared" si="3"/>
        <v>97.309395222108705</v>
      </c>
      <c r="Q48" s="204">
        <f t="shared" si="7"/>
        <v>107.64437513969349</v>
      </c>
      <c r="R48" s="202">
        <f t="shared" si="6"/>
        <v>92.741097877904821</v>
      </c>
      <c r="S48" s="200">
        <f t="shared" si="2"/>
        <v>404116619.24629641</v>
      </c>
      <c r="T48" s="70">
        <f t="shared" si="4"/>
        <v>-2.3404402842062133E-3</v>
      </c>
    </row>
    <row r="49" spans="10:20">
      <c r="J49" s="295" t="s">
        <v>79</v>
      </c>
      <c r="K49" s="85">
        <f>K48*((TSIR!B35/TSIR!B34))</f>
        <v>2.3699999999999988</v>
      </c>
      <c r="L49" s="203">
        <f>L48*((TSIR!C35/TSIR!C34))</f>
        <v>3.1646153846153844</v>
      </c>
      <c r="M49" s="203">
        <f>M48*((TSIR!D35/TSIR!D34))</f>
        <v>4.8658823529411706</v>
      </c>
      <c r="N49" s="203">
        <f>N48*((TSIR!E35/TSIR!E34))</f>
        <v>5.7088576363748054</v>
      </c>
      <c r="O49" s="203">
        <f>O48*((TSIR!F35/TSIR!F34))</f>
        <v>6.2284210526315773</v>
      </c>
      <c r="P49" s="243">
        <f t="shared" si="3"/>
        <v>97.684868613851705</v>
      </c>
      <c r="Q49" s="204">
        <f t="shared" si="7"/>
        <v>107.64437513969349</v>
      </c>
      <c r="R49" s="202">
        <f t="shared" si="6"/>
        <v>92.694549492983043</v>
      </c>
      <c r="S49" s="200">
        <f t="shared" si="2"/>
        <v>404681372.49009538</v>
      </c>
      <c r="T49" s="70">
        <f t="shared" si="4"/>
        <v>1.3975006641704368E-3</v>
      </c>
    </row>
    <row r="50" spans="10:20">
      <c r="J50" s="295" t="s">
        <v>80</v>
      </c>
      <c r="K50" s="85">
        <f>K49*((TSIR!B36/TSIR!B35))</f>
        <v>3.1599999999999988</v>
      </c>
      <c r="L50" s="203">
        <f>L49*((TSIR!C36/TSIR!C35))</f>
        <v>3.1646153846153844</v>
      </c>
      <c r="M50" s="203">
        <f>M49*((TSIR!D36/TSIR!D35))</f>
        <v>4.8658823529411706</v>
      </c>
      <c r="N50" s="203">
        <f>N49*((TSIR!E36/TSIR!E35))</f>
        <v>5.5757487515937605</v>
      </c>
      <c r="O50" s="203">
        <f>O49*((TSIR!F36/TSIR!F35))</f>
        <v>6.0242105263157875</v>
      </c>
      <c r="P50" s="243">
        <f t="shared" si="3"/>
        <v>96.936797208220227</v>
      </c>
      <c r="Q50" s="204">
        <f t="shared" si="7"/>
        <v>107.64437513969349</v>
      </c>
      <c r="R50" s="202">
        <f t="shared" si="6"/>
        <v>92.741097877904821</v>
      </c>
      <c r="S50" s="200">
        <f t="shared" si="2"/>
        <v>403371423.21851945</v>
      </c>
      <c r="T50" s="70">
        <f t="shared" si="4"/>
        <v>-3.2369892973217462E-3</v>
      </c>
    </row>
    <row r="51" spans="10:20">
      <c r="J51" s="295" t="s">
        <v>81</v>
      </c>
      <c r="K51" s="85">
        <f>K50*((TSIR!B37/TSIR!B36))</f>
        <v>3.1599999999999988</v>
      </c>
      <c r="L51" s="203">
        <f>L50*((TSIR!C37/TSIR!C36))</f>
        <v>3.4523076923076919</v>
      </c>
      <c r="M51" s="203">
        <f>M50*((TSIR!D37/TSIR!D36))</f>
        <v>5.3082352941176403</v>
      </c>
      <c r="N51" s="203">
        <f>N50*((TSIR!E37/TSIR!E36))</f>
        <v>5.9161932688668397</v>
      </c>
      <c r="O51" s="203">
        <f>O50*((TSIR!F37/TSIR!F36))</f>
        <v>6.3305263157894718</v>
      </c>
      <c r="P51" s="243">
        <f t="shared" si="3"/>
        <v>96.936797208220227</v>
      </c>
      <c r="Q51" s="204">
        <f t="shared" si="7"/>
        <v>107.53182050006617</v>
      </c>
      <c r="R51" s="202">
        <f t="shared" si="6"/>
        <v>92.671428292825027</v>
      </c>
      <c r="S51" s="200">
        <f t="shared" si="2"/>
        <v>403261576.8376413</v>
      </c>
      <c r="T51" s="70">
        <f t="shared" si="4"/>
        <v>-2.7232068152394096E-4</v>
      </c>
    </row>
    <row r="52" spans="10:20">
      <c r="J52" s="295" t="s">
        <v>82</v>
      </c>
      <c r="K52" s="85">
        <f>K51*((TSIR!B38/TSIR!B37))</f>
        <v>3.5549999999999988</v>
      </c>
      <c r="L52" s="203">
        <f>L51*((TSIR!C38/TSIR!C37))</f>
        <v>4.8907692307692301</v>
      </c>
      <c r="M52" s="203">
        <f>M51*((TSIR!D38/TSIR!D37))</f>
        <v>7.5199999999999907</v>
      </c>
      <c r="N52" s="203">
        <f>N51*((TSIR!E38/TSIR!E37))</f>
        <v>7.9096412028386434</v>
      </c>
      <c r="O52" s="203">
        <f>O51*((TSIR!F38/TSIR!F37))</f>
        <v>8.2705263157894731</v>
      </c>
      <c r="P52" s="243">
        <f t="shared" si="3"/>
        <v>96.567041668678485</v>
      </c>
      <c r="Q52" s="204">
        <f t="shared" si="7"/>
        <v>106.99175223912246</v>
      </c>
      <c r="R52" s="202">
        <f t="shared" si="6"/>
        <v>92.250722191695914</v>
      </c>
      <c r="S52" s="200">
        <f t="shared" si="2"/>
        <v>401649343.74545693</v>
      </c>
      <c r="T52" s="70">
        <f t="shared" si="4"/>
        <v>-3.9979834052810137E-3</v>
      </c>
    </row>
    <row r="53" spans="10:20">
      <c r="J53" s="295" t="s">
        <v>83</v>
      </c>
      <c r="K53" s="85">
        <f>K52*((TSIR!B39/TSIR!B38))</f>
        <v>3.1599999999999993</v>
      </c>
      <c r="L53" s="203">
        <f>L52*((TSIR!C39/TSIR!C38))</f>
        <v>4.0276923076923072</v>
      </c>
      <c r="M53" s="203">
        <f>M52*((TSIR!D39/TSIR!D38))</f>
        <v>6.6352941176470495</v>
      </c>
      <c r="N53" s="203">
        <f>N52*((TSIR!E39/TSIR!E38))</f>
        <v>7.2219024236267302</v>
      </c>
      <c r="O53" s="203">
        <f>O52*((TSIR!F39/TSIR!F38))</f>
        <v>7.6578947368421035</v>
      </c>
      <c r="P53" s="243">
        <f t="shared" si="3"/>
        <v>96.936797208220227</v>
      </c>
      <c r="Q53" s="204">
        <f t="shared" si="7"/>
        <v>107.20335060908918</v>
      </c>
      <c r="R53" s="202">
        <f t="shared" si="6"/>
        <v>92.379858970643312</v>
      </c>
      <c r="S53" s="200">
        <f t="shared" si="2"/>
        <v>402588004.38537991</v>
      </c>
      <c r="T53" s="70">
        <f t="shared" si="4"/>
        <v>2.3370152461095195E-3</v>
      </c>
    </row>
    <row r="54" spans="10:20">
      <c r="J54" s="295" t="s">
        <v>84</v>
      </c>
      <c r="K54" s="85">
        <f>K53*((TSIR!B40/TSIR!B39))</f>
        <v>3.1599999999999993</v>
      </c>
      <c r="L54" s="203">
        <f>L53*((TSIR!C40/TSIR!C39))</f>
        <v>3.7399999999999993</v>
      </c>
      <c r="M54" s="203">
        <f>M53*((TSIR!D40/TSIR!D39))</f>
        <v>5.9717647058823458</v>
      </c>
      <c r="N54" s="203">
        <f>N53*((TSIR!E40/TSIR!E39))</f>
        <v>6.7412342129165879</v>
      </c>
      <c r="O54" s="203">
        <f>O53*((TSIR!F40/TSIR!F39))</f>
        <v>7.2494736842105247</v>
      </c>
      <c r="P54" s="243">
        <f t="shared" si="3"/>
        <v>96.936797208220227</v>
      </c>
      <c r="Q54" s="204">
        <f t="shared" si="7"/>
        <v>107.36588847194683</v>
      </c>
      <c r="R54" s="202">
        <f t="shared" si="6"/>
        <v>92.46782448414946</v>
      </c>
      <c r="S54" s="200">
        <f t="shared" si="2"/>
        <v>402696059.645118</v>
      </c>
      <c r="T54" s="70">
        <f t="shared" si="4"/>
        <v>2.6840158812735382E-4</v>
      </c>
    </row>
    <row r="55" spans="10:20">
      <c r="J55" s="295" t="s">
        <v>85</v>
      </c>
      <c r="K55" s="85">
        <f>K54*((TSIR!B41/TSIR!B40))</f>
        <v>3.1599999999999993</v>
      </c>
      <c r="L55" s="203">
        <f>L54*((TSIR!C41/TSIR!C40))</f>
        <v>3.7399999999999993</v>
      </c>
      <c r="M55" s="203">
        <f>M54*((TSIR!D41/TSIR!D40))</f>
        <v>5.75058823529411</v>
      </c>
      <c r="N55" s="203">
        <f>N54*((TSIR!E41/TSIR!E40))</f>
        <v>6.394248487460982</v>
      </c>
      <c r="O55" s="203">
        <f>O54*((TSIR!F41/TSIR!F40))</f>
        <v>6.8410526315789468</v>
      </c>
      <c r="P55" s="243">
        <f t="shared" si="3"/>
        <v>96.936797208220227</v>
      </c>
      <c r="Q55" s="204">
        <f t="shared" si="7"/>
        <v>107.42081731007224</v>
      </c>
      <c r="R55" s="202">
        <f t="shared" si="6"/>
        <v>92.557329220449404</v>
      </c>
      <c r="S55" s="200">
        <f t="shared" si="2"/>
        <v>402971685.3331297</v>
      </c>
      <c r="T55" s="70">
        <f t="shared" si="4"/>
        <v>6.8445091877622488E-4</v>
      </c>
    </row>
    <row r="56" spans="10:20">
      <c r="J56" s="295" t="s">
        <v>86</v>
      </c>
      <c r="K56" s="85">
        <f>K55*((TSIR!B42/TSIR!B41))</f>
        <v>3.1599999999999993</v>
      </c>
      <c r="L56" s="203">
        <f>L55*((TSIR!C42/TSIR!C41))</f>
        <v>4.0276923076923072</v>
      </c>
      <c r="M56" s="203">
        <f>M55*((TSIR!D42/TSIR!D41))</f>
        <v>6.4141176470588137</v>
      </c>
      <c r="N56" s="203">
        <f>N55*((TSIR!E42/TSIR!E41))</f>
        <v>7.0138907771365302</v>
      </c>
      <c r="O56" s="203">
        <f>O55*((TSIR!F42/TSIR!F41))</f>
        <v>7.4536842105263137</v>
      </c>
      <c r="P56" s="243">
        <f t="shared" si="3"/>
        <v>96.936797208220227</v>
      </c>
      <c r="Q56" s="204">
        <f t="shared" si="7"/>
        <v>107.2571586016885</v>
      </c>
      <c r="R56" s="202">
        <f t="shared" si="6"/>
        <v>92.423651483449603</v>
      </c>
      <c r="S56" s="200">
        <f t="shared" si="2"/>
        <v>402682462.4477061</v>
      </c>
      <c r="T56" s="70">
        <f t="shared" si="4"/>
        <v>-7.1772508081924258E-4</v>
      </c>
    </row>
    <row r="57" spans="10:20">
      <c r="J57" s="295" t="s">
        <v>87</v>
      </c>
      <c r="K57" s="85">
        <f>K56*((TSIR!B43/TSIR!B42))</f>
        <v>3.1599999999999993</v>
      </c>
      <c r="L57" s="203">
        <f>L56*((TSIR!C43/TSIR!C42))</f>
        <v>4.0276923076923072</v>
      </c>
      <c r="M57" s="203">
        <f>M56*((TSIR!D43/TSIR!D42))</f>
        <v>7.0776470588235201</v>
      </c>
      <c r="N57" s="203">
        <f>N56*((TSIR!E43/TSIR!E42))</f>
        <v>7.4981938488050393</v>
      </c>
      <c r="O57" s="203">
        <f>O56*((TSIR!F43/TSIR!F42))</f>
        <v>7.8621052631578925</v>
      </c>
      <c r="P57" s="243">
        <f t="shared" si="3"/>
        <v>96.936797208220227</v>
      </c>
      <c r="Q57" s="204">
        <f t="shared" si="7"/>
        <v>107.09683140765245</v>
      </c>
      <c r="R57" s="202">
        <f t="shared" si="6"/>
        <v>92.336442700531165</v>
      </c>
      <c r="S57" s="200">
        <f t="shared" si="2"/>
        <v>402574118.10708648</v>
      </c>
      <c r="T57" s="70">
        <f t="shared" si="4"/>
        <v>-2.6905651654418605E-4</v>
      </c>
    </row>
    <row r="58" spans="10:20">
      <c r="J58" s="295" t="s">
        <v>88</v>
      </c>
      <c r="K58" s="85">
        <f>K57*((TSIR!B44/TSIR!B43))</f>
        <v>3.1599999999999993</v>
      </c>
      <c r="L58" s="203">
        <f>L57*((TSIR!C44/TSIR!C43))</f>
        <v>4.0276923076923072</v>
      </c>
      <c r="M58" s="203">
        <f>M57*((TSIR!D44/TSIR!D43))</f>
        <v>7.0776470588235201</v>
      </c>
      <c r="N58" s="203">
        <f>N57*((TSIR!E44/TSIR!E43))</f>
        <v>7.6379144402698067</v>
      </c>
      <c r="O58" s="203">
        <f>O57*((TSIR!F44/TSIR!F43))</f>
        <v>8.0663157894736823</v>
      </c>
      <c r="P58" s="243">
        <f t="shared" si="3"/>
        <v>96.936797208220227</v>
      </c>
      <c r="Q58" s="204">
        <f t="shared" si="7"/>
        <v>107.09683140765245</v>
      </c>
      <c r="R58" s="202">
        <f t="shared" si="6"/>
        <v>92.293398484911876</v>
      </c>
      <c r="S58" s="200">
        <f t="shared" si="2"/>
        <v>402401941.2446093</v>
      </c>
      <c r="T58" s="70">
        <f t="shared" si="4"/>
        <v>-4.2768984575258795E-4</v>
      </c>
    </row>
    <row r="59" spans="10:20">
      <c r="J59" s="295" t="s">
        <v>89</v>
      </c>
      <c r="K59" s="85">
        <f>K58*((TSIR!B45/TSIR!B44))</f>
        <v>3.5549999999999993</v>
      </c>
      <c r="L59" s="203">
        <f>L58*((TSIR!C45/TSIR!C44))</f>
        <v>4.8907692307692301</v>
      </c>
      <c r="M59" s="203">
        <f>M58*((TSIR!D45/TSIR!D44))</f>
        <v>7.5199999999999898</v>
      </c>
      <c r="N59" s="203">
        <f>N58*((TSIR!E45/TSIR!E44))</f>
        <v>8.2539099022940512</v>
      </c>
      <c r="O59" s="203">
        <f>O58*((TSIR!F45/TSIR!F44))</f>
        <v>8.7810526315789463</v>
      </c>
      <c r="P59" s="243">
        <f t="shared" si="3"/>
        <v>96.567041668678485</v>
      </c>
      <c r="Q59" s="204">
        <f t="shared" si="7"/>
        <v>106.99175223912246</v>
      </c>
      <c r="R59" s="202">
        <f t="shared" si="6"/>
        <v>92.145614498482416</v>
      </c>
      <c r="S59" s="200">
        <f t="shared" si="2"/>
        <v>401228912.97260296</v>
      </c>
      <c r="T59" s="70">
        <f t="shared" si="4"/>
        <v>-2.9150661360584085E-3</v>
      </c>
    </row>
    <row r="60" spans="10:20">
      <c r="J60" s="295" t="s">
        <v>90</v>
      </c>
      <c r="K60" s="85">
        <f>K59*((TSIR!B46/TSIR!B45))</f>
        <v>3.9499999999999993</v>
      </c>
      <c r="L60" s="203">
        <f>L59*((TSIR!C46/TSIR!C45))</f>
        <v>4.8907692307692301</v>
      </c>
      <c r="M60" s="203">
        <f>M59*((TSIR!D46/TSIR!D45))</f>
        <v>7.7411764705882238</v>
      </c>
      <c r="N60" s="203">
        <f>N59*((TSIR!E46/TSIR!E45))</f>
        <v>8.1198544415125529</v>
      </c>
      <c r="O60" s="203">
        <f>O59*((TSIR!F46/TSIR!F45))</f>
        <v>8.474736842105262</v>
      </c>
      <c r="P60" s="243">
        <f t="shared" si="3"/>
        <v>96.200096200096198</v>
      </c>
      <c r="Q60" s="204">
        <f t="shared" si="7"/>
        <v>106.93974443112788</v>
      </c>
      <c r="R60" s="202">
        <f t="shared" si="6"/>
        <v>92.208409744034554</v>
      </c>
      <c r="S60" s="200">
        <f t="shared" si="2"/>
        <v>400824214.72963881</v>
      </c>
      <c r="T60" s="70">
        <f t="shared" si="4"/>
        <v>-1.0086467596909232E-3</v>
      </c>
    </row>
    <row r="61" spans="10:20">
      <c r="J61" s="295" t="s">
        <v>91</v>
      </c>
      <c r="K61" s="85">
        <f>K60*((TSIR!B47/TSIR!B46))</f>
        <v>3.1599999999999993</v>
      </c>
      <c r="L61" s="203">
        <f>L60*((TSIR!C47/TSIR!C46))</f>
        <v>4.6030769230769222</v>
      </c>
      <c r="M61" s="203">
        <f>M60*((TSIR!D47/TSIR!D46))</f>
        <v>7.0776470588235192</v>
      </c>
      <c r="N61" s="203">
        <f>N60*((TSIR!E47/TSIR!E46))</f>
        <v>7.7047386494165897</v>
      </c>
      <c r="O61" s="203">
        <f>O60*((TSIR!F47/TSIR!F46))</f>
        <v>8.1684210526315795</v>
      </c>
      <c r="P61" s="243">
        <f t="shared" si="3"/>
        <v>96.936797208220227</v>
      </c>
      <c r="Q61" s="204">
        <f t="shared" si="7"/>
        <v>107.09683140765246</v>
      </c>
      <c r="R61" s="202">
        <f t="shared" si="6"/>
        <v>92.27201460409114</v>
      </c>
      <c r="S61" s="200">
        <f t="shared" si="2"/>
        <v>402316405.72132635</v>
      </c>
      <c r="T61" s="70">
        <f t="shared" si="4"/>
        <v>3.7228064993379828E-3</v>
      </c>
    </row>
    <row r="62" spans="10:20">
      <c r="J62" s="295" t="s">
        <v>92</v>
      </c>
      <c r="K62" s="85">
        <f>K61*((TSIR!B48/TSIR!B47))</f>
        <v>3.1599999999999993</v>
      </c>
      <c r="L62" s="203">
        <f>L61*((TSIR!C48/TSIR!C47))</f>
        <v>4.0276923076923072</v>
      </c>
      <c r="M62" s="203">
        <f>M61*((TSIR!D48/TSIR!D47))</f>
        <v>6.8564705882352843</v>
      </c>
      <c r="N62" s="203">
        <f>N61*((TSIR!E48/TSIR!E47))</f>
        <v>7.4946964937328042</v>
      </c>
      <c r="O62" s="203">
        <f>O61*((TSIR!F48/TSIR!F47))</f>
        <v>7.9642105263157896</v>
      </c>
      <c r="P62" s="243">
        <f t="shared" si="3"/>
        <v>96.936797208220227</v>
      </c>
      <c r="Q62" s="204">
        <f t="shared" si="7"/>
        <v>107.14990933801934</v>
      </c>
      <c r="R62" s="202">
        <f t="shared" si="6"/>
        <v>92.314874345470358</v>
      </c>
      <c r="S62" s="200">
        <f t="shared" si="2"/>
        <v>402408227.79129285</v>
      </c>
      <c r="T62" s="70">
        <f t="shared" si="4"/>
        <v>2.2823347161771146E-4</v>
      </c>
    </row>
    <row r="63" spans="10:20">
      <c r="J63" s="295" t="s">
        <v>93</v>
      </c>
      <c r="K63" s="85">
        <f>K62*((TSIR!B49/TSIR!B48))</f>
        <v>3.5549999999999993</v>
      </c>
      <c r="L63" s="203">
        <f>L62*((TSIR!C49/TSIR!C48))</f>
        <v>4.0276923076923072</v>
      </c>
      <c r="M63" s="203">
        <f>M62*((TSIR!D49/TSIR!D48))</f>
        <v>7.5199999999999898</v>
      </c>
      <c r="N63" s="203">
        <f>N62*((TSIR!E49/TSIR!E48))</f>
        <v>8.1844439526461219</v>
      </c>
      <c r="O63" s="203">
        <f>O62*((TSIR!F49/TSIR!F48))</f>
        <v>8.6789473684210527</v>
      </c>
      <c r="P63" s="243">
        <f t="shared" si="3"/>
        <v>96.567041668678485</v>
      </c>
      <c r="Q63" s="204">
        <f t="shared" si="7"/>
        <v>106.99175223912246</v>
      </c>
      <c r="R63" s="202">
        <f t="shared" si="6"/>
        <v>92.166457119464354</v>
      </c>
      <c r="S63" s="200">
        <f t="shared" si="2"/>
        <v>401312283.45653069</v>
      </c>
      <c r="T63" s="70">
        <f t="shared" si="4"/>
        <v>-2.7234640324763637E-3</v>
      </c>
    </row>
    <row r="64" spans="10:20">
      <c r="J64" s="295" t="s">
        <v>94</v>
      </c>
      <c r="K64" s="85">
        <f>K63*((TSIR!B50/TSIR!B49))</f>
        <v>3.1599999999999997</v>
      </c>
      <c r="L64" s="203">
        <f>L63*((TSIR!C50/TSIR!C49))</f>
        <v>4.0276923076923072</v>
      </c>
      <c r="M64" s="203">
        <f>M63*((TSIR!D50/TSIR!D49))</f>
        <v>7.2988235294117549</v>
      </c>
      <c r="N64" s="203">
        <f>N63*((TSIR!E50/TSIR!E49))</f>
        <v>8.0463013086468482</v>
      </c>
      <c r="O64" s="203">
        <f>O63*((TSIR!F50/TSIR!F49))</f>
        <v>8.5768421052631592</v>
      </c>
      <c r="P64" s="243">
        <f t="shared" si="3"/>
        <v>96.936797208220227</v>
      </c>
      <c r="Q64" s="204">
        <f t="shared" si="7"/>
        <v>107.04411347594807</v>
      </c>
      <c r="R64" s="202">
        <f t="shared" si="6"/>
        <v>92.187388703165666</v>
      </c>
      <c r="S64" s="200">
        <f t="shared" si="2"/>
        <v>402056979.01518101</v>
      </c>
      <c r="T64" s="70">
        <f t="shared" si="4"/>
        <v>1.8556510462031106E-3</v>
      </c>
    </row>
    <row r="65" spans="10:20">
      <c r="J65" s="295" t="s">
        <v>95</v>
      </c>
      <c r="K65" s="85">
        <f>K64*((TSIR!B51/TSIR!B50))</f>
        <v>2.7650000000000001</v>
      </c>
      <c r="L65" s="203">
        <f>L64*((TSIR!C51/TSIR!C50))</f>
        <v>4.3153846153846152</v>
      </c>
      <c r="M65" s="203">
        <f>M64*((TSIR!D51/TSIR!D50))</f>
        <v>7.2988235294117549</v>
      </c>
      <c r="N65" s="203">
        <f>N64*((TSIR!E51/TSIR!E50))</f>
        <v>7.9772200485152691</v>
      </c>
      <c r="O65" s="203">
        <f>O64*((TSIR!F51/TSIR!F50))</f>
        <v>8.4747368421052656</v>
      </c>
      <c r="P65" s="243">
        <f t="shared" si="3"/>
        <v>97.309395222108705</v>
      </c>
      <c r="Q65" s="204">
        <f t="shared" si="7"/>
        <v>107.04411347594807</v>
      </c>
      <c r="R65" s="202">
        <f t="shared" si="6"/>
        <v>92.20840974403454</v>
      </c>
      <c r="S65" s="200">
        <f t="shared" si="2"/>
        <v>402886259.20643348</v>
      </c>
      <c r="T65" s="70">
        <f t="shared" si="4"/>
        <v>2.062593698245907E-3</v>
      </c>
    </row>
    <row r="66" spans="10:20">
      <c r="J66" s="295" t="s">
        <v>96</v>
      </c>
      <c r="K66" s="85">
        <f>K65*((TSIR!B52/TSIR!B51))</f>
        <v>2.7650000000000001</v>
      </c>
      <c r="L66" s="203">
        <f>L65*((TSIR!C52/TSIR!C51))</f>
        <v>3.7399999999999998</v>
      </c>
      <c r="M66" s="203">
        <f>M65*((TSIR!D52/TSIR!D51))</f>
        <v>6.4141176470588137</v>
      </c>
      <c r="N66" s="203">
        <f>N65*((TSIR!E52/TSIR!E51))</f>
        <v>7.4954239497583748</v>
      </c>
      <c r="O66" s="203">
        <f>O65*((TSIR!F52/TSIR!F51))</f>
        <v>8.168421052631583</v>
      </c>
      <c r="P66" s="243">
        <f t="shared" si="3"/>
        <v>97.309395222108705</v>
      </c>
      <c r="Q66" s="204">
        <f t="shared" si="7"/>
        <v>107.2571586016885</v>
      </c>
      <c r="R66" s="202">
        <f t="shared" si="6"/>
        <v>92.27201460409114</v>
      </c>
      <c r="S66" s="200">
        <f t="shared" si="2"/>
        <v>402821110.95804918</v>
      </c>
      <c r="T66" s="70">
        <f t="shared" si="4"/>
        <v>-1.6170382309044218E-4</v>
      </c>
    </row>
    <row r="67" spans="10:20">
      <c r="J67" s="295" t="s">
        <v>97</v>
      </c>
      <c r="K67" s="85">
        <f>K66*((TSIR!B53/TSIR!B52))</f>
        <v>3.16</v>
      </c>
      <c r="L67" s="203">
        <f>L66*((TSIR!C53/TSIR!C52))</f>
        <v>4.6030769230769231</v>
      </c>
      <c r="M67" s="203">
        <f>M66*((TSIR!D53/TSIR!D52))</f>
        <v>7.2988235294117541</v>
      </c>
      <c r="N67" s="203">
        <f>N66*((TSIR!E53/TSIR!E52))</f>
        <v>8.1881328282916233</v>
      </c>
      <c r="O67" s="203">
        <f>O66*((TSIR!F53/TSIR!F52))</f>
        <v>8.7810526315789517</v>
      </c>
      <c r="P67" s="243">
        <f t="shared" si="3"/>
        <v>96.936797208220227</v>
      </c>
      <c r="Q67" s="204">
        <f t="shared" si="7"/>
        <v>107.04411347594807</v>
      </c>
      <c r="R67" s="202">
        <f t="shared" si="6"/>
        <v>92.145614498482416</v>
      </c>
      <c r="S67" s="200">
        <f t="shared" si="2"/>
        <v>401889882.19644803</v>
      </c>
      <c r="T67" s="70">
        <f t="shared" si="4"/>
        <v>-2.3117675222790179E-3</v>
      </c>
    </row>
    <row r="68" spans="10:20">
      <c r="J68" s="295" t="s">
        <v>98</v>
      </c>
      <c r="K68" s="85">
        <f>K67*((TSIR!B54/TSIR!B53))</f>
        <v>2.7650000000000006</v>
      </c>
      <c r="L68" s="203">
        <f>L67*((TSIR!C54/TSIR!C53))</f>
        <v>4.6030769230769231</v>
      </c>
      <c r="M68" s="203">
        <f>M67*((TSIR!D54/TSIR!D53))</f>
        <v>7.2988235294117541</v>
      </c>
      <c r="N68" s="203">
        <f>N67*((TSIR!E54/TSIR!E53))</f>
        <v>8.4628135021594986</v>
      </c>
      <c r="O68" s="203">
        <f>O67*((TSIR!F54/TSIR!F53))</f>
        <v>9.1894736842105313</v>
      </c>
      <c r="P68" s="243">
        <f t="shared" si="3"/>
        <v>97.309395222108705</v>
      </c>
      <c r="Q68" s="204">
        <f t="shared" si="7"/>
        <v>107.04411347594807</v>
      </c>
      <c r="R68" s="202">
        <f t="shared" si="6"/>
        <v>92.063123867570837</v>
      </c>
      <c r="S68" s="200">
        <f t="shared" si="2"/>
        <v>402305115.70057863</v>
      </c>
      <c r="T68" s="70">
        <f t="shared" si="4"/>
        <v>1.0332021842929251E-3</v>
      </c>
    </row>
    <row r="69" spans="10:20">
      <c r="J69" s="295" t="s">
        <v>99</v>
      </c>
      <c r="K69" s="85">
        <f>K68*((TSIR!B55/TSIR!B54))</f>
        <v>2.37</v>
      </c>
      <c r="L69" s="203">
        <f>L68*((TSIR!C55/TSIR!C54))</f>
        <v>4.3153846153846152</v>
      </c>
      <c r="M69" s="203">
        <f>M68*((TSIR!D55/TSIR!D54))</f>
        <v>7.0776470588235192</v>
      </c>
      <c r="N69" s="203">
        <f>N68*((TSIR!E55/TSIR!E54))</f>
        <v>8.1821388611769539</v>
      </c>
      <c r="O69" s="203">
        <f>O68*((TSIR!F55/TSIR!F54))</f>
        <v>8.883157894736847</v>
      </c>
      <c r="P69" s="243">
        <f t="shared" si="3"/>
        <v>97.684868613851705</v>
      </c>
      <c r="Q69" s="204">
        <f t="shared" si="7"/>
        <v>107.09683140765246</v>
      </c>
      <c r="R69" s="202">
        <f t="shared" si="6"/>
        <v>92.124860349066537</v>
      </c>
      <c r="S69" s="200">
        <f t="shared" si="2"/>
        <v>403223931.51249087</v>
      </c>
      <c r="T69" s="70">
        <f t="shared" si="4"/>
        <v>2.2838780220635346E-3</v>
      </c>
    </row>
    <row r="70" spans="10:20">
      <c r="J70" s="295" t="s">
        <v>100</v>
      </c>
      <c r="K70" s="85">
        <f>K69*((TSIR!B56/TSIR!B55))</f>
        <v>3.1600000000000006</v>
      </c>
      <c r="L70" s="203">
        <f>L69*((TSIR!C56/TSIR!C55))</f>
        <v>4.3153846153846152</v>
      </c>
      <c r="M70" s="203">
        <f>M69*((TSIR!D56/TSIR!D55))</f>
        <v>6.8564705882352843</v>
      </c>
      <c r="N70" s="203">
        <f>N69*((TSIR!E56/TSIR!E55))</f>
        <v>7.841608999910644</v>
      </c>
      <c r="O70" s="203">
        <f>O69*((TSIR!F56/TSIR!F55))</f>
        <v>8.4747368421052673</v>
      </c>
      <c r="P70" s="243">
        <f t="shared" si="3"/>
        <v>96.936797208220227</v>
      </c>
      <c r="Q70" s="204">
        <f t="shared" si="7"/>
        <v>107.14990933801934</v>
      </c>
      <c r="R70" s="202">
        <f t="shared" si="6"/>
        <v>92.20840974403454</v>
      </c>
      <c r="S70" s="200">
        <f t="shared" si="2"/>
        <v>401982369.3855496</v>
      </c>
      <c r="T70" s="70">
        <f t="shared" si="4"/>
        <v>-3.0790883921104628E-3</v>
      </c>
    </row>
    <row r="71" spans="10:20">
      <c r="J71" s="295" t="s">
        <v>101</v>
      </c>
      <c r="K71" s="85">
        <f>K70*((TSIR!B57/TSIR!B56))</f>
        <v>2.765000000000001</v>
      </c>
      <c r="L71" s="203">
        <f>L70*((TSIR!C57/TSIR!C56))</f>
        <v>4.0276923076923081</v>
      </c>
      <c r="M71" s="203">
        <f>M70*((TSIR!D57/TSIR!D56))</f>
        <v>6.8564705882352843</v>
      </c>
      <c r="N71" s="203">
        <f>N70*((TSIR!E57/TSIR!E56))</f>
        <v>7.8430918129129239</v>
      </c>
      <c r="O71" s="203">
        <f>O70*((TSIR!F57/TSIR!F56))</f>
        <v>8.4747368421052673</v>
      </c>
      <c r="P71" s="243">
        <f t="shared" si="3"/>
        <v>97.309395222108705</v>
      </c>
      <c r="Q71" s="204">
        <f t="shared" si="7"/>
        <v>107.14990933801934</v>
      </c>
      <c r="R71" s="202">
        <f t="shared" si="6"/>
        <v>92.20840974403454</v>
      </c>
      <c r="S71" s="200">
        <f t="shared" si="2"/>
        <v>402727565.41332656</v>
      </c>
      <c r="T71" s="70">
        <f t="shared" si="4"/>
        <v>1.8538027648227207E-3</v>
      </c>
    </row>
    <row r="72" spans="10:20">
      <c r="J72" s="295" t="s">
        <v>102</v>
      </c>
      <c r="K72" s="85">
        <f>K71*((TSIR!B58/TSIR!B57))</f>
        <v>2.765000000000001</v>
      </c>
      <c r="L72" s="203">
        <f>L71*((TSIR!C58/TSIR!C57))</f>
        <v>4.0276923076923081</v>
      </c>
      <c r="M72" s="203">
        <f>M71*((TSIR!D58/TSIR!D57))</f>
        <v>6.6352941176470486</v>
      </c>
      <c r="N72" s="203">
        <f>N71*((TSIR!E58/TSIR!E57))</f>
        <v>7.707040851271155</v>
      </c>
      <c r="O72" s="203">
        <f>O71*((TSIR!F58/TSIR!F57))</f>
        <v>8.372631578947372</v>
      </c>
      <c r="P72" s="243">
        <f t="shared" si="3"/>
        <v>97.309395222108705</v>
      </c>
      <c r="Q72" s="204">
        <f t="shared" si="7"/>
        <v>107.20335060908918</v>
      </c>
      <c r="R72" s="202">
        <f t="shared" si="6"/>
        <v>92.2295207398396</v>
      </c>
      <c r="S72" s="200">
        <f t="shared" si="2"/>
        <v>402731847.48994207</v>
      </c>
      <c r="T72" s="70">
        <f t="shared" si="4"/>
        <v>1.0632688157707904E-5</v>
      </c>
    </row>
    <row r="73" spans="10:20">
      <c r="J73" s="295" t="s">
        <v>103</v>
      </c>
      <c r="K73" s="85">
        <f>K72*((TSIR!B59/TSIR!B58))</f>
        <v>2.3700000000000006</v>
      </c>
      <c r="L73" s="203">
        <f>L72*((TSIR!C59/TSIR!C58))</f>
        <v>4.0276923076923081</v>
      </c>
      <c r="M73" s="203">
        <f>M72*((TSIR!D59/TSIR!D58))</f>
        <v>6.8564705882352843</v>
      </c>
      <c r="N73" s="203">
        <f>N72*((TSIR!E59/TSIR!E58))</f>
        <v>7.9759504500308136</v>
      </c>
      <c r="O73" s="203">
        <f>O72*((TSIR!F59/TSIR!F58))</f>
        <v>8.6789473684210563</v>
      </c>
      <c r="P73" s="243">
        <f t="shared" si="3"/>
        <v>97.684868613851705</v>
      </c>
      <c r="Q73" s="204">
        <f t="shared" si="7"/>
        <v>107.14990933801934</v>
      </c>
      <c r="R73" s="202">
        <f t="shared" si="6"/>
        <v>92.16645711946434</v>
      </c>
      <c r="S73" s="200">
        <f t="shared" si="2"/>
        <v>403310701.69853175</v>
      </c>
      <c r="T73" s="70">
        <f t="shared" si="4"/>
        <v>1.4373191794923024E-3</v>
      </c>
    </row>
    <row r="74" spans="10:20">
      <c r="J74" s="295" t="s">
        <v>104</v>
      </c>
      <c r="K74" s="85">
        <f>K73*((TSIR!B60/TSIR!B59))</f>
        <v>2.3700000000000006</v>
      </c>
      <c r="L74" s="203">
        <f>L73*((TSIR!C60/TSIR!C59))</f>
        <v>4.0276923076923081</v>
      </c>
      <c r="M74" s="203">
        <f>M73*((TSIR!D60/TSIR!D59))</f>
        <v>7.0776470588235192</v>
      </c>
      <c r="N74" s="203">
        <f>N73*((TSIR!E60/TSIR!E59))</f>
        <v>8.3261627897152817</v>
      </c>
      <c r="O74" s="203">
        <f>O73*((TSIR!F60/TSIR!F59))</f>
        <v>9.087368421052636</v>
      </c>
      <c r="P74" s="243">
        <f t="shared" si="3"/>
        <v>97.684868613851705</v>
      </c>
      <c r="Q74" s="204">
        <f t="shared" si="7"/>
        <v>107.09683140765246</v>
      </c>
      <c r="R74" s="202">
        <f t="shared" si="6"/>
        <v>92.083615516641117</v>
      </c>
      <c r="S74" s="200">
        <f t="shared" si="2"/>
        <v>403058952.18278921</v>
      </c>
      <c r="T74" s="70">
        <f t="shared" si="4"/>
        <v>-6.2420737828750017E-4</v>
      </c>
    </row>
    <row r="75" spans="10:20">
      <c r="J75" s="295" t="s">
        <v>105</v>
      </c>
      <c r="K75" s="85">
        <f>K74*((TSIR!B61/TSIR!B60))</f>
        <v>2.3700000000000006</v>
      </c>
      <c r="L75" s="203">
        <f>L74*((TSIR!C61/TSIR!C60))</f>
        <v>4.6030769230769231</v>
      </c>
      <c r="M75" s="203">
        <f>M74*((TSIR!D61/TSIR!D60))</f>
        <v>7.2988235294117541</v>
      </c>
      <c r="N75" s="203">
        <f>N74*((TSIR!E61/TSIR!E60))</f>
        <v>8.4597074568108255</v>
      </c>
      <c r="O75" s="203">
        <f>O74*((TSIR!F61/TSIR!F60))</f>
        <v>9.1894736842105313</v>
      </c>
      <c r="P75" s="243">
        <f t="shared" si="3"/>
        <v>97.684868613851705</v>
      </c>
      <c r="Q75" s="204">
        <f t="shared" si="7"/>
        <v>107.04411347594807</v>
      </c>
      <c r="R75" s="202">
        <f t="shared" si="6"/>
        <v>92.063123867570837</v>
      </c>
      <c r="S75" s="200">
        <f t="shared" si="2"/>
        <v>403056062.48406464</v>
      </c>
      <c r="T75" s="70">
        <f t="shared" si="4"/>
        <v>-7.1694195326044152E-6</v>
      </c>
    </row>
    <row r="76" spans="10:20">
      <c r="J76" s="295" t="s">
        <v>106</v>
      </c>
      <c r="K76" s="85">
        <f>K75*((TSIR!B62/TSIR!B61))</f>
        <v>2.765000000000001</v>
      </c>
      <c r="L76" s="203">
        <f>L75*((TSIR!C62/TSIR!C61))</f>
        <v>4.6030769230769231</v>
      </c>
      <c r="M76" s="203">
        <f>M75*((TSIR!D62/TSIR!D61))</f>
        <v>7.7411764705882238</v>
      </c>
      <c r="N76" s="203">
        <f>N75*((TSIR!E62/TSIR!E61))</f>
        <v>8.7368861301447946</v>
      </c>
      <c r="O76" s="203">
        <f>O75*((TSIR!F62/TSIR!F61))</f>
        <v>9.3936842105263203</v>
      </c>
      <c r="P76" s="243">
        <f t="shared" si="3"/>
        <v>97.309395222108705</v>
      </c>
      <c r="Q76" s="204">
        <f t="shared" si="7"/>
        <v>106.93974443112788</v>
      </c>
      <c r="R76" s="202">
        <f t="shared" si="6"/>
        <v>92.022399712557743</v>
      </c>
      <c r="S76" s="200">
        <f t="shared" si="2"/>
        <v>402298772.64775658</v>
      </c>
      <c r="T76" s="70">
        <f t="shared" si="4"/>
        <v>-1.8788697325151649E-3</v>
      </c>
    </row>
    <row r="77" spans="10:20">
      <c r="J77" s="295" t="s">
        <v>107</v>
      </c>
      <c r="K77" s="85">
        <f>K76*((TSIR!B63/TSIR!B62))</f>
        <v>2.3700000000000006</v>
      </c>
      <c r="L77" s="203">
        <f>L76*((TSIR!C63/TSIR!C62))</f>
        <v>4.890769230769231</v>
      </c>
      <c r="M77" s="203">
        <f>M76*((TSIR!D63/TSIR!D62))</f>
        <v>7.7411764705882238</v>
      </c>
      <c r="N77" s="203">
        <f>N76*((TSIR!E63/TSIR!E62))</f>
        <v>8.599715114674618</v>
      </c>
      <c r="O77" s="203">
        <f>O76*((TSIR!F63/TSIR!F62))</f>
        <v>9.1894736842105313</v>
      </c>
      <c r="P77" s="243">
        <f t="shared" si="3"/>
        <v>97.684868613851705</v>
      </c>
      <c r="Q77" s="204">
        <f t="shared" si="7"/>
        <v>106.93974443112788</v>
      </c>
      <c r="R77" s="202">
        <f t="shared" si="6"/>
        <v>92.063123867570837</v>
      </c>
      <c r="S77" s="200">
        <f t="shared" si="2"/>
        <v>403212616.05129492</v>
      </c>
      <c r="T77" s="70">
        <f t="shared" si="4"/>
        <v>2.2715540430904291E-3</v>
      </c>
    </row>
    <row r="78" spans="10:20">
      <c r="J78" s="295" t="s">
        <v>108</v>
      </c>
      <c r="K78" s="85">
        <f>K77*((TSIR!B64/TSIR!B63))</f>
        <v>2.765000000000001</v>
      </c>
      <c r="L78" s="203">
        <f>L77*((TSIR!C64/TSIR!C63))</f>
        <v>5.4661538461538468</v>
      </c>
      <c r="M78" s="203">
        <f>M77*((TSIR!D64/TSIR!D63))</f>
        <v>8.6258823529411632</v>
      </c>
      <c r="N78" s="203">
        <f>N77*((TSIR!E64/TSIR!E63))</f>
        <v>9.3513489144320161</v>
      </c>
      <c r="O78" s="203">
        <f>O77*((TSIR!F64/TSIR!F63))</f>
        <v>9.9042105263157936</v>
      </c>
      <c r="P78" s="243">
        <f t="shared" si="3"/>
        <v>97.309395222108705</v>
      </c>
      <c r="Q78" s="204">
        <f t="shared" si="7"/>
        <v>106.73518345877127</v>
      </c>
      <c r="R78" s="202">
        <f t="shared" si="6"/>
        <v>91.922079042770534</v>
      </c>
      <c r="S78" s="200">
        <f t="shared" si="2"/>
        <v>402204331.42714262</v>
      </c>
      <c r="T78" s="70">
        <f t="shared" si="4"/>
        <v>-2.5006276689121254E-3</v>
      </c>
    </row>
    <row r="79" spans="10:20">
      <c r="J79" s="295" t="s">
        <v>109</v>
      </c>
      <c r="K79" s="85">
        <f>K78*((TSIR!B65/TSIR!B64))</f>
        <v>2.3700000000000006</v>
      </c>
      <c r="L79" s="203">
        <f>L78*((TSIR!C65/TSIR!C64))</f>
        <v>4.890769230769231</v>
      </c>
      <c r="M79" s="203">
        <f>M78*((TSIR!D65/TSIR!D64))</f>
        <v>8.1835294117646935</v>
      </c>
      <c r="N79" s="203">
        <f>N78*((TSIR!E65/TSIR!E64))</f>
        <v>9.0120752308754746</v>
      </c>
      <c r="O79" s="203">
        <f>O78*((TSIR!F65/TSIR!F64))</f>
        <v>9.5978947368421093</v>
      </c>
      <c r="P79" s="243">
        <f t="shared" si="3"/>
        <v>97.684868613851705</v>
      </c>
      <c r="Q79" s="204">
        <f t="shared" si="7"/>
        <v>106.83677622305157</v>
      </c>
      <c r="R79" s="202">
        <f t="shared" si="6"/>
        <v>91.982017930371001</v>
      </c>
      <c r="S79" s="200">
        <f t="shared" si="2"/>
        <v>403042644.61461008</v>
      </c>
      <c r="T79" s="70">
        <f t="shared" si="4"/>
        <v>2.0842967665037904E-3</v>
      </c>
    </row>
    <row r="80" spans="10:20">
      <c r="J80" s="295" t="s">
        <v>110</v>
      </c>
      <c r="K80" s="85">
        <f>K79*((TSIR!B66/TSIR!B65))</f>
        <v>2.3700000000000006</v>
      </c>
      <c r="L80" s="203">
        <f>L79*((TSIR!C66/TSIR!C65))</f>
        <v>4.6030769230769231</v>
      </c>
      <c r="M80" s="203">
        <f>M79*((TSIR!D66/TSIR!D65))</f>
        <v>7.7411764705882238</v>
      </c>
      <c r="N80" s="203">
        <f>N79*((TSIR!E66/TSIR!E65))</f>
        <v>8.4598550510955111</v>
      </c>
      <c r="O80" s="203">
        <f>O79*((TSIR!F66/TSIR!F65))</f>
        <v>8.9852631578947406</v>
      </c>
      <c r="P80" s="243">
        <f t="shared" si="3"/>
        <v>97.684868613851705</v>
      </c>
      <c r="Q80" s="204">
        <f t="shared" si="7"/>
        <v>106.93974443112788</v>
      </c>
      <c r="R80" s="202">
        <f t="shared" si="6"/>
        <v>92.104194183332737</v>
      </c>
      <c r="S80" s="200">
        <f t="shared" si="2"/>
        <v>403376897.31434256</v>
      </c>
      <c r="T80" s="70">
        <f t="shared" si="4"/>
        <v>8.2932340832586604E-4</v>
      </c>
    </row>
    <row r="81" spans="10:20">
      <c r="J81" s="295" t="s">
        <v>111</v>
      </c>
      <c r="K81" s="85">
        <f>K80*((TSIR!B67/TSIR!B66))</f>
        <v>2.3700000000000006</v>
      </c>
      <c r="L81" s="203">
        <f>L80*((TSIR!C67/TSIR!C66))</f>
        <v>4.6030769230769231</v>
      </c>
      <c r="M81" s="203">
        <f>M80*((TSIR!D67/TSIR!D66))</f>
        <v>7.5199999999999898</v>
      </c>
      <c r="N81" s="203">
        <f>N80*((TSIR!E67/TSIR!E66))</f>
        <v>8.3250916599220712</v>
      </c>
      <c r="O81" s="203">
        <f>O80*((TSIR!F67/TSIR!F66))</f>
        <v>8.8831578947368453</v>
      </c>
      <c r="P81" s="243">
        <f t="shared" si="3"/>
        <v>97.684868613851705</v>
      </c>
      <c r="Q81" s="204">
        <f t="shared" si="7"/>
        <v>106.99175223912246</v>
      </c>
      <c r="R81" s="202">
        <f t="shared" si="6"/>
        <v>92.124860349066537</v>
      </c>
      <c r="S81" s="200">
        <f t="shared" si="2"/>
        <v>403381550.26528585</v>
      </c>
      <c r="T81" s="70">
        <f t="shared" si="4"/>
        <v>1.1534996114725971E-5</v>
      </c>
    </row>
    <row r="82" spans="10:20">
      <c r="J82" s="295" t="s">
        <v>112</v>
      </c>
      <c r="K82" s="85">
        <f>K81*((TSIR!B68/TSIR!B67))</f>
        <v>1.9750000000000005</v>
      </c>
      <c r="L82" s="203">
        <f>L81*((TSIR!C68/TSIR!C67))</f>
        <v>4.0276923076923081</v>
      </c>
      <c r="M82" s="203">
        <f>M81*((TSIR!D68/TSIR!D67))</f>
        <v>7.2988235294117549</v>
      </c>
      <c r="N82" s="203">
        <f>N81*((TSIR!E68/TSIR!E67))</f>
        <v>8.1179348647377783</v>
      </c>
      <c r="O82" s="203">
        <f>O81*((TSIR!F68/TSIR!F67))</f>
        <v>8.6789473684210563</v>
      </c>
      <c r="P82" s="243">
        <f t="shared" si="3"/>
        <v>98.063250796763924</v>
      </c>
      <c r="Q82" s="204">
        <f t="shared" si="7"/>
        <v>107.04411347594807</v>
      </c>
      <c r="R82" s="202">
        <f t="shared" si="6"/>
        <v>92.16645711946434</v>
      </c>
      <c r="S82" s="200">
        <f t="shared" ref="S82:S145" si="11">P82*$C$10+Q82*$C$11+R82*$C$12</f>
        <v>404226159.85746312</v>
      </c>
      <c r="T82" s="70">
        <f t="shared" si="4"/>
        <v>2.0938230606277752E-3</v>
      </c>
    </row>
    <row r="83" spans="10:20">
      <c r="J83" s="295" t="s">
        <v>113</v>
      </c>
      <c r="K83" s="85">
        <f>K82*((TSIR!B69/TSIR!B68))</f>
        <v>2.3700000000000006</v>
      </c>
      <c r="L83" s="203">
        <f>L82*((TSIR!C69/TSIR!C68))</f>
        <v>4.6030769230769231</v>
      </c>
      <c r="M83" s="203">
        <f>M82*((TSIR!D69/TSIR!D68))</f>
        <v>7.7411764705882247</v>
      </c>
      <c r="N83" s="203">
        <f>N82*((TSIR!E69/TSIR!E68))</f>
        <v>8.392961706238788</v>
      </c>
      <c r="O83" s="203">
        <f>O82*((TSIR!F69/TSIR!F68))</f>
        <v>8.8831578947368453</v>
      </c>
      <c r="P83" s="243">
        <f t="shared" ref="P83:P146" si="12">100/(1+(K83/100))</f>
        <v>97.684868613851705</v>
      </c>
      <c r="Q83" s="204">
        <f t="shared" si="7"/>
        <v>106.93974443112788</v>
      </c>
      <c r="R83" s="202">
        <f t="shared" si="6"/>
        <v>92.124860349066537</v>
      </c>
      <c r="S83" s="200">
        <f t="shared" si="11"/>
        <v>403459561.97727776</v>
      </c>
      <c r="T83" s="70">
        <f t="shared" ref="T83:T146" si="13">(S83/S82)-1</f>
        <v>-1.8964578652100883E-3</v>
      </c>
    </row>
    <row r="84" spans="10:20">
      <c r="J84" s="295" t="s">
        <v>114</v>
      </c>
      <c r="K84" s="85">
        <f>K83*((TSIR!B70/TSIR!B69))</f>
        <v>2.3700000000000006</v>
      </c>
      <c r="L84" s="203">
        <f>L83*((TSIR!C70/TSIR!C69))</f>
        <v>5.1784615384615389</v>
      </c>
      <c r="M84" s="203">
        <f>M83*((TSIR!D70/TSIR!D69))</f>
        <v>8.4047058823529301</v>
      </c>
      <c r="N84" s="203">
        <f>N83*((TSIR!E70/TSIR!E69))</f>
        <v>8.733549838617213</v>
      </c>
      <c r="O84" s="203">
        <f>O83*((TSIR!F70/TSIR!F69))</f>
        <v>9.0873684210526342</v>
      </c>
      <c r="P84" s="243">
        <f t="shared" si="12"/>
        <v>97.684868613851705</v>
      </c>
      <c r="Q84" s="204">
        <f t="shared" ref="Q84:Q147" si="14">$F$6*((1-(1+M84/100)^(-$D$6))/(M84/100))+($F$6+100)/(1+$M$17/100)^$D$6</f>
        <v>106.78580947497932</v>
      </c>
      <c r="R84" s="202">
        <f t="shared" ref="R84:R147" si="15">$F$7*((1-(1+O84/100)^(-$D$7))/(O84/100))+($F$7+100)/(1+$O$17/100)^$D$7</f>
        <v>92.083615516641117</v>
      </c>
      <c r="S84" s="200">
        <f t="shared" si="11"/>
        <v>403525485.08179891</v>
      </c>
      <c r="T84" s="70">
        <f t="shared" si="13"/>
        <v>1.6339457713709926E-4</v>
      </c>
    </row>
    <row r="85" spans="10:20">
      <c r="J85" s="295" t="s">
        <v>115</v>
      </c>
      <c r="K85" s="85">
        <f>K84*((TSIR!B71/TSIR!B70))</f>
        <v>2.3700000000000006</v>
      </c>
      <c r="L85" s="203">
        <f>L84*((TSIR!C71/TSIR!C70))</f>
        <v>4.603076923076924</v>
      </c>
      <c r="M85" s="203">
        <f>M84*((TSIR!D71/TSIR!D70))</f>
        <v>7.7411764705882247</v>
      </c>
      <c r="N85" s="203">
        <f>N84*((TSIR!E71/TSIR!E70))</f>
        <v>8.2528698988728522</v>
      </c>
      <c r="O85" s="203">
        <f>O84*((TSIR!F71/TSIR!F70))</f>
        <v>8.6789473684210545</v>
      </c>
      <c r="P85" s="243">
        <f t="shared" si="12"/>
        <v>97.684868613851705</v>
      </c>
      <c r="Q85" s="204">
        <f t="shared" si="14"/>
        <v>106.93974443112788</v>
      </c>
      <c r="R85" s="202">
        <f t="shared" si="15"/>
        <v>92.166457119464354</v>
      </c>
      <c r="S85" s="200">
        <f t="shared" si="11"/>
        <v>403625949.058869</v>
      </c>
      <c r="T85" s="70">
        <f t="shared" si="13"/>
        <v>2.4896563112908332E-4</v>
      </c>
    </row>
    <row r="86" spans="10:20">
      <c r="J86" s="295" t="s">
        <v>116</v>
      </c>
      <c r="K86" s="85">
        <f>K85*((TSIR!B72/TSIR!B71))</f>
        <v>2.3700000000000006</v>
      </c>
      <c r="L86" s="203">
        <f>L85*((TSIR!C72/TSIR!C71))</f>
        <v>4.603076923076924</v>
      </c>
      <c r="M86" s="203">
        <f>M85*((TSIR!D72/TSIR!D71))</f>
        <v>7.7411764705882247</v>
      </c>
      <c r="N86" s="203">
        <f>N85*((TSIR!E72/TSIR!E71))</f>
        <v>8.3895574540486422</v>
      </c>
      <c r="O86" s="203">
        <f>O85*((TSIR!F72/TSIR!F71))</f>
        <v>8.8831578947368435</v>
      </c>
      <c r="P86" s="243">
        <f t="shared" si="12"/>
        <v>97.684868613851705</v>
      </c>
      <c r="Q86" s="204">
        <f t="shared" si="14"/>
        <v>106.93974443112788</v>
      </c>
      <c r="R86" s="202">
        <f t="shared" si="15"/>
        <v>92.124860349066537</v>
      </c>
      <c r="S86" s="200">
        <f t="shared" si="11"/>
        <v>403459561.97727776</v>
      </c>
      <c r="T86" s="70">
        <f t="shared" si="13"/>
        <v>-4.1223088351782788E-4</v>
      </c>
    </row>
    <row r="87" spans="10:20">
      <c r="J87" s="295" t="s">
        <v>117</v>
      </c>
      <c r="K87" s="85">
        <f>K86*((TSIR!B73/TSIR!B72))</f>
        <v>2.3700000000000006</v>
      </c>
      <c r="L87" s="203">
        <f>L86*((TSIR!C73/TSIR!C72))</f>
        <v>4.603076923076924</v>
      </c>
      <c r="M87" s="203">
        <f>M86*((TSIR!D73/TSIR!D72))</f>
        <v>7.0776470588235201</v>
      </c>
      <c r="N87" s="203">
        <f>N86*((TSIR!E73/TSIR!E72))</f>
        <v>7.7718902187738941</v>
      </c>
      <c r="O87" s="203">
        <f>O86*((TSIR!F73/TSIR!F72))</f>
        <v>8.2705263157894748</v>
      </c>
      <c r="P87" s="243">
        <f t="shared" si="12"/>
        <v>97.684868613851705</v>
      </c>
      <c r="Q87" s="204">
        <f t="shared" si="14"/>
        <v>107.09683140765245</v>
      </c>
      <c r="R87" s="202">
        <f t="shared" si="15"/>
        <v>92.250722191695914</v>
      </c>
      <c r="S87" s="200">
        <f t="shared" si="11"/>
        <v>403727378.88300842</v>
      </c>
      <c r="T87" s="70">
        <f t="shared" si="13"/>
        <v>6.6380111161112865E-4</v>
      </c>
    </row>
    <row r="88" spans="10:20">
      <c r="J88" s="295" t="s">
        <v>118</v>
      </c>
      <c r="K88" s="85">
        <f>K87*((TSIR!B74/TSIR!B73))</f>
        <v>2.3700000000000006</v>
      </c>
      <c r="L88" s="203">
        <f>L87*((TSIR!C74/TSIR!C73))</f>
        <v>4.603076923076924</v>
      </c>
      <c r="M88" s="203">
        <f>M87*((TSIR!D74/TSIR!D73))</f>
        <v>7.5199999999999898</v>
      </c>
      <c r="N88" s="203">
        <f>N87*((TSIR!E74/TSIR!E73))</f>
        <v>8.1188922175369385</v>
      </c>
      <c r="O88" s="203">
        <f>O87*((TSIR!F74/TSIR!F73))</f>
        <v>8.5768421052631592</v>
      </c>
      <c r="P88" s="243">
        <f t="shared" si="12"/>
        <v>97.684868613851705</v>
      </c>
      <c r="Q88" s="204">
        <f t="shared" si="14"/>
        <v>106.99175223912246</v>
      </c>
      <c r="R88" s="202">
        <f t="shared" si="15"/>
        <v>92.187388703165666</v>
      </c>
      <c r="S88" s="200">
        <f t="shared" si="11"/>
        <v>403631663.68168235</v>
      </c>
      <c r="T88" s="70">
        <f t="shared" si="13"/>
        <v>-2.370787970606969E-4</v>
      </c>
    </row>
    <row r="89" spans="10:20">
      <c r="J89" s="295" t="s">
        <v>119</v>
      </c>
      <c r="K89" s="85">
        <f>K88*((TSIR!B75/TSIR!B74))</f>
        <v>3.160000000000001</v>
      </c>
      <c r="L89" s="203">
        <f>L88*((TSIR!C75/TSIR!C74))</f>
        <v>4.603076923076924</v>
      </c>
      <c r="M89" s="203">
        <f>M88*((TSIR!D75/TSIR!D74))</f>
        <v>7.5199999999999898</v>
      </c>
      <c r="N89" s="203">
        <f>N88*((TSIR!E75/TSIR!E74))</f>
        <v>8.1868327848306084</v>
      </c>
      <c r="O89" s="203">
        <f>O88*((TSIR!F75/TSIR!F74))</f>
        <v>8.6789473684210527</v>
      </c>
      <c r="P89" s="243">
        <f t="shared" si="12"/>
        <v>96.936797208220227</v>
      </c>
      <c r="Q89" s="204">
        <f t="shared" si="14"/>
        <v>106.99175223912246</v>
      </c>
      <c r="R89" s="202">
        <f t="shared" si="15"/>
        <v>92.166457119464354</v>
      </c>
      <c r="S89" s="200">
        <f t="shared" si="11"/>
        <v>402051794.53561413</v>
      </c>
      <c r="T89" s="70">
        <f t="shared" si="13"/>
        <v>-3.9141358030676532E-3</v>
      </c>
    </row>
    <row r="90" spans="10:20">
      <c r="J90" s="295" t="s">
        <v>120</v>
      </c>
      <c r="K90" s="85">
        <f>K89*((TSIR!B76/TSIR!B75))</f>
        <v>2.7650000000000015</v>
      </c>
      <c r="L90" s="203">
        <f>L89*((TSIR!C76/TSIR!C75))</f>
        <v>4.315384615384616</v>
      </c>
      <c r="M90" s="203">
        <f>M89*((TSIR!D76/TSIR!D75))</f>
        <v>6.8564705882352843</v>
      </c>
      <c r="N90" s="203">
        <f>N89*((TSIR!E76/TSIR!E75))</f>
        <v>7.7048546410994856</v>
      </c>
      <c r="O90" s="203">
        <f>O89*((TSIR!F76/TSIR!F75))</f>
        <v>8.2705263157894748</v>
      </c>
      <c r="P90" s="243">
        <f t="shared" si="12"/>
        <v>97.309395222108705</v>
      </c>
      <c r="Q90" s="204">
        <f t="shared" si="14"/>
        <v>107.14990933801934</v>
      </c>
      <c r="R90" s="202">
        <f t="shared" si="15"/>
        <v>92.250722191695914</v>
      </c>
      <c r="S90" s="200">
        <f t="shared" si="11"/>
        <v>402896815.20397204</v>
      </c>
      <c r="T90" s="70">
        <f t="shared" si="13"/>
        <v>2.1017706669708147E-3</v>
      </c>
    </row>
    <row r="91" spans="10:20">
      <c r="J91" s="295" t="s">
        <v>121</v>
      </c>
      <c r="K91" s="85">
        <f>K90*((TSIR!B77/TSIR!B76))</f>
        <v>2.7650000000000015</v>
      </c>
      <c r="L91" s="203">
        <f>L90*((TSIR!C77/TSIR!C76))</f>
        <v>4.315384615384616</v>
      </c>
      <c r="M91" s="203">
        <f>M90*((TSIR!D77/TSIR!D76))</f>
        <v>7.0776470588235192</v>
      </c>
      <c r="N91" s="203">
        <f>N90*((TSIR!E77/TSIR!E76))</f>
        <v>7.7732904325080341</v>
      </c>
      <c r="O91" s="203">
        <f>O90*((TSIR!F77/TSIR!F76))</f>
        <v>8.2705263157894748</v>
      </c>
      <c r="P91" s="243">
        <f t="shared" si="12"/>
        <v>97.309395222108705</v>
      </c>
      <c r="Q91" s="204">
        <f t="shared" si="14"/>
        <v>107.09683140765246</v>
      </c>
      <c r="R91" s="202">
        <f t="shared" si="15"/>
        <v>92.250722191695914</v>
      </c>
      <c r="S91" s="200">
        <f t="shared" si="11"/>
        <v>402976432.09952235</v>
      </c>
      <c r="T91" s="70">
        <f t="shared" si="13"/>
        <v>1.9761113154981302E-4</v>
      </c>
    </row>
    <row r="92" spans="10:20">
      <c r="J92" s="295" t="s">
        <v>122</v>
      </c>
      <c r="K92" s="85">
        <f>K91*((TSIR!B78/TSIR!B77))</f>
        <v>2.370000000000001</v>
      </c>
      <c r="L92" s="203">
        <f>L91*((TSIR!C78/TSIR!C77))</f>
        <v>4.603076923076924</v>
      </c>
      <c r="M92" s="203">
        <f>M91*((TSIR!D78/TSIR!D77))</f>
        <v>7.0776470588235192</v>
      </c>
      <c r="N92" s="203">
        <f>N91*((TSIR!E78/TSIR!E77))</f>
        <v>7.7708960365497086</v>
      </c>
      <c r="O92" s="203">
        <f>O91*((TSIR!F78/TSIR!F77))</f>
        <v>8.2705263157894748</v>
      </c>
      <c r="P92" s="243">
        <f t="shared" si="12"/>
        <v>97.684868613851705</v>
      </c>
      <c r="Q92" s="204">
        <f t="shared" si="14"/>
        <v>107.09683140765246</v>
      </c>
      <c r="R92" s="202">
        <f t="shared" si="15"/>
        <v>92.250722191695914</v>
      </c>
      <c r="S92" s="200">
        <f t="shared" si="11"/>
        <v>403727378.88300836</v>
      </c>
      <c r="T92" s="70">
        <f t="shared" si="13"/>
        <v>1.8635005019365103E-3</v>
      </c>
    </row>
    <row r="93" spans="10:20">
      <c r="J93" s="295" t="s">
        <v>123</v>
      </c>
      <c r="K93" s="85">
        <f>K92*((TSIR!B79/TSIR!B78))</f>
        <v>2.7650000000000015</v>
      </c>
      <c r="L93" s="203">
        <f>L92*((TSIR!C79/TSIR!C78))</f>
        <v>4.603076923076924</v>
      </c>
      <c r="M93" s="203">
        <f>M92*((TSIR!D79/TSIR!D78))</f>
        <v>7.5199999999999889</v>
      </c>
      <c r="N93" s="203">
        <f>N92*((TSIR!E79/TSIR!E78))</f>
        <v>8.0457596030561636</v>
      </c>
      <c r="O93" s="203">
        <f>O92*((TSIR!F79/TSIR!F78))</f>
        <v>8.4747368421052638</v>
      </c>
      <c r="P93" s="243">
        <f t="shared" si="12"/>
        <v>97.309395222108705</v>
      </c>
      <c r="Q93" s="204">
        <f t="shared" si="14"/>
        <v>106.99175223912246</v>
      </c>
      <c r="R93" s="202">
        <f t="shared" si="15"/>
        <v>92.208409744034554</v>
      </c>
      <c r="S93" s="200">
        <f t="shared" si="11"/>
        <v>402964801.06167197</v>
      </c>
      <c r="T93" s="70">
        <f t="shared" si="13"/>
        <v>-1.888843465226997E-3</v>
      </c>
    </row>
    <row r="94" spans="10:20">
      <c r="J94" s="295" t="s">
        <v>124</v>
      </c>
      <c r="K94" s="85">
        <f>K93*((TSIR!B80/TSIR!B79))</f>
        <v>2.370000000000001</v>
      </c>
      <c r="L94" s="203">
        <f>L93*((TSIR!C80/TSIR!C79))</f>
        <v>5.1784615384615398</v>
      </c>
      <c r="M94" s="203">
        <f>M93*((TSIR!D80/TSIR!D79))</f>
        <v>7.7411764705882229</v>
      </c>
      <c r="N94" s="203">
        <f>N93*((TSIR!E80/TSIR!E79))</f>
        <v>8.253632279127542</v>
      </c>
      <c r="O94" s="203">
        <f>O93*((TSIR!F80/TSIR!F79))</f>
        <v>8.6789473684210545</v>
      </c>
      <c r="P94" s="243">
        <f t="shared" si="12"/>
        <v>97.684868613851705</v>
      </c>
      <c r="Q94" s="204">
        <f t="shared" si="14"/>
        <v>106.93974443112788</v>
      </c>
      <c r="R94" s="202">
        <f t="shared" si="15"/>
        <v>92.166457119464354</v>
      </c>
      <c r="S94" s="200">
        <f t="shared" si="11"/>
        <v>403625949.058869</v>
      </c>
      <c r="T94" s="70">
        <f t="shared" si="13"/>
        <v>1.6407090531360691E-3</v>
      </c>
    </row>
    <row r="95" spans="10:20">
      <c r="J95" s="295" t="s">
        <v>125</v>
      </c>
      <c r="K95" s="85">
        <f>K94*((TSIR!B81/TSIR!B80))</f>
        <v>2.370000000000001</v>
      </c>
      <c r="L95" s="203">
        <f>L94*((TSIR!C81/TSIR!C80))</f>
        <v>4.8907692307692328</v>
      </c>
      <c r="M95" s="203">
        <f>M94*((TSIR!D81/TSIR!D80))</f>
        <v>7.9623529411764586</v>
      </c>
      <c r="N95" s="203">
        <f>N94*((TSIR!E81/TSIR!E80))</f>
        <v>8.5306913691037778</v>
      </c>
      <c r="O95" s="203">
        <f>O94*((TSIR!F81/TSIR!F80))</f>
        <v>8.9852631578947388</v>
      </c>
      <c r="P95" s="243">
        <f t="shared" si="12"/>
        <v>97.684868613851705</v>
      </c>
      <c r="Q95" s="204">
        <f t="shared" si="14"/>
        <v>106.88808682313962</v>
      </c>
      <c r="R95" s="202">
        <f t="shared" si="15"/>
        <v>92.104194183332737</v>
      </c>
      <c r="S95" s="200">
        <f t="shared" si="11"/>
        <v>403454383.72632498</v>
      </c>
      <c r="T95" s="70">
        <f t="shared" si="13"/>
        <v>-4.2506021464694399E-4</v>
      </c>
    </row>
    <row r="96" spans="10:20">
      <c r="J96" s="295" t="s">
        <v>126</v>
      </c>
      <c r="K96" s="85">
        <f>K95*((TSIR!B82/TSIR!B81))</f>
        <v>1.975000000000001</v>
      </c>
      <c r="L96" s="203">
        <f>L95*((TSIR!C82/TSIR!C81))</f>
        <v>4.8907692307692328</v>
      </c>
      <c r="M96" s="203">
        <f>M95*((TSIR!D82/TSIR!D81))</f>
        <v>7.7411764705882238</v>
      </c>
      <c r="N96" s="203">
        <f>N95*((TSIR!E82/TSIR!E81))</f>
        <v>8.3214584788980677</v>
      </c>
      <c r="O96" s="203">
        <f>O95*((TSIR!F82/TSIR!F81))</f>
        <v>8.7810526315789499</v>
      </c>
      <c r="P96" s="243">
        <f t="shared" si="12"/>
        <v>98.063250796763924</v>
      </c>
      <c r="Q96" s="204">
        <f t="shared" si="14"/>
        <v>106.93974443112788</v>
      </c>
      <c r="R96" s="202">
        <f t="shared" si="15"/>
        <v>92.145614498482416</v>
      </c>
      <c r="S96" s="200">
        <f t="shared" si="11"/>
        <v>404299342.94076574</v>
      </c>
      <c r="T96" s="70">
        <f t="shared" si="13"/>
        <v>2.0943116459331002E-3</v>
      </c>
    </row>
    <row r="97" spans="10:20">
      <c r="J97" s="295" t="s">
        <v>127</v>
      </c>
      <c r="K97" s="85">
        <f>K96*((TSIR!B83/TSIR!B82))</f>
        <v>1.975000000000001</v>
      </c>
      <c r="L97" s="203">
        <f>L96*((TSIR!C83/TSIR!C82))</f>
        <v>4.6030769230769248</v>
      </c>
      <c r="M97" s="203">
        <f>M96*((TSIR!D83/TSIR!D82))</f>
        <v>7.7411764705882238</v>
      </c>
      <c r="N97" s="203">
        <f>N96*((TSIR!E83/TSIR!E82))</f>
        <v>8.3194209186679178</v>
      </c>
      <c r="O97" s="203">
        <f>O96*((TSIR!F83/TSIR!F82))</f>
        <v>8.7810526315789499</v>
      </c>
      <c r="P97" s="243">
        <f t="shared" si="12"/>
        <v>98.063250796763924</v>
      </c>
      <c r="Q97" s="204">
        <f t="shared" si="14"/>
        <v>106.93974443112788</v>
      </c>
      <c r="R97" s="202">
        <f t="shared" si="15"/>
        <v>92.145614498482416</v>
      </c>
      <c r="S97" s="200">
        <f t="shared" si="11"/>
        <v>404299342.94076574</v>
      </c>
      <c r="T97" s="70">
        <f t="shared" si="13"/>
        <v>0</v>
      </c>
    </row>
    <row r="98" spans="10:20">
      <c r="J98" s="295" t="s">
        <v>128</v>
      </c>
      <c r="K98" s="85">
        <f>K97*((TSIR!B84/TSIR!B83))</f>
        <v>1.975000000000001</v>
      </c>
      <c r="L98" s="203">
        <f>L97*((TSIR!C84/TSIR!C83))</f>
        <v>4.6030769230769248</v>
      </c>
      <c r="M98" s="203">
        <f>M97*((TSIR!D84/TSIR!D83))</f>
        <v>7.7411764705882238</v>
      </c>
      <c r="N98" s="203">
        <f>N97*((TSIR!E84/TSIR!E83))</f>
        <v>8.3255951037757576</v>
      </c>
      <c r="O98" s="203">
        <f>O97*((TSIR!F84/TSIR!F83))</f>
        <v>8.7810526315789499</v>
      </c>
      <c r="P98" s="243">
        <f t="shared" si="12"/>
        <v>98.063250796763924</v>
      </c>
      <c r="Q98" s="204">
        <f t="shared" si="14"/>
        <v>106.93974443112788</v>
      </c>
      <c r="R98" s="202">
        <f t="shared" si="15"/>
        <v>92.145614498482416</v>
      </c>
      <c r="S98" s="200">
        <f t="shared" si="11"/>
        <v>404299342.94076574</v>
      </c>
      <c r="T98" s="70">
        <f t="shared" si="13"/>
        <v>0</v>
      </c>
    </row>
    <row r="99" spans="10:20">
      <c r="J99" s="295" t="s">
        <v>129</v>
      </c>
      <c r="K99" s="85">
        <f>K98*((TSIR!B85/TSIR!B84))</f>
        <v>2.370000000000001</v>
      </c>
      <c r="L99" s="203">
        <f>L98*((TSIR!C85/TSIR!C84))</f>
        <v>4.6030769230769248</v>
      </c>
      <c r="M99" s="203">
        <f>M98*((TSIR!D85/TSIR!D84))</f>
        <v>7.2988235294117549</v>
      </c>
      <c r="N99" s="203">
        <f>N98*((TSIR!E85/TSIR!E84))</f>
        <v>8.0453257950268071</v>
      </c>
      <c r="O99" s="203">
        <f>O98*((TSIR!F85/TSIR!F84))</f>
        <v>8.5768421052631592</v>
      </c>
      <c r="P99" s="243">
        <f t="shared" si="12"/>
        <v>97.684868613851705</v>
      </c>
      <c r="Q99" s="204">
        <f t="shared" si="14"/>
        <v>107.04411347594807</v>
      </c>
      <c r="R99" s="202">
        <f t="shared" si="15"/>
        <v>92.187388703165666</v>
      </c>
      <c r="S99" s="200">
        <f t="shared" si="11"/>
        <v>403553121.82644397</v>
      </c>
      <c r="T99" s="70">
        <f t="shared" si="13"/>
        <v>-1.8457143879927473E-3</v>
      </c>
    </row>
    <row r="100" spans="10:20">
      <c r="J100" s="295" t="s">
        <v>130</v>
      </c>
      <c r="K100" s="85">
        <f>K99*((TSIR!B86/TSIR!B85))</f>
        <v>2.370000000000001</v>
      </c>
      <c r="L100" s="203">
        <f>L99*((TSIR!C86/TSIR!C85))</f>
        <v>4.6030769230769248</v>
      </c>
      <c r="M100" s="203">
        <f>M99*((TSIR!D86/TSIR!D85))</f>
        <v>7.2988235294117549</v>
      </c>
      <c r="N100" s="203">
        <f>N99*((TSIR!E86/TSIR!E85))</f>
        <v>7.909386928945632</v>
      </c>
      <c r="O100" s="203">
        <f>O99*((TSIR!F86/TSIR!F85))</f>
        <v>8.3726315789473702</v>
      </c>
      <c r="P100" s="243">
        <f t="shared" si="12"/>
        <v>97.684868613851705</v>
      </c>
      <c r="Q100" s="204">
        <f t="shared" si="14"/>
        <v>107.04411347594807</v>
      </c>
      <c r="R100" s="202">
        <f t="shared" si="15"/>
        <v>92.2295207398396</v>
      </c>
      <c r="S100" s="200">
        <f t="shared" si="11"/>
        <v>403721649.9731397</v>
      </c>
      <c r="T100" s="70">
        <f t="shared" si="13"/>
        <v>4.1761081151592272E-4</v>
      </c>
    </row>
    <row r="101" spans="10:20">
      <c r="J101" s="295" t="s">
        <v>131</v>
      </c>
      <c r="K101" s="85">
        <f>K100*((TSIR!B87/TSIR!B86))</f>
        <v>2.370000000000001</v>
      </c>
      <c r="L101" s="203">
        <f>L100*((TSIR!C87/TSIR!C86))</f>
        <v>4.6030769230769248</v>
      </c>
      <c r="M101" s="203">
        <f>M100*((TSIR!D87/TSIR!D86))</f>
        <v>7.0776470588235201</v>
      </c>
      <c r="N101" s="203">
        <f>N100*((TSIR!E87/TSIR!E86))</f>
        <v>7.7011100140331932</v>
      </c>
      <c r="O101" s="203">
        <f>O100*((TSIR!F87/TSIR!F86))</f>
        <v>8.1684210526315812</v>
      </c>
      <c r="P101" s="243">
        <f t="shared" si="12"/>
        <v>97.684868613851705</v>
      </c>
      <c r="Q101" s="204">
        <f t="shared" si="14"/>
        <v>107.09683140765245</v>
      </c>
      <c r="R101" s="202">
        <f t="shared" si="15"/>
        <v>92.27201460409114</v>
      </c>
      <c r="S101" s="200">
        <f t="shared" si="11"/>
        <v>403812548.53258932</v>
      </c>
      <c r="T101" s="70">
        <f t="shared" si="13"/>
        <v>2.2515156037750117E-4</v>
      </c>
    </row>
    <row r="102" spans="10:20">
      <c r="J102" s="295" t="s">
        <v>132</v>
      </c>
      <c r="K102" s="85">
        <f>K101*((TSIR!B88/TSIR!B87))</f>
        <v>1.975000000000001</v>
      </c>
      <c r="L102" s="203">
        <f>L101*((TSIR!C88/TSIR!C87))</f>
        <v>4.6030769230769248</v>
      </c>
      <c r="M102" s="203">
        <f>M101*((TSIR!D88/TSIR!D87))</f>
        <v>7.0776470588235201</v>
      </c>
      <c r="N102" s="203">
        <f>N101*((TSIR!E88/TSIR!E87))</f>
        <v>7.774355911016003</v>
      </c>
      <c r="O102" s="203">
        <f>O101*((TSIR!F88/TSIR!F87))</f>
        <v>8.2705263157894748</v>
      </c>
      <c r="P102" s="243">
        <f t="shared" si="12"/>
        <v>98.063250796763924</v>
      </c>
      <c r="Q102" s="204">
        <f t="shared" si="14"/>
        <v>107.09683140765245</v>
      </c>
      <c r="R102" s="202">
        <f t="shared" si="15"/>
        <v>92.250722191695914</v>
      </c>
      <c r="S102" s="200">
        <f t="shared" si="11"/>
        <v>404484143.24883282</v>
      </c>
      <c r="T102" s="70">
        <f t="shared" si="13"/>
        <v>1.6631348349227526E-3</v>
      </c>
    </row>
    <row r="103" spans="10:20">
      <c r="J103" s="295" t="s">
        <v>133</v>
      </c>
      <c r="K103" s="85">
        <f>K102*((TSIR!B89/TSIR!B88))</f>
        <v>1.975000000000001</v>
      </c>
      <c r="L103" s="203">
        <f>L102*((TSIR!C89/TSIR!C88))</f>
        <v>4.0276923076923099</v>
      </c>
      <c r="M103" s="203">
        <f>M102*((TSIR!D89/TSIR!D88))</f>
        <v>6.4141176470588146</v>
      </c>
      <c r="N103" s="203">
        <f>N102*((TSIR!E89/TSIR!E88))</f>
        <v>7.290231989539774</v>
      </c>
      <c r="O103" s="203">
        <f>O102*((TSIR!F89/TSIR!F88))</f>
        <v>7.862105263157896</v>
      </c>
      <c r="P103" s="243">
        <f t="shared" si="12"/>
        <v>98.063250796763924</v>
      </c>
      <c r="Q103" s="204">
        <f t="shared" si="14"/>
        <v>107.2571586016885</v>
      </c>
      <c r="R103" s="202">
        <f t="shared" si="15"/>
        <v>92.336442700531165</v>
      </c>
      <c r="S103" s="200">
        <f t="shared" si="11"/>
        <v>404586534.49311978</v>
      </c>
      <c r="T103" s="70">
        <f t="shared" si="13"/>
        <v>2.5314031710754747E-4</v>
      </c>
    </row>
    <row r="104" spans="10:20">
      <c r="J104" s="295" t="s">
        <v>134</v>
      </c>
      <c r="K104" s="85">
        <f>K103*((TSIR!B90/TSIR!B89))</f>
        <v>1.975000000000001</v>
      </c>
      <c r="L104" s="203">
        <f>L103*((TSIR!C90/TSIR!C89))</f>
        <v>4.6030769230769257</v>
      </c>
      <c r="M104" s="203">
        <f>M103*((TSIR!D90/TSIR!D89))</f>
        <v>7.077647058823521</v>
      </c>
      <c r="N104" s="203">
        <f>N103*((TSIR!E90/TSIR!E89))</f>
        <v>7.7066977281715712</v>
      </c>
      <c r="O104" s="203">
        <f>O103*((TSIR!F90/TSIR!F89))</f>
        <v>8.1684210526315812</v>
      </c>
      <c r="P104" s="243">
        <f t="shared" si="12"/>
        <v>98.063250796763924</v>
      </c>
      <c r="Q104" s="204">
        <f t="shared" si="14"/>
        <v>107.09683140765245</v>
      </c>
      <c r="R104" s="202">
        <f t="shared" si="15"/>
        <v>92.27201460409114</v>
      </c>
      <c r="S104" s="200">
        <f t="shared" si="11"/>
        <v>404569312.89841378</v>
      </c>
      <c r="T104" s="70">
        <f t="shared" si="13"/>
        <v>-4.2565911709258053E-5</v>
      </c>
    </row>
    <row r="105" spans="10:20">
      <c r="J105" s="295" t="s">
        <v>135</v>
      </c>
      <c r="K105" s="85">
        <f>K104*((TSIR!B91/TSIR!B90))</f>
        <v>1.975000000000001</v>
      </c>
      <c r="L105" s="203">
        <f>L104*((TSIR!C91/TSIR!C90))</f>
        <v>4.6030769230769257</v>
      </c>
      <c r="M105" s="203">
        <f>M104*((TSIR!D91/TSIR!D90))</f>
        <v>6.8564705882352861</v>
      </c>
      <c r="N105" s="203">
        <f>N104*((TSIR!E91/TSIR!E90))</f>
        <v>7.6347197677203651</v>
      </c>
      <c r="O105" s="203">
        <f>O104*((TSIR!F91/TSIR!F90))</f>
        <v>8.1684210526315812</v>
      </c>
      <c r="P105" s="243">
        <f t="shared" si="12"/>
        <v>98.063250796763924</v>
      </c>
      <c r="Q105" s="204">
        <f t="shared" si="14"/>
        <v>107.14990933801934</v>
      </c>
      <c r="R105" s="202">
        <f t="shared" si="15"/>
        <v>92.27201460409114</v>
      </c>
      <c r="S105" s="200">
        <f t="shared" si="11"/>
        <v>404489696.00286341</v>
      </c>
      <c r="T105" s="70">
        <f t="shared" si="13"/>
        <v>-1.9679420314899776E-4</v>
      </c>
    </row>
    <row r="106" spans="10:20">
      <c r="J106" s="295" t="s">
        <v>136</v>
      </c>
      <c r="K106" s="85">
        <f>K105*((TSIR!B92/TSIR!B91))</f>
        <v>1.975000000000001</v>
      </c>
      <c r="L106" s="203">
        <f>L105*((TSIR!C92/TSIR!C91))</f>
        <v>4.6030769230769257</v>
      </c>
      <c r="M106" s="203">
        <f>M105*((TSIR!D92/TSIR!D91))</f>
        <v>7.7411764705882256</v>
      </c>
      <c r="N106" s="203">
        <f>N105*((TSIR!E92/TSIR!E91))</f>
        <v>8.3926437133365148</v>
      </c>
      <c r="O106" s="203">
        <f>O105*((TSIR!F92/TSIR!F91))</f>
        <v>8.8831578947368435</v>
      </c>
      <c r="P106" s="243">
        <f t="shared" si="12"/>
        <v>98.063250796763924</v>
      </c>
      <c r="Q106" s="204">
        <f t="shared" si="14"/>
        <v>106.93974443112788</v>
      </c>
      <c r="R106" s="202">
        <f t="shared" si="15"/>
        <v>92.124860349066537</v>
      </c>
      <c r="S106" s="200">
        <f t="shared" si="11"/>
        <v>404216326.34310222</v>
      </c>
      <c r="T106" s="70">
        <f t="shared" si="13"/>
        <v>-6.7583837725071483E-4</v>
      </c>
    </row>
    <row r="107" spans="10:20">
      <c r="J107" s="295" t="s">
        <v>137</v>
      </c>
      <c r="K107" s="85">
        <f>K106*((TSIR!B93/TSIR!B92))</f>
        <v>1.975000000000001</v>
      </c>
      <c r="L107" s="203">
        <f>L106*((TSIR!C93/TSIR!C92))</f>
        <v>4.6030769230769257</v>
      </c>
      <c r="M107" s="203">
        <f>M106*((TSIR!D93/TSIR!D92))</f>
        <v>7.2988235294117558</v>
      </c>
      <c r="N107" s="203">
        <f>N106*((TSIR!E93/TSIR!E92))</f>
        <v>8.0459432714521313</v>
      </c>
      <c r="O107" s="203">
        <f>O106*((TSIR!F93/TSIR!F92))</f>
        <v>8.5768421052631592</v>
      </c>
      <c r="P107" s="243">
        <f t="shared" si="12"/>
        <v>98.063250796763924</v>
      </c>
      <c r="Q107" s="204">
        <f t="shared" si="14"/>
        <v>107.04411347594807</v>
      </c>
      <c r="R107" s="202">
        <f t="shared" si="15"/>
        <v>92.187388703165666</v>
      </c>
      <c r="S107" s="200">
        <f t="shared" si="11"/>
        <v>404309886.19226837</v>
      </c>
      <c r="T107" s="70">
        <f t="shared" si="13"/>
        <v>2.3145984728656366E-4</v>
      </c>
    </row>
    <row r="108" spans="10:20">
      <c r="J108" s="295" t="s">
        <v>138</v>
      </c>
      <c r="K108" s="85">
        <f>K107*((TSIR!B94/TSIR!B93))</f>
        <v>2.370000000000001</v>
      </c>
      <c r="L108" s="203">
        <f>L107*((TSIR!C94/TSIR!C93))</f>
        <v>4.6030769230769257</v>
      </c>
      <c r="M108" s="203">
        <f>M107*((TSIR!D94/TSIR!D93))</f>
        <v>7.2988235294117558</v>
      </c>
      <c r="N108" s="203">
        <f>N107*((TSIR!E94/TSIR!E93))</f>
        <v>7.9125323592908368</v>
      </c>
      <c r="O108" s="203">
        <f>O107*((TSIR!F94/TSIR!F93))</f>
        <v>8.3726315789473702</v>
      </c>
      <c r="P108" s="243">
        <f t="shared" si="12"/>
        <v>97.684868613851705</v>
      </c>
      <c r="Q108" s="204">
        <f t="shared" si="14"/>
        <v>107.04411347594807</v>
      </c>
      <c r="R108" s="202">
        <f t="shared" si="15"/>
        <v>92.2295207398396</v>
      </c>
      <c r="S108" s="200">
        <f t="shared" si="11"/>
        <v>403721649.9731397</v>
      </c>
      <c r="T108" s="70">
        <f t="shared" si="13"/>
        <v>-1.4549142606147258E-3</v>
      </c>
    </row>
    <row r="109" spans="10:20">
      <c r="J109" s="295" t="s">
        <v>139</v>
      </c>
      <c r="K109" s="85">
        <f>K108*((TSIR!B95/TSIR!B94))</f>
        <v>2.370000000000001</v>
      </c>
      <c r="L109" s="203">
        <f>L108*((TSIR!C95/TSIR!C94))</f>
        <v>4.6030769230769257</v>
      </c>
      <c r="M109" s="203">
        <f>M108*((TSIR!D95/TSIR!D94))</f>
        <v>7.5199999999999907</v>
      </c>
      <c r="N109" s="203">
        <f>N108*((TSIR!E95/TSIR!E94))</f>
        <v>8.1151063449430243</v>
      </c>
      <c r="O109" s="203">
        <f>O108*((TSIR!F95/TSIR!F94))</f>
        <v>8.5768421052631592</v>
      </c>
      <c r="P109" s="243">
        <f t="shared" si="12"/>
        <v>97.684868613851705</v>
      </c>
      <c r="Q109" s="204">
        <f t="shared" si="14"/>
        <v>106.99175223912246</v>
      </c>
      <c r="R109" s="202">
        <f t="shared" si="15"/>
        <v>92.187388703165666</v>
      </c>
      <c r="S109" s="200">
        <f t="shared" si="11"/>
        <v>403631663.68168235</v>
      </c>
      <c r="T109" s="70">
        <f t="shared" si="13"/>
        <v>-2.2289191442503853E-4</v>
      </c>
    </row>
    <row r="110" spans="10:20">
      <c r="J110" s="295" t="s">
        <v>140</v>
      </c>
      <c r="K110" s="85">
        <f>K109*((TSIR!B96/TSIR!B95))</f>
        <v>2.370000000000001</v>
      </c>
      <c r="L110" s="203">
        <f>L109*((TSIR!C96/TSIR!C95))</f>
        <v>4.6030769230769257</v>
      </c>
      <c r="M110" s="203">
        <f>M109*((TSIR!D96/TSIR!D95))</f>
        <v>7.5199999999999907</v>
      </c>
      <c r="N110" s="203">
        <f>N109*((TSIR!E96/TSIR!E95))</f>
        <v>8.0500800682329281</v>
      </c>
      <c r="O110" s="203">
        <f>O109*((TSIR!F96/TSIR!F95))</f>
        <v>8.4747368421052656</v>
      </c>
      <c r="P110" s="243">
        <f t="shared" si="12"/>
        <v>97.684868613851705</v>
      </c>
      <c r="Q110" s="204">
        <f t="shared" si="14"/>
        <v>106.99175223912246</v>
      </c>
      <c r="R110" s="202">
        <f t="shared" si="15"/>
        <v>92.20840974403454</v>
      </c>
      <c r="S110" s="200">
        <f t="shared" si="11"/>
        <v>403715747.84515786</v>
      </c>
      <c r="T110" s="70">
        <f t="shared" si="13"/>
        <v>2.0831904689666558E-4</v>
      </c>
    </row>
    <row r="111" spans="10:20">
      <c r="J111" s="295" t="s">
        <v>141</v>
      </c>
      <c r="K111" s="85">
        <f>K110*((TSIR!B97/TSIR!B96))</f>
        <v>1.975000000000001</v>
      </c>
      <c r="L111" s="203">
        <f>L110*((TSIR!C97/TSIR!C96))</f>
        <v>4.6030769230769257</v>
      </c>
      <c r="M111" s="203">
        <f>M110*((TSIR!D97/TSIR!D96))</f>
        <v>7.7411764705882247</v>
      </c>
      <c r="N111" s="203">
        <f>N110*((TSIR!E97/TSIR!E96))</f>
        <v>8.3938695378434414</v>
      </c>
      <c r="O111" s="203">
        <f>O110*((TSIR!F97/TSIR!F96))</f>
        <v>8.8831578947368453</v>
      </c>
      <c r="P111" s="243">
        <f t="shared" si="12"/>
        <v>98.063250796763924</v>
      </c>
      <c r="Q111" s="204">
        <f t="shared" si="14"/>
        <v>106.93974443112788</v>
      </c>
      <c r="R111" s="202">
        <f t="shared" si="15"/>
        <v>92.124860349066537</v>
      </c>
      <c r="S111" s="200">
        <f t="shared" si="11"/>
        <v>404216326.34310222</v>
      </c>
      <c r="T111" s="70">
        <f t="shared" si="13"/>
        <v>1.2399280944976887E-3</v>
      </c>
    </row>
    <row r="112" spans="10:20">
      <c r="J112" s="295" t="s">
        <v>142</v>
      </c>
      <c r="K112" s="85">
        <f>K111*((TSIR!B98/TSIR!B97))</f>
        <v>1.975000000000001</v>
      </c>
      <c r="L112" s="203">
        <f>L111*((TSIR!C98/TSIR!C97))</f>
        <v>4.3153846153846178</v>
      </c>
      <c r="M112" s="203">
        <f>M111*((TSIR!D98/TSIR!D97))</f>
        <v>7.5199999999999907</v>
      </c>
      <c r="N112" s="203">
        <f>N111*((TSIR!E98/TSIR!E97))</f>
        <v>8.0454507748727764</v>
      </c>
      <c r="O112" s="203">
        <f>O111*((TSIR!F98/TSIR!F97))</f>
        <v>8.4747368421052656</v>
      </c>
      <c r="P112" s="243">
        <f t="shared" si="12"/>
        <v>98.063250796763924</v>
      </c>
      <c r="Q112" s="204">
        <f t="shared" si="14"/>
        <v>106.99175223912246</v>
      </c>
      <c r="R112" s="202">
        <f t="shared" si="15"/>
        <v>92.20840974403454</v>
      </c>
      <c r="S112" s="200">
        <f t="shared" si="11"/>
        <v>404472512.21098232</v>
      </c>
      <c r="T112" s="70">
        <f t="shared" si="13"/>
        <v>6.3378406854019964E-4</v>
      </c>
    </row>
    <row r="113" spans="10:20">
      <c r="J113" s="295" t="s">
        <v>143</v>
      </c>
      <c r="K113" s="85">
        <f>K112*((TSIR!B99/TSIR!B98))</f>
        <v>1.5800000000000007</v>
      </c>
      <c r="L113" s="203">
        <f>L112*((TSIR!C99/TSIR!C98))</f>
        <v>4.8907692307692345</v>
      </c>
      <c r="M113" s="203">
        <f>M112*((TSIR!D99/TSIR!D98))</f>
        <v>7.5199999999999907</v>
      </c>
      <c r="N113" s="203">
        <f>N112*((TSIR!E99/TSIR!E98))</f>
        <v>8.1199519715800736</v>
      </c>
      <c r="O113" s="203">
        <f>O112*((TSIR!F99/TSIR!F98))</f>
        <v>8.5768421052631592</v>
      </c>
      <c r="P113" s="243">
        <f t="shared" si="12"/>
        <v>98.444575703878712</v>
      </c>
      <c r="Q113" s="204">
        <f t="shared" si="14"/>
        <v>106.99175223912246</v>
      </c>
      <c r="R113" s="202">
        <f t="shared" si="15"/>
        <v>92.187388703165666</v>
      </c>
      <c r="S113" s="200">
        <f t="shared" si="11"/>
        <v>405151077.86173642</v>
      </c>
      <c r="T113" s="70">
        <f t="shared" si="13"/>
        <v>1.6776557869033759E-3</v>
      </c>
    </row>
    <row r="114" spans="10:20">
      <c r="J114" s="295" t="s">
        <v>144</v>
      </c>
      <c r="K114" s="85">
        <f>K113*((TSIR!B100/TSIR!B99))</f>
        <v>1.5800000000000007</v>
      </c>
      <c r="L114" s="203">
        <f>L113*((TSIR!C100/TSIR!C99))</f>
        <v>4.3153846153846178</v>
      </c>
      <c r="M114" s="203">
        <f>M113*((TSIR!D100/TSIR!D99))</f>
        <v>7.077647058823521</v>
      </c>
      <c r="N114" s="203">
        <f>N113*((TSIR!E100/TSIR!E99))</f>
        <v>7.8436724272865117</v>
      </c>
      <c r="O114" s="203">
        <f>O113*((TSIR!F100/TSIR!F99))</f>
        <v>8.3726315789473702</v>
      </c>
      <c r="P114" s="243">
        <f t="shared" si="12"/>
        <v>98.444575703878712</v>
      </c>
      <c r="Q114" s="204">
        <f t="shared" si="14"/>
        <v>107.09683140765245</v>
      </c>
      <c r="R114" s="202">
        <f t="shared" si="15"/>
        <v>92.2295207398396</v>
      </c>
      <c r="S114" s="200">
        <f t="shared" si="11"/>
        <v>405161987.25563717</v>
      </c>
      <c r="T114" s="70">
        <f t="shared" si="13"/>
        <v>2.6926730537946142E-5</v>
      </c>
    </row>
    <row r="115" spans="10:20">
      <c r="J115" s="295" t="s">
        <v>145</v>
      </c>
      <c r="K115" s="85">
        <f>K114*((TSIR!B101/TSIR!B100))</f>
        <v>1.5800000000000007</v>
      </c>
      <c r="L115" s="203">
        <f>L114*((TSIR!C101/TSIR!C100))</f>
        <v>4.3153846153846178</v>
      </c>
      <c r="M115" s="203">
        <f>M114*((TSIR!D101/TSIR!D100))</f>
        <v>6.6352941176470512</v>
      </c>
      <c r="N115" s="203">
        <f>N114*((TSIR!E101/TSIR!E100))</f>
        <v>7.5005034682653422</v>
      </c>
      <c r="O115" s="203">
        <f>O114*((TSIR!F101/TSIR!F100))</f>
        <v>8.0663157894736859</v>
      </c>
      <c r="P115" s="243">
        <f t="shared" si="12"/>
        <v>98.444575703878712</v>
      </c>
      <c r="Q115" s="204">
        <f t="shared" si="14"/>
        <v>107.20335060908918</v>
      </c>
      <c r="R115" s="202">
        <f t="shared" si="15"/>
        <v>92.293398484911876</v>
      </c>
      <c r="S115" s="200">
        <f t="shared" si="11"/>
        <v>405257719.43377113</v>
      </c>
      <c r="T115" s="70">
        <f t="shared" si="13"/>
        <v>2.3628124341668055E-4</v>
      </c>
    </row>
    <row r="116" spans="10:20">
      <c r="J116" s="295" t="s">
        <v>146</v>
      </c>
      <c r="K116" s="85">
        <f>K115*((TSIR!B102/TSIR!B101))</f>
        <v>1.5800000000000007</v>
      </c>
      <c r="L116" s="203">
        <f>L115*((TSIR!C102/TSIR!C101))</f>
        <v>4.0276923076923108</v>
      </c>
      <c r="M116" s="203">
        <f>M115*((TSIR!D102/TSIR!D101))</f>
        <v>6.856470588235287</v>
      </c>
      <c r="N116" s="203">
        <f>N115*((TSIR!E102/TSIR!E101))</f>
        <v>7.6383462713167223</v>
      </c>
      <c r="O116" s="203">
        <f>O115*((TSIR!F102/TSIR!F101))</f>
        <v>8.1684210526315812</v>
      </c>
      <c r="P116" s="243">
        <f t="shared" si="12"/>
        <v>98.444575703878712</v>
      </c>
      <c r="Q116" s="204">
        <f t="shared" si="14"/>
        <v>107.14990933801934</v>
      </c>
      <c r="R116" s="202">
        <f t="shared" si="15"/>
        <v>92.27201460409114</v>
      </c>
      <c r="S116" s="200">
        <f t="shared" si="11"/>
        <v>405252345.81709296</v>
      </c>
      <c r="T116" s="70">
        <f t="shared" si="13"/>
        <v>-1.325975156174497E-5</v>
      </c>
    </row>
    <row r="117" spans="10:20">
      <c r="J117" s="295" t="s">
        <v>147</v>
      </c>
      <c r="K117" s="85">
        <f>K116*((TSIR!B103/TSIR!B102))</f>
        <v>1.5800000000000007</v>
      </c>
      <c r="L117" s="203">
        <f>L116*((TSIR!C103/TSIR!C102))</f>
        <v>4.0276923076923108</v>
      </c>
      <c r="M117" s="203">
        <f>M116*((TSIR!D103/TSIR!D102))</f>
        <v>6.856470588235287</v>
      </c>
      <c r="N117" s="203">
        <f>N116*((TSIR!E103/TSIR!E102))</f>
        <v>7.7060453642411773</v>
      </c>
      <c r="O117" s="203">
        <f>O116*((TSIR!F103/TSIR!F102))</f>
        <v>8.2705263157894748</v>
      </c>
      <c r="P117" s="243">
        <f t="shared" si="12"/>
        <v>98.444575703878712</v>
      </c>
      <c r="Q117" s="204">
        <f t="shared" si="14"/>
        <v>107.14990933801934</v>
      </c>
      <c r="R117" s="202">
        <f t="shared" si="15"/>
        <v>92.250722191695914</v>
      </c>
      <c r="S117" s="200">
        <f t="shared" si="11"/>
        <v>405167176.16751206</v>
      </c>
      <c r="T117" s="70">
        <f t="shared" si="13"/>
        <v>-2.1016448259958409E-4</v>
      </c>
    </row>
    <row r="118" spans="10:20">
      <c r="J118" s="295" t="s">
        <v>148</v>
      </c>
      <c r="K118" s="85">
        <f>K117*((TSIR!B104/TSIR!B103))</f>
        <v>1.975000000000001</v>
      </c>
      <c r="L118" s="203">
        <f>L117*((TSIR!C104/TSIR!C103))</f>
        <v>4.0276923076923108</v>
      </c>
      <c r="M118" s="203">
        <f>M117*((TSIR!D104/TSIR!D103))</f>
        <v>6.6352941176470512</v>
      </c>
      <c r="N118" s="203">
        <f>N117*((TSIR!E104/TSIR!E103))</f>
        <v>7.5010229419856573</v>
      </c>
      <c r="O118" s="203">
        <f>O117*((TSIR!F104/TSIR!F103))</f>
        <v>8.0663157894736859</v>
      </c>
      <c r="P118" s="243">
        <f t="shared" si="12"/>
        <v>98.063250796763924</v>
      </c>
      <c r="Q118" s="204">
        <f t="shared" si="14"/>
        <v>107.20335060908918</v>
      </c>
      <c r="R118" s="202">
        <f t="shared" si="15"/>
        <v>92.293398484911876</v>
      </c>
      <c r="S118" s="200">
        <f t="shared" si="11"/>
        <v>404495069.61954159</v>
      </c>
      <c r="T118" s="70">
        <f t="shared" si="13"/>
        <v>-1.6588376045857389E-3</v>
      </c>
    </row>
    <row r="119" spans="10:20">
      <c r="J119" s="295" t="s">
        <v>149</v>
      </c>
      <c r="K119" s="85">
        <f>K118*((TSIR!B105/TSIR!B104))</f>
        <v>1.5800000000000007</v>
      </c>
      <c r="L119" s="203">
        <f>L118*((TSIR!C105/TSIR!C104))</f>
        <v>4.6030769230769266</v>
      </c>
      <c r="M119" s="203">
        <f>M118*((TSIR!D105/TSIR!D104))</f>
        <v>6.856470588235287</v>
      </c>
      <c r="N119" s="203">
        <f>N118*((TSIR!E105/TSIR!E104))</f>
        <v>7.70174967137448</v>
      </c>
      <c r="O119" s="203">
        <f>O118*((TSIR!F105/TSIR!F104))</f>
        <v>8.2705263157894748</v>
      </c>
      <c r="P119" s="243">
        <f t="shared" si="12"/>
        <v>98.444575703878712</v>
      </c>
      <c r="Q119" s="204">
        <f t="shared" si="14"/>
        <v>107.14990933801934</v>
      </c>
      <c r="R119" s="202">
        <f t="shared" si="15"/>
        <v>92.250722191695914</v>
      </c>
      <c r="S119" s="200">
        <f t="shared" si="11"/>
        <v>405167176.16751206</v>
      </c>
      <c r="T119" s="70">
        <f t="shared" si="13"/>
        <v>1.6615939190622875E-3</v>
      </c>
    </row>
    <row r="120" spans="10:20">
      <c r="J120" s="295" t="s">
        <v>150</v>
      </c>
      <c r="K120" s="85">
        <f>K119*((TSIR!B106/TSIR!B105))</f>
        <v>1.975000000000001</v>
      </c>
      <c r="L120" s="203">
        <f>L119*((TSIR!C106/TSIR!C105))</f>
        <v>3.7400000000000029</v>
      </c>
      <c r="M120" s="203">
        <f>M119*((TSIR!D106/TSIR!D105))</f>
        <v>6.6352941176470512</v>
      </c>
      <c r="N120" s="203">
        <f>N119*((TSIR!E106/TSIR!E105))</f>
        <v>7.5643373639194875</v>
      </c>
      <c r="O120" s="203">
        <f>O119*((TSIR!F106/TSIR!F105))</f>
        <v>8.1684210526315795</v>
      </c>
      <c r="P120" s="243">
        <f t="shared" si="12"/>
        <v>98.063250796763924</v>
      </c>
      <c r="Q120" s="204">
        <f t="shared" si="14"/>
        <v>107.20335060908918</v>
      </c>
      <c r="R120" s="202">
        <f t="shared" si="15"/>
        <v>92.27201460409114</v>
      </c>
      <c r="S120" s="200">
        <f t="shared" si="11"/>
        <v>404409534.09625864</v>
      </c>
      <c r="T120" s="70">
        <f t="shared" si="13"/>
        <v>-1.8699492846877552E-3</v>
      </c>
    </row>
    <row r="121" spans="10:20">
      <c r="J121" s="295" t="s">
        <v>151</v>
      </c>
      <c r="K121" s="85">
        <f>K120*((TSIR!B107/TSIR!B106))</f>
        <v>1.5800000000000007</v>
      </c>
      <c r="L121" s="203">
        <f>L120*((TSIR!C107/TSIR!C106))</f>
        <v>4.6030769230769266</v>
      </c>
      <c r="M121" s="203">
        <f>M120*((TSIR!D107/TSIR!D106))</f>
        <v>7.5199999999999925</v>
      </c>
      <c r="N121" s="203">
        <f>N120*((TSIR!E107/TSIR!E106))</f>
        <v>8.1149431782073602</v>
      </c>
      <c r="O121" s="203">
        <f>O120*((TSIR!F107/TSIR!F106))</f>
        <v>8.5768421052631574</v>
      </c>
      <c r="P121" s="243">
        <f t="shared" si="12"/>
        <v>98.444575703878712</v>
      </c>
      <c r="Q121" s="204">
        <f t="shared" si="14"/>
        <v>106.99175223912246</v>
      </c>
      <c r="R121" s="202">
        <f t="shared" si="15"/>
        <v>92.187388703165681</v>
      </c>
      <c r="S121" s="200">
        <f t="shared" si="11"/>
        <v>405151077.86173642</v>
      </c>
      <c r="T121" s="70">
        <f t="shared" si="13"/>
        <v>1.8336456066372353E-3</v>
      </c>
    </row>
    <row r="122" spans="10:20">
      <c r="J122" s="295" t="s">
        <v>152</v>
      </c>
      <c r="K122" s="85">
        <f>K121*((TSIR!B108/TSIR!B107))</f>
        <v>1.975000000000001</v>
      </c>
      <c r="L122" s="203">
        <f>L121*((TSIR!C108/TSIR!C107))</f>
        <v>4.0276923076923117</v>
      </c>
      <c r="M122" s="203">
        <f>M121*((TSIR!D108/TSIR!D107))</f>
        <v>7.0776470588235219</v>
      </c>
      <c r="N122" s="203">
        <f>N121*((TSIR!E108/TSIR!E107))</f>
        <v>7.5662385050427581</v>
      </c>
      <c r="O122" s="203">
        <f>O121*((TSIR!F108/TSIR!F107))</f>
        <v>7.9642105263157896</v>
      </c>
      <c r="P122" s="243">
        <f t="shared" si="12"/>
        <v>98.063250796763924</v>
      </c>
      <c r="Q122" s="204">
        <f t="shared" si="14"/>
        <v>107.09683140765245</v>
      </c>
      <c r="R122" s="202">
        <f t="shared" si="15"/>
        <v>92.314874345470358</v>
      </c>
      <c r="S122" s="200">
        <f t="shared" si="11"/>
        <v>404740751.86393058</v>
      </c>
      <c r="T122" s="70">
        <f t="shared" si="13"/>
        <v>-1.0127728154430971E-3</v>
      </c>
    </row>
    <row r="123" spans="10:20">
      <c r="J123" s="295" t="s">
        <v>153</v>
      </c>
      <c r="K123" s="85">
        <f>K122*((TSIR!B109/TSIR!B108))</f>
        <v>1.975000000000001</v>
      </c>
      <c r="L123" s="203">
        <f>L122*((TSIR!C109/TSIR!C108))</f>
        <v>4.6030769230769275</v>
      </c>
      <c r="M123" s="203">
        <f>M122*((TSIR!D109/TSIR!D108))</f>
        <v>7.2988235294117567</v>
      </c>
      <c r="N123" s="203">
        <f>N122*((TSIR!E109/TSIR!E108))</f>
        <v>7.7025848844502676</v>
      </c>
      <c r="O123" s="203">
        <f>O122*((TSIR!F109/TSIR!F108))</f>
        <v>8.0663157894736841</v>
      </c>
      <c r="P123" s="243">
        <f t="shared" si="12"/>
        <v>98.063250796763924</v>
      </c>
      <c r="Q123" s="204">
        <f t="shared" si="14"/>
        <v>107.04411347594807</v>
      </c>
      <c r="R123" s="202">
        <f t="shared" si="15"/>
        <v>92.293398484911876</v>
      </c>
      <c r="S123" s="200">
        <f t="shared" si="11"/>
        <v>404733925.31925321</v>
      </c>
      <c r="T123" s="70">
        <f t="shared" si="13"/>
        <v>-1.6866462410614069E-5</v>
      </c>
    </row>
    <row r="124" spans="10:20">
      <c r="J124" s="295" t="s">
        <v>154</v>
      </c>
      <c r="K124" s="85">
        <f>K123*((TSIR!B110/TSIR!B109))</f>
        <v>1.975000000000001</v>
      </c>
      <c r="L124" s="203">
        <f>L123*((TSIR!C110/TSIR!C109))</f>
        <v>4.0276923076923117</v>
      </c>
      <c r="M124" s="203">
        <f>M123*((TSIR!D110/TSIR!D109))</f>
        <v>7.0776470588235219</v>
      </c>
      <c r="N124" s="203">
        <f>N123*((TSIR!E110/TSIR!E109))</f>
        <v>7.4949595909603861</v>
      </c>
      <c r="O124" s="203">
        <f>O123*((TSIR!F110/TSIR!F109))</f>
        <v>7.8621052631578943</v>
      </c>
      <c r="P124" s="243">
        <f t="shared" si="12"/>
        <v>98.063250796763924</v>
      </c>
      <c r="Q124" s="204">
        <f t="shared" si="14"/>
        <v>107.09683140765245</v>
      </c>
      <c r="R124" s="202">
        <f t="shared" si="15"/>
        <v>92.336442700531165</v>
      </c>
      <c r="S124" s="200">
        <f t="shared" si="11"/>
        <v>404827025.28417385</v>
      </c>
      <c r="T124" s="70">
        <f t="shared" si="13"/>
        <v>2.3002757885248748E-4</v>
      </c>
    </row>
    <row r="125" spans="10:20">
      <c r="J125" s="295" t="s">
        <v>155</v>
      </c>
      <c r="K125" s="85">
        <f>K124*((TSIR!B111/TSIR!B110))</f>
        <v>1.975000000000001</v>
      </c>
      <c r="L125" s="203">
        <f>L124*((TSIR!C111/TSIR!C110))</f>
        <v>4.6030769230769275</v>
      </c>
      <c r="M125" s="203">
        <f>M124*((TSIR!D111/TSIR!D110))</f>
        <v>6.856470588235287</v>
      </c>
      <c r="N125" s="203">
        <f>N124*((TSIR!E111/TSIR!E110))</f>
        <v>7.2931629991798435</v>
      </c>
      <c r="O125" s="203">
        <f>O124*((TSIR!F111/TSIR!F110))</f>
        <v>7.6578947368421044</v>
      </c>
      <c r="P125" s="243">
        <f t="shared" si="12"/>
        <v>98.063250796763924</v>
      </c>
      <c r="Q125" s="204">
        <f t="shared" si="14"/>
        <v>107.14990933801934</v>
      </c>
      <c r="R125" s="202">
        <f t="shared" si="15"/>
        <v>92.379858970643312</v>
      </c>
      <c r="S125" s="200">
        <f t="shared" si="11"/>
        <v>404921073.4690721</v>
      </c>
      <c r="T125" s="70">
        <f t="shared" si="13"/>
        <v>2.3231696261438728E-4</v>
      </c>
    </row>
    <row r="126" spans="10:20">
      <c r="J126" s="295" t="s">
        <v>156</v>
      </c>
      <c r="K126" s="85">
        <f>K125*((TSIR!B112/TSIR!B111))</f>
        <v>1.975000000000001</v>
      </c>
      <c r="L126" s="203">
        <f>L125*((TSIR!C112/TSIR!C111))</f>
        <v>4.0276923076923117</v>
      </c>
      <c r="M126" s="203">
        <f>M125*((TSIR!D112/TSIR!D111))</f>
        <v>6.6352941176470512</v>
      </c>
      <c r="N126" s="203">
        <f>N125*((TSIR!E112/TSIR!E111))</f>
        <v>7.0836450818934598</v>
      </c>
      <c r="O126" s="203">
        <f>O125*((TSIR!F112/TSIR!F111))</f>
        <v>7.4536842105263146</v>
      </c>
      <c r="P126" s="243">
        <f t="shared" si="12"/>
        <v>98.063250796763924</v>
      </c>
      <c r="Q126" s="204">
        <f t="shared" si="14"/>
        <v>107.20335060908918</v>
      </c>
      <c r="R126" s="202">
        <f t="shared" si="15"/>
        <v>92.423651483449603</v>
      </c>
      <c r="S126" s="200">
        <f t="shared" si="11"/>
        <v>405016081.61369252</v>
      </c>
      <c r="T126" s="70">
        <f t="shared" si="13"/>
        <v>2.346337369070195E-4</v>
      </c>
    </row>
    <row r="127" spans="10:20">
      <c r="J127" s="295" t="s">
        <v>157</v>
      </c>
      <c r="K127" s="85">
        <f>K126*((TSIR!B113/TSIR!B112))</f>
        <v>1.975000000000001</v>
      </c>
      <c r="L127" s="203">
        <f>L126*((TSIR!C113/TSIR!C112))</f>
        <v>4.6030769230769275</v>
      </c>
      <c r="M127" s="203">
        <f>M126*((TSIR!D113/TSIR!D112))</f>
        <v>6.856470588235287</v>
      </c>
      <c r="N127" s="203">
        <f>N126*((TSIR!E113/TSIR!E112))</f>
        <v>7.3603229782615616</v>
      </c>
      <c r="O127" s="203">
        <f>O126*((TSIR!F113/TSIR!F112))</f>
        <v>7.759999999999998</v>
      </c>
      <c r="P127" s="243">
        <f t="shared" si="12"/>
        <v>98.063250796763924</v>
      </c>
      <c r="Q127" s="204">
        <f t="shared" si="14"/>
        <v>107.14990933801934</v>
      </c>
      <c r="R127" s="202">
        <f t="shared" si="15"/>
        <v>92.358104068338477</v>
      </c>
      <c r="S127" s="200">
        <f t="shared" si="11"/>
        <v>404834053.85985279</v>
      </c>
      <c r="T127" s="70">
        <f t="shared" si="13"/>
        <v>-4.49433398087562E-4</v>
      </c>
    </row>
    <row r="128" spans="10:20">
      <c r="J128" s="295" t="s">
        <v>158</v>
      </c>
      <c r="K128" s="85">
        <f>K127*((TSIR!B114/TSIR!B113))</f>
        <v>1.975000000000001</v>
      </c>
      <c r="L128" s="203">
        <f>L127*((TSIR!C114/TSIR!C113))</f>
        <v>4.6030769230769275</v>
      </c>
      <c r="M128" s="203">
        <f>M127*((TSIR!D114/TSIR!D113))</f>
        <v>7.2988235294117585</v>
      </c>
      <c r="N128" s="203">
        <f>N127*((TSIR!E114/TSIR!E113))</f>
        <v>7.7715735566844977</v>
      </c>
      <c r="O128" s="203">
        <f>O127*((TSIR!F114/TSIR!F113))</f>
        <v>8.1684210526315759</v>
      </c>
      <c r="P128" s="243">
        <f t="shared" si="12"/>
        <v>98.063250796763924</v>
      </c>
      <c r="Q128" s="204">
        <f t="shared" si="14"/>
        <v>107.04411347594805</v>
      </c>
      <c r="R128" s="202">
        <f t="shared" si="15"/>
        <v>92.27201460409114</v>
      </c>
      <c r="S128" s="200">
        <f t="shared" si="11"/>
        <v>404648389.79597032</v>
      </c>
      <c r="T128" s="70">
        <f t="shared" si="13"/>
        <v>-4.5861770301258709E-4</v>
      </c>
    </row>
    <row r="129" spans="10:20">
      <c r="J129" s="295" t="s">
        <v>159</v>
      </c>
      <c r="K129" s="85">
        <f>K128*((TSIR!B115/TSIR!B114))</f>
        <v>3.1600000000000015</v>
      </c>
      <c r="L129" s="203">
        <f>L128*((TSIR!C115/TSIR!C114))</f>
        <v>4.6030769230769275</v>
      </c>
      <c r="M129" s="203">
        <f>M128*((TSIR!D115/TSIR!D114))</f>
        <v>7.5199999999999934</v>
      </c>
      <c r="N129" s="203">
        <f>N128*((TSIR!E115/TSIR!E114))</f>
        <v>7.7722135028989596</v>
      </c>
      <c r="O129" s="203">
        <f>O128*((TSIR!F115/TSIR!F114))</f>
        <v>8.0663157894736823</v>
      </c>
      <c r="P129" s="243">
        <f t="shared" si="12"/>
        <v>96.936797208220227</v>
      </c>
      <c r="Q129" s="204">
        <f t="shared" si="14"/>
        <v>106.99175223912246</v>
      </c>
      <c r="R129" s="202">
        <f t="shared" si="15"/>
        <v>92.293398484911876</v>
      </c>
      <c r="S129" s="200">
        <f t="shared" si="11"/>
        <v>402559559.99740422</v>
      </c>
      <c r="T129" s="70">
        <f t="shared" si="13"/>
        <v>-5.162086026387791E-3</v>
      </c>
    </row>
    <row r="130" spans="10:20">
      <c r="J130" s="295" t="s">
        <v>160</v>
      </c>
      <c r="K130" s="85">
        <f>K129*((TSIR!B116/TSIR!B115))</f>
        <v>3.1600000000000015</v>
      </c>
      <c r="L130" s="203">
        <f>L129*((TSIR!C116/TSIR!C115))</f>
        <v>6.0415384615384671</v>
      </c>
      <c r="M130" s="203">
        <f>M129*((TSIR!D116/TSIR!D115))</f>
        <v>9.0682352941176383</v>
      </c>
      <c r="N130" s="203">
        <f>N129*((TSIR!E116/TSIR!E115))</f>
        <v>8.9415125015156924</v>
      </c>
      <c r="O130" s="203">
        <f>O129*((TSIR!F116/TSIR!F115))</f>
        <v>9.0873684210526289</v>
      </c>
      <c r="P130" s="243">
        <f t="shared" si="12"/>
        <v>96.936797208220227</v>
      </c>
      <c r="Q130" s="204">
        <f t="shared" si="14"/>
        <v>106.63494131712439</v>
      </c>
      <c r="R130" s="202">
        <f t="shared" si="15"/>
        <v>92.083615516641117</v>
      </c>
      <c r="S130" s="200">
        <f t="shared" si="11"/>
        <v>402255644.50731832</v>
      </c>
      <c r="T130" s="70">
        <f t="shared" si="13"/>
        <v>-7.549578255894307E-4</v>
      </c>
    </row>
    <row r="131" spans="10:20">
      <c r="J131" s="295" t="s">
        <v>161</v>
      </c>
      <c r="K131" s="85">
        <f>K130*((TSIR!B117/TSIR!B116))</f>
        <v>3.1600000000000015</v>
      </c>
      <c r="L131" s="203">
        <f>L130*((TSIR!C117/TSIR!C116))</f>
        <v>6.6169230769230838</v>
      </c>
      <c r="M131" s="203">
        <f>M130*((TSIR!D117/TSIR!D116))</f>
        <v>9.510588235294108</v>
      </c>
      <c r="N131" s="203">
        <f>N130*((TSIR!E117/TSIR!E116))</f>
        <v>9.1503798551112325</v>
      </c>
      <c r="O131" s="203">
        <f>O130*((TSIR!F117/TSIR!F116))</f>
        <v>9.1894736842105242</v>
      </c>
      <c r="P131" s="243">
        <f t="shared" si="12"/>
        <v>96.936797208220227</v>
      </c>
      <c r="Q131" s="204">
        <f t="shared" si="14"/>
        <v>106.53602553344807</v>
      </c>
      <c r="R131" s="202">
        <f t="shared" si="15"/>
        <v>92.063123867570837</v>
      </c>
      <c r="S131" s="200">
        <f t="shared" si="11"/>
        <v>402322051.58655167</v>
      </c>
      <c r="T131" s="70">
        <f t="shared" si="13"/>
        <v>1.6508675550008789E-4</v>
      </c>
    </row>
    <row r="132" spans="10:20">
      <c r="J132" s="295" t="s">
        <v>162</v>
      </c>
      <c r="K132" s="85">
        <f>K131*((TSIR!B118/TSIR!B117))</f>
        <v>3.5550000000000015</v>
      </c>
      <c r="L132" s="203">
        <f>L131*((TSIR!C118/TSIR!C117))</f>
        <v>7.4800000000000075</v>
      </c>
      <c r="M132" s="203">
        <f>M131*((TSIR!D118/TSIR!D117))</f>
        <v>10.395294117647047</v>
      </c>
      <c r="N132" s="203">
        <f>N131*((TSIR!E118/TSIR!E117))</f>
        <v>9.3574137180130013</v>
      </c>
      <c r="O132" s="203">
        <f>O131*((TSIR!F118/TSIR!F117))</f>
        <v>9.0873684210526307</v>
      </c>
      <c r="P132" s="243">
        <f t="shared" si="12"/>
        <v>96.567041668678485</v>
      </c>
      <c r="Q132" s="204">
        <f t="shared" si="14"/>
        <v>106.34207867542328</v>
      </c>
      <c r="R132" s="202">
        <f t="shared" si="15"/>
        <v>92.083615516641117</v>
      </c>
      <c r="S132" s="200">
        <f t="shared" si="11"/>
        <v>401955427.39078647</v>
      </c>
      <c r="T132" s="70">
        <f t="shared" si="13"/>
        <v>-9.1127044694527815E-4</v>
      </c>
    </row>
    <row r="133" spans="10:20">
      <c r="J133" s="295" t="s">
        <v>163</v>
      </c>
      <c r="K133" s="85">
        <f>K132*((TSIR!B119/TSIR!B118))</f>
        <v>3.5550000000000015</v>
      </c>
      <c r="L133" s="203">
        <f>L132*((TSIR!C119/TSIR!C118))</f>
        <v>7.7676923076923163</v>
      </c>
      <c r="M133" s="203">
        <f>M132*((TSIR!D119/TSIR!D118))</f>
        <v>10.616470588235282</v>
      </c>
      <c r="N133" s="203">
        <f>N132*((TSIR!E119/TSIR!E118))</f>
        <v>9.4937566852935493</v>
      </c>
      <c r="O133" s="203">
        <f>O132*((TSIR!F119/TSIR!F118))</f>
        <v>9.189473684210526</v>
      </c>
      <c r="P133" s="243">
        <f t="shared" si="12"/>
        <v>96.567041668678485</v>
      </c>
      <c r="Q133" s="204">
        <f t="shared" si="14"/>
        <v>106.29438450262082</v>
      </c>
      <c r="R133" s="202">
        <f t="shared" si="15"/>
        <v>92.063123867570837</v>
      </c>
      <c r="S133" s="200">
        <f t="shared" si="11"/>
        <v>401945002.05370903</v>
      </c>
      <c r="T133" s="70">
        <f t="shared" si="13"/>
        <v>-2.5936550092420241E-5</v>
      </c>
    </row>
    <row r="134" spans="10:20">
      <c r="J134" s="295" t="s">
        <v>164</v>
      </c>
      <c r="K134" s="85">
        <f>K133*((TSIR!B120/TSIR!B119))</f>
        <v>3.5550000000000015</v>
      </c>
      <c r="L134" s="203">
        <f>L133*((TSIR!C120/TSIR!C119))</f>
        <v>7.1923076923076996</v>
      </c>
      <c r="M134" s="203">
        <f>M133*((TSIR!D120/TSIR!D119))</f>
        <v>9.7317647058823429</v>
      </c>
      <c r="N134" s="203">
        <f>N133*((TSIR!E120/TSIR!E119))</f>
        <v>9.007718990256496</v>
      </c>
      <c r="O134" s="203">
        <f>O133*((TSIR!F120/TSIR!F119))</f>
        <v>8.8831578947368417</v>
      </c>
      <c r="P134" s="243">
        <f t="shared" si="12"/>
        <v>96.567041668678485</v>
      </c>
      <c r="Q134" s="204">
        <f t="shared" si="14"/>
        <v>106.48705759165451</v>
      </c>
      <c r="R134" s="202">
        <f t="shared" si="15"/>
        <v>92.124860349066537</v>
      </c>
      <c r="S134" s="200">
        <f t="shared" si="11"/>
        <v>401902938.34614134</v>
      </c>
      <c r="T134" s="70">
        <f t="shared" si="13"/>
        <v>-1.0465040578377938E-4</v>
      </c>
    </row>
    <row r="135" spans="10:20">
      <c r="J135" s="295" t="s">
        <v>165</v>
      </c>
      <c r="K135" s="85">
        <f>K134*((TSIR!B121/TSIR!B120))</f>
        <v>3.1600000000000015</v>
      </c>
      <c r="L135" s="203">
        <f>L134*((TSIR!C121/TSIR!C120))</f>
        <v>7.4800000000000075</v>
      </c>
      <c r="M135" s="203">
        <f>M134*((TSIR!D121/TSIR!D120))</f>
        <v>10.395294117647047</v>
      </c>
      <c r="N135" s="203">
        <f>N134*((TSIR!E121/TSIR!E120))</f>
        <v>9.4245773511471214</v>
      </c>
      <c r="O135" s="203">
        <f>O134*((TSIR!F121/TSIR!F120))</f>
        <v>9.189473684210526</v>
      </c>
      <c r="P135" s="243">
        <f t="shared" si="12"/>
        <v>96.936797208220227</v>
      </c>
      <c r="Q135" s="204">
        <f t="shared" si="14"/>
        <v>106.34207867542328</v>
      </c>
      <c r="R135" s="202">
        <f t="shared" si="15"/>
        <v>92.063123867570837</v>
      </c>
      <c r="S135" s="200">
        <f t="shared" si="11"/>
        <v>402612971.87358886</v>
      </c>
      <c r="T135" s="70">
        <f t="shared" si="13"/>
        <v>1.7666791150354744E-3</v>
      </c>
    </row>
    <row r="136" spans="10:20">
      <c r="J136" s="295" t="s">
        <v>166</v>
      </c>
      <c r="K136" s="85">
        <f>K135*((TSIR!B122/TSIR!B121))</f>
        <v>3.1600000000000015</v>
      </c>
      <c r="L136" s="203">
        <f>L135*((TSIR!C122/TSIR!C121))</f>
        <v>7.4800000000000075</v>
      </c>
      <c r="M136" s="203">
        <f>M135*((TSIR!D122/TSIR!D121))</f>
        <v>10.616470588235282</v>
      </c>
      <c r="N136" s="203">
        <f>N135*((TSIR!E122/TSIR!E121))</f>
        <v>9.4898464760146108</v>
      </c>
      <c r="O136" s="203">
        <f>O135*((TSIR!F122/TSIR!F121))</f>
        <v>9.189473684210526</v>
      </c>
      <c r="P136" s="243">
        <f t="shared" si="12"/>
        <v>96.936797208220227</v>
      </c>
      <c r="Q136" s="204">
        <f t="shared" si="14"/>
        <v>106.29438450262082</v>
      </c>
      <c r="R136" s="202">
        <f t="shared" si="15"/>
        <v>92.063123867570837</v>
      </c>
      <c r="S136" s="200">
        <f t="shared" si="11"/>
        <v>402684513.13279259</v>
      </c>
      <c r="T136" s="70">
        <f t="shared" si="13"/>
        <v>1.7769238499898421E-4</v>
      </c>
    </row>
    <row r="137" spans="10:20">
      <c r="J137" s="295" t="s">
        <v>167</v>
      </c>
      <c r="K137" s="85">
        <f>K136*((TSIR!B123/TSIR!B122))</f>
        <v>3.5550000000000015</v>
      </c>
      <c r="L137" s="203">
        <f>L136*((TSIR!C123/TSIR!C122))</f>
        <v>8.0553846153846251</v>
      </c>
      <c r="M137" s="203">
        <f>M136*((TSIR!D123/TSIR!D122))</f>
        <v>10.616470588235282</v>
      </c>
      <c r="N137" s="203">
        <f>N136*((TSIR!E123/TSIR!E122))</f>
        <v>9.6257926138360865</v>
      </c>
      <c r="O137" s="203">
        <f>O136*((TSIR!F123/TSIR!F122))</f>
        <v>9.393684210526315</v>
      </c>
      <c r="P137" s="243">
        <f t="shared" si="12"/>
        <v>96.567041668678485</v>
      </c>
      <c r="Q137" s="204">
        <f t="shared" si="14"/>
        <v>106.29438450262082</v>
      </c>
      <c r="R137" s="202">
        <f t="shared" si="15"/>
        <v>92.022399712557743</v>
      </c>
      <c r="S137" s="200">
        <f t="shared" si="11"/>
        <v>401782105.43365669</v>
      </c>
      <c r="T137" s="70">
        <f t="shared" si="13"/>
        <v>-2.2409794012572259E-3</v>
      </c>
    </row>
    <row r="138" spans="10:20">
      <c r="J138" s="295" t="s">
        <v>168</v>
      </c>
      <c r="K138" s="85">
        <f>K137*((TSIR!B124/TSIR!B123))</f>
        <v>3.1600000000000015</v>
      </c>
      <c r="L138" s="203">
        <f>L137*((TSIR!C124/TSIR!C123))</f>
        <v>7.1923076923077005</v>
      </c>
      <c r="M138" s="203">
        <f>M137*((TSIR!D124/TSIR!D123))</f>
        <v>10.395294117647047</v>
      </c>
      <c r="N138" s="203">
        <f>N137*((TSIR!E124/TSIR!E123))</f>
        <v>9.4244960683303773</v>
      </c>
      <c r="O138" s="203">
        <f>O137*((TSIR!F124/TSIR!F123))</f>
        <v>9.189473684210526</v>
      </c>
      <c r="P138" s="243">
        <f t="shared" si="12"/>
        <v>96.936797208220227</v>
      </c>
      <c r="Q138" s="204">
        <f t="shared" si="14"/>
        <v>106.34207867542328</v>
      </c>
      <c r="R138" s="202">
        <f t="shared" si="15"/>
        <v>92.063123867570837</v>
      </c>
      <c r="S138" s="200">
        <f t="shared" si="11"/>
        <v>402612971.87358886</v>
      </c>
      <c r="T138" s="70">
        <f t="shared" si="13"/>
        <v>2.0679528249158974E-3</v>
      </c>
    </row>
    <row r="139" spans="10:20">
      <c r="J139" s="295" t="s">
        <v>169</v>
      </c>
      <c r="K139" s="85">
        <f>K138*((TSIR!B125/TSIR!B124))</f>
        <v>3.1600000000000015</v>
      </c>
      <c r="L139" s="203">
        <f>L138*((TSIR!C125/TSIR!C124))</f>
        <v>7.7676923076923172</v>
      </c>
      <c r="M139" s="203">
        <f>M138*((TSIR!D125/TSIR!D124))</f>
        <v>10.395294117647047</v>
      </c>
      <c r="N139" s="203">
        <f>N138*((TSIR!E125/TSIR!E124))</f>
        <v>9.3568606407522168</v>
      </c>
      <c r="O139" s="203">
        <f>O138*((TSIR!F125/TSIR!F124))</f>
        <v>9.0873684210526324</v>
      </c>
      <c r="P139" s="243">
        <f t="shared" si="12"/>
        <v>96.936797208220227</v>
      </c>
      <c r="Q139" s="204">
        <f t="shared" si="14"/>
        <v>106.34207867542328</v>
      </c>
      <c r="R139" s="202">
        <f t="shared" si="15"/>
        <v>92.083615516641103</v>
      </c>
      <c r="S139" s="200">
        <f t="shared" si="11"/>
        <v>402694938.46986997</v>
      </c>
      <c r="T139" s="70">
        <f t="shared" si="13"/>
        <v>2.0358657571240002E-4</v>
      </c>
    </row>
    <row r="140" spans="10:20">
      <c r="J140" s="295" t="s">
        <v>170</v>
      </c>
      <c r="K140" s="85">
        <f>K139*((TSIR!B126/TSIR!B125))</f>
        <v>2.7650000000000015</v>
      </c>
      <c r="L140" s="203">
        <f>L139*((TSIR!C126/TSIR!C125))</f>
        <v>7.1923076923077005</v>
      </c>
      <c r="M140" s="203">
        <f>M139*((TSIR!D126/TSIR!D125))</f>
        <v>10.174117647058813</v>
      </c>
      <c r="N140" s="203">
        <f>N139*((TSIR!E126/TSIR!E125))</f>
        <v>9.1504072502515257</v>
      </c>
      <c r="O140" s="203">
        <f>O139*((TSIR!F126/TSIR!F125))</f>
        <v>8.8831578947368417</v>
      </c>
      <c r="P140" s="243">
        <f t="shared" si="12"/>
        <v>97.309395222108705</v>
      </c>
      <c r="Q140" s="204">
        <f t="shared" si="14"/>
        <v>106.39008702968945</v>
      </c>
      <c r="R140" s="202">
        <f t="shared" si="15"/>
        <v>92.124860349066537</v>
      </c>
      <c r="S140" s="200">
        <f t="shared" si="11"/>
        <v>403533101.2959494</v>
      </c>
      <c r="T140" s="70">
        <f t="shared" si="13"/>
        <v>2.081384060262037E-3</v>
      </c>
    </row>
    <row r="141" spans="10:20">
      <c r="J141" s="295" t="s">
        <v>171</v>
      </c>
      <c r="K141" s="85">
        <f>K140*((TSIR!B127/TSIR!B126))</f>
        <v>3.5550000000000015</v>
      </c>
      <c r="L141" s="203">
        <f>L140*((TSIR!C127/TSIR!C126))</f>
        <v>7.1923076923077005</v>
      </c>
      <c r="M141" s="203">
        <f>M140*((TSIR!D127/TSIR!D126))</f>
        <v>10.395294117647046</v>
      </c>
      <c r="N141" s="203">
        <f>N140*((TSIR!E127/TSIR!E126))</f>
        <v>9.355709618609783</v>
      </c>
      <c r="O141" s="203">
        <f>O140*((TSIR!F127/TSIR!F126))</f>
        <v>9.0873684210526307</v>
      </c>
      <c r="P141" s="243">
        <f t="shared" si="12"/>
        <v>96.567041668678485</v>
      </c>
      <c r="Q141" s="204">
        <f t="shared" si="14"/>
        <v>106.34207867542325</v>
      </c>
      <c r="R141" s="202">
        <f t="shared" si="15"/>
        <v>92.083615516641117</v>
      </c>
      <c r="S141" s="200">
        <f t="shared" si="11"/>
        <v>401955427.39078653</v>
      </c>
      <c r="T141" s="70">
        <f t="shared" si="13"/>
        <v>-3.9096517735376368E-3</v>
      </c>
    </row>
    <row r="142" spans="10:20">
      <c r="J142" s="295" t="s">
        <v>172</v>
      </c>
      <c r="K142" s="85">
        <f>K141*((TSIR!B128/TSIR!B127))</f>
        <v>3.1600000000000015</v>
      </c>
      <c r="L142" s="203">
        <f>L141*((TSIR!C128/TSIR!C127))</f>
        <v>6.9046153846153926</v>
      </c>
      <c r="M142" s="203">
        <f>M141*((TSIR!D128/TSIR!D127))</f>
        <v>9.952941176470576</v>
      </c>
      <c r="N142" s="203">
        <f>N141*((TSIR!E128/TSIR!E127))</f>
        <v>9.0073110501166802</v>
      </c>
      <c r="O142" s="203">
        <f>O141*((TSIR!F128/TSIR!F127))</f>
        <v>8.7810526315789463</v>
      </c>
      <c r="P142" s="243">
        <f t="shared" si="12"/>
        <v>96.936797208220227</v>
      </c>
      <c r="Q142" s="204">
        <f t="shared" si="14"/>
        <v>106.43841238476485</v>
      </c>
      <c r="R142" s="202">
        <f t="shared" si="15"/>
        <v>92.145614498482416</v>
      </c>
      <c r="S142" s="200">
        <f t="shared" si="11"/>
        <v>402798433.83322287</v>
      </c>
      <c r="T142" s="70">
        <f t="shared" si="13"/>
        <v>2.0972634899061315E-3</v>
      </c>
    </row>
    <row r="143" spans="10:20">
      <c r="J143" s="295" t="s">
        <v>173</v>
      </c>
      <c r="K143" s="85">
        <f>K142*((TSIR!B129/TSIR!B128))</f>
        <v>2.7650000000000015</v>
      </c>
      <c r="L143" s="203">
        <f>L142*((TSIR!C129/TSIR!C128))</f>
        <v>6.3292307692307768</v>
      </c>
      <c r="M143" s="203">
        <f>M142*((TSIR!D129/TSIR!D128))</f>
        <v>9.2894117647058696</v>
      </c>
      <c r="N143" s="203">
        <f>N142*((TSIR!E129/TSIR!E128))</f>
        <v>8.4587220438849684</v>
      </c>
      <c r="O143" s="203">
        <f>O142*((TSIR!F129/TSIR!F128))</f>
        <v>8.2705263157894731</v>
      </c>
      <c r="P143" s="243">
        <f t="shared" si="12"/>
        <v>97.309395222108705</v>
      </c>
      <c r="Q143" s="204">
        <f t="shared" si="14"/>
        <v>106.5853191257513</v>
      </c>
      <c r="R143" s="202">
        <f t="shared" si="15"/>
        <v>92.250722191695914</v>
      </c>
      <c r="S143" s="200">
        <f t="shared" si="11"/>
        <v>403743700.52237415</v>
      </c>
      <c r="T143" s="70">
        <f t="shared" si="13"/>
        <v>2.3467486706829632E-3</v>
      </c>
    </row>
    <row r="144" spans="10:20">
      <c r="J144" s="295" t="s">
        <v>174</v>
      </c>
      <c r="K144" s="85">
        <f>K143*((TSIR!B130/TSIR!B129))</f>
        <v>3.1600000000000015</v>
      </c>
      <c r="L144" s="203">
        <f>L143*((TSIR!C130/TSIR!C129))</f>
        <v>6.3292307692307768</v>
      </c>
      <c r="M144" s="203">
        <f>M143*((TSIR!D130/TSIR!D129))</f>
        <v>9.0682352941176347</v>
      </c>
      <c r="N144" s="203">
        <f>N143*((TSIR!E130/TSIR!E129))</f>
        <v>8.2574376061777173</v>
      </c>
      <c r="O144" s="203">
        <f>O143*((TSIR!F130/TSIR!F129))</f>
        <v>8.0663157894736841</v>
      </c>
      <c r="P144" s="243">
        <f t="shared" si="12"/>
        <v>96.936797208220227</v>
      </c>
      <c r="Q144" s="204">
        <f t="shared" si="14"/>
        <v>106.6349413171244</v>
      </c>
      <c r="R144" s="202">
        <f t="shared" si="15"/>
        <v>92.293398484911876</v>
      </c>
      <c r="S144" s="200">
        <f t="shared" si="11"/>
        <v>403094776.38040137</v>
      </c>
      <c r="T144" s="70">
        <f t="shared" si="13"/>
        <v>-1.6072675341638476E-3</v>
      </c>
    </row>
    <row r="145" spans="10:20">
      <c r="J145" s="295" t="s">
        <v>175</v>
      </c>
      <c r="K145" s="85">
        <f>K144*((TSIR!B131/TSIR!B130))</f>
        <v>2.7650000000000015</v>
      </c>
      <c r="L145" s="203">
        <f>L144*((TSIR!C131/TSIR!C130))</f>
        <v>5.466153846153853</v>
      </c>
      <c r="M145" s="203">
        <f>M144*((TSIR!D131/TSIR!D130))</f>
        <v>8.1835294117646953</v>
      </c>
      <c r="N145" s="203">
        <f>N144*((TSIR!E131/TSIR!E130))</f>
        <v>7.6383458758974028</v>
      </c>
      <c r="O145" s="203">
        <f>O144*((TSIR!F131/TSIR!F130))</f>
        <v>7.5557894736842108</v>
      </c>
      <c r="P145" s="243">
        <f t="shared" si="12"/>
        <v>97.309395222108705</v>
      </c>
      <c r="Q145" s="204">
        <f t="shared" si="14"/>
        <v>106.83677622305157</v>
      </c>
      <c r="R145" s="202">
        <f t="shared" si="15"/>
        <v>92.401707932731114</v>
      </c>
      <c r="S145" s="200">
        <f t="shared" si="11"/>
        <v>403970457.84056449</v>
      </c>
      <c r="T145" s="70">
        <f t="shared" si="13"/>
        <v>2.1723959512109925E-3</v>
      </c>
    </row>
    <row r="146" spans="10:20">
      <c r="J146" s="295" t="s">
        <v>176</v>
      </c>
      <c r="K146" s="85">
        <f>K145*((TSIR!B132/TSIR!B131))</f>
        <v>3.1600000000000015</v>
      </c>
      <c r="L146" s="203">
        <f>L145*((TSIR!C132/TSIR!C131))</f>
        <v>6.6169230769230856</v>
      </c>
      <c r="M146" s="203">
        <f>M145*((TSIR!D132/TSIR!D131))</f>
        <v>9.0682352941176347</v>
      </c>
      <c r="N146" s="203">
        <f>N145*((TSIR!E132/TSIR!E131))</f>
        <v>8.2542074761209019</v>
      </c>
      <c r="O146" s="203">
        <f>O145*((TSIR!F132/TSIR!F131))</f>
        <v>8.0663157894736841</v>
      </c>
      <c r="P146" s="243">
        <f t="shared" si="12"/>
        <v>96.936797208220227</v>
      </c>
      <c r="Q146" s="204">
        <f t="shared" si="14"/>
        <v>106.6349413171244</v>
      </c>
      <c r="R146" s="202">
        <f t="shared" si="15"/>
        <v>92.293398484911876</v>
      </c>
      <c r="S146" s="200">
        <f t="shared" ref="S146:S209" si="16">P146*$C$10+Q146*$C$11+R146*$C$12</f>
        <v>403094776.38040137</v>
      </c>
      <c r="T146" s="70">
        <f t="shared" si="13"/>
        <v>-2.1676868770159619E-3</v>
      </c>
    </row>
    <row r="147" spans="10:20">
      <c r="J147" s="295" t="s">
        <v>177</v>
      </c>
      <c r="K147" s="85">
        <f>K146*((TSIR!B133/TSIR!B132))</f>
        <v>3.1600000000000015</v>
      </c>
      <c r="L147" s="203">
        <f>L146*((TSIR!C133/TSIR!C132))</f>
        <v>6.6169230769230856</v>
      </c>
      <c r="M147" s="203">
        <f>M146*((TSIR!D133/TSIR!D132))</f>
        <v>9.5105882352941045</v>
      </c>
      <c r="N147" s="203">
        <f>N146*((TSIR!E133/TSIR!E132))</f>
        <v>8.5277581539289944</v>
      </c>
      <c r="O147" s="203">
        <f>O146*((TSIR!F133/TSIR!F132))</f>
        <v>8.2705263157894731</v>
      </c>
      <c r="P147" s="243">
        <f t="shared" ref="P147:P210" si="17">100/(1+(K147/100))</f>
        <v>96.936797208220227</v>
      </c>
      <c r="Q147" s="204">
        <f t="shared" si="14"/>
        <v>106.53602553344808</v>
      </c>
      <c r="R147" s="202">
        <f t="shared" si="15"/>
        <v>92.250722191695914</v>
      </c>
      <c r="S147" s="200">
        <f t="shared" si="16"/>
        <v>403072444.88305199</v>
      </c>
      <c r="T147" s="70">
        <f t="shared" ref="T147:T210" si="18">(S147/S146)-1</f>
        <v>-5.5400115947734641E-5</v>
      </c>
    </row>
    <row r="148" spans="10:20">
      <c r="J148" s="295" t="s">
        <v>178</v>
      </c>
      <c r="K148" s="85">
        <f>K147*((TSIR!B134/TSIR!B133))</f>
        <v>3.1600000000000015</v>
      </c>
      <c r="L148" s="203">
        <f>L147*((TSIR!C134/TSIR!C133))</f>
        <v>7.4800000000000093</v>
      </c>
      <c r="M148" s="203">
        <f>M147*((TSIR!D134/TSIR!D133))</f>
        <v>10.395294117647044</v>
      </c>
      <c r="N148" s="203">
        <f>N147*((TSIR!E134/TSIR!E133))</f>
        <v>9.0773329034662193</v>
      </c>
      <c r="O148" s="203">
        <f>O147*((TSIR!F134/TSIR!F133))</f>
        <v>8.6789473684210527</v>
      </c>
      <c r="P148" s="243">
        <f t="shared" si="17"/>
        <v>96.936797208220227</v>
      </c>
      <c r="Q148" s="204">
        <f t="shared" ref="Q148:Q211" si="19">$F$6*((1-(1+M148/100)^(-$D$6))/(M148/100))+($F$6+100)/(1+$M$17/100)^$D$6</f>
        <v>106.34207867542325</v>
      </c>
      <c r="R148" s="202">
        <f t="shared" ref="R148:R211" si="20">$F$7*((1-(1+O148/100)^(-$D$7))/(O148/100))+($F$7+100)/(1+$O$17/100)^$D$7</f>
        <v>92.166457119464354</v>
      </c>
      <c r="S148" s="200">
        <f t="shared" si="16"/>
        <v>403026304.881163</v>
      </c>
      <c r="T148" s="70">
        <f t="shared" si="18"/>
        <v>-1.1447074210790831E-4</v>
      </c>
    </row>
    <row r="149" spans="10:20">
      <c r="J149" s="295" t="s">
        <v>179</v>
      </c>
      <c r="K149" s="85">
        <f>K148*((TSIR!B135/TSIR!B134))</f>
        <v>3.1600000000000015</v>
      </c>
      <c r="L149" s="203">
        <f>L148*((TSIR!C135/TSIR!C134))</f>
        <v>6.6169230769230847</v>
      </c>
      <c r="M149" s="203">
        <f>M148*((TSIR!D135/TSIR!D134))</f>
        <v>9.7317647058823393</v>
      </c>
      <c r="N149" s="203">
        <f>N148*((TSIR!E135/TSIR!E134))</f>
        <v>8.5258491445160445</v>
      </c>
      <c r="O149" s="203">
        <f>O148*((TSIR!F135/TSIR!F134))</f>
        <v>8.1684210526315795</v>
      </c>
      <c r="P149" s="243">
        <f t="shared" si="17"/>
        <v>96.936797208220227</v>
      </c>
      <c r="Q149" s="204">
        <f t="shared" si="19"/>
        <v>106.48705759165449</v>
      </c>
      <c r="R149" s="202">
        <f t="shared" si="20"/>
        <v>92.27201460409114</v>
      </c>
      <c r="S149" s="200">
        <f t="shared" si="16"/>
        <v>403231066.44532323</v>
      </c>
      <c r="T149" s="70">
        <f t="shared" si="18"/>
        <v>5.0806004888581668E-4</v>
      </c>
    </row>
    <row r="150" spans="10:20">
      <c r="J150" s="295" t="s">
        <v>180</v>
      </c>
      <c r="K150" s="85">
        <f>K149*((TSIR!B136/TSIR!B135))</f>
        <v>2.7650000000000015</v>
      </c>
      <c r="L150" s="203">
        <f>L149*((TSIR!C136/TSIR!C135))</f>
        <v>6.6169230769230847</v>
      </c>
      <c r="M150" s="203">
        <f>M149*((TSIR!D136/TSIR!D135))</f>
        <v>9.5105882352941045</v>
      </c>
      <c r="N150" s="203">
        <f>N149*((TSIR!E136/TSIR!E135))</f>
        <v>8.3246769591613301</v>
      </c>
      <c r="O150" s="203">
        <f>O149*((TSIR!F136/TSIR!F135))</f>
        <v>7.9642105263157896</v>
      </c>
      <c r="P150" s="243">
        <f t="shared" si="17"/>
        <v>97.309395222108705</v>
      </c>
      <c r="Q150" s="204">
        <f t="shared" si="19"/>
        <v>106.53602553344808</v>
      </c>
      <c r="R150" s="202">
        <f t="shared" si="20"/>
        <v>92.314874345470358</v>
      </c>
      <c r="S150" s="200">
        <f t="shared" si="16"/>
        <v>404074249.52592671</v>
      </c>
      <c r="T150" s="70">
        <f t="shared" si="18"/>
        <v>2.091066762381466E-3</v>
      </c>
    </row>
    <row r="151" spans="10:20">
      <c r="J151" s="295" t="s">
        <v>181</v>
      </c>
      <c r="K151" s="85">
        <f>K150*((TSIR!B137/TSIR!B136))</f>
        <v>3.1600000000000015</v>
      </c>
      <c r="L151" s="203">
        <f>L150*((TSIR!C137/TSIR!C136))</f>
        <v>7.1923076923077005</v>
      </c>
      <c r="M151" s="203">
        <f>M150*((TSIR!D137/TSIR!D136))</f>
        <v>9.5105882352941045</v>
      </c>
      <c r="N151" s="203">
        <f>N150*((TSIR!E137/TSIR!E136))</f>
        <v>8.3932766904791247</v>
      </c>
      <c r="O151" s="203">
        <f>O150*((TSIR!F137/TSIR!F136))</f>
        <v>8.0663157894736841</v>
      </c>
      <c r="P151" s="243">
        <f t="shared" si="17"/>
        <v>96.936797208220227</v>
      </c>
      <c r="Q151" s="204">
        <f t="shared" si="19"/>
        <v>106.53602553344808</v>
      </c>
      <c r="R151" s="202">
        <f t="shared" si="20"/>
        <v>92.293398484911876</v>
      </c>
      <c r="S151" s="200">
        <f t="shared" si="16"/>
        <v>403243150.05591583</v>
      </c>
      <c r="T151" s="70">
        <f t="shared" si="18"/>
        <v>-2.0567988952178151E-3</v>
      </c>
    </row>
    <row r="152" spans="10:20">
      <c r="J152" s="295" t="s">
        <v>182</v>
      </c>
      <c r="K152" s="85">
        <f>K151*((TSIR!B138/TSIR!B137))</f>
        <v>2.7650000000000015</v>
      </c>
      <c r="L152" s="203">
        <f>L151*((TSIR!C138/TSIR!C137))</f>
        <v>6.041538461538468</v>
      </c>
      <c r="M152" s="203">
        <f>M151*((TSIR!D138/TSIR!D137))</f>
        <v>8.4047058823529301</v>
      </c>
      <c r="N152" s="203">
        <f>N151*((TSIR!E138/TSIR!E137))</f>
        <v>7.4283828288313254</v>
      </c>
      <c r="O152" s="203">
        <f>O151*((TSIR!F138/TSIR!F137))</f>
        <v>7.1473684210526311</v>
      </c>
      <c r="P152" s="243">
        <f t="shared" si="17"/>
        <v>97.309395222108705</v>
      </c>
      <c r="Q152" s="204">
        <f t="shared" si="19"/>
        <v>106.78580947497932</v>
      </c>
      <c r="R152" s="202">
        <f t="shared" si="20"/>
        <v>92.490055009891535</v>
      </c>
      <c r="S152" s="200">
        <f t="shared" si="16"/>
        <v>404400296.27131462</v>
      </c>
      <c r="T152" s="70">
        <f t="shared" si="18"/>
        <v>2.8695991865907988E-3</v>
      </c>
    </row>
    <row r="153" spans="10:20">
      <c r="J153" s="295" t="s">
        <v>183</v>
      </c>
      <c r="K153" s="85">
        <f>K152*((TSIR!B139/TSIR!B138))</f>
        <v>3.1600000000000015</v>
      </c>
      <c r="L153" s="203">
        <f>L152*((TSIR!C139/TSIR!C138))</f>
        <v>5.75384615384616</v>
      </c>
      <c r="M153" s="203">
        <f>M152*((TSIR!D139/TSIR!D138))</f>
        <v>8.1835294117646953</v>
      </c>
      <c r="N153" s="203">
        <f>N152*((TSIR!E139/TSIR!E138))</f>
        <v>7.2929846244712255</v>
      </c>
      <c r="O153" s="203">
        <f>O152*((TSIR!F139/TSIR!F138))</f>
        <v>7.0452631578947358</v>
      </c>
      <c r="P153" s="243">
        <f t="shared" si="17"/>
        <v>96.936797208220227</v>
      </c>
      <c r="Q153" s="204">
        <f t="shared" si="19"/>
        <v>106.83677622305157</v>
      </c>
      <c r="R153" s="202">
        <f t="shared" si="20"/>
        <v>92.512382275842981</v>
      </c>
      <c r="S153" s="200">
        <f t="shared" si="16"/>
        <v>403667959.18523502</v>
      </c>
      <c r="T153" s="70">
        <f t="shared" si="18"/>
        <v>-1.8109212402462882E-3</v>
      </c>
    </row>
    <row r="154" spans="10:20">
      <c r="J154" s="295" t="s">
        <v>184</v>
      </c>
      <c r="K154" s="85">
        <f>K153*((TSIR!B140/TSIR!B139))</f>
        <v>2.7650000000000015</v>
      </c>
      <c r="L154" s="203">
        <f>L153*((TSIR!C140/TSIR!C139))</f>
        <v>6.329230769230775</v>
      </c>
      <c r="M154" s="203">
        <f>M153*((TSIR!D140/TSIR!D139))</f>
        <v>8.6258823529411668</v>
      </c>
      <c r="N154" s="203">
        <f>N153*((TSIR!E140/TSIR!E139))</f>
        <v>7.7718709606871696</v>
      </c>
      <c r="O154" s="203">
        <f>O153*((TSIR!F140/TSIR!F139))</f>
        <v>7.5557894736842099</v>
      </c>
      <c r="P154" s="243">
        <f t="shared" si="17"/>
        <v>97.309395222108705</v>
      </c>
      <c r="Q154" s="204">
        <f t="shared" si="19"/>
        <v>106.73518345877127</v>
      </c>
      <c r="R154" s="202">
        <f t="shared" si="20"/>
        <v>92.401707932731114</v>
      </c>
      <c r="S154" s="200">
        <f t="shared" si="16"/>
        <v>404122846.98698497</v>
      </c>
      <c r="T154" s="70">
        <f t="shared" si="18"/>
        <v>1.1268860740596409E-3</v>
      </c>
    </row>
    <row r="155" spans="10:20">
      <c r="J155" s="295" t="s">
        <v>185</v>
      </c>
      <c r="K155" s="85">
        <f>K154*((TSIR!B141/TSIR!B140))</f>
        <v>2.7650000000000015</v>
      </c>
      <c r="L155" s="203">
        <f>L154*((TSIR!C141/TSIR!C140))</f>
        <v>5.7538461538461592</v>
      </c>
      <c r="M155" s="203">
        <f>M154*((TSIR!D141/TSIR!D140))</f>
        <v>8.1835294117646971</v>
      </c>
      <c r="N155" s="203">
        <f>N154*((TSIR!E141/TSIR!E140))</f>
        <v>7.4295914950571547</v>
      </c>
      <c r="O155" s="203">
        <f>O154*((TSIR!F141/TSIR!F140))</f>
        <v>7.2494736842105256</v>
      </c>
      <c r="P155" s="243">
        <f t="shared" si="17"/>
        <v>97.309395222108705</v>
      </c>
      <c r="Q155" s="204">
        <f t="shared" si="19"/>
        <v>106.83677622305157</v>
      </c>
      <c r="R155" s="202">
        <f t="shared" si="20"/>
        <v>92.46782448414946</v>
      </c>
      <c r="S155" s="200">
        <f t="shared" si="16"/>
        <v>404234924.04623789</v>
      </c>
      <c r="T155" s="70">
        <f t="shared" si="18"/>
        <v>2.7733413264940943E-4</v>
      </c>
    </row>
    <row r="156" spans="10:20">
      <c r="J156" s="295" t="s">
        <v>186</v>
      </c>
      <c r="K156" s="85">
        <f>K155*((TSIR!B142/TSIR!B141))</f>
        <v>2.7650000000000015</v>
      </c>
      <c r="L156" s="203">
        <f>L155*((TSIR!C142/TSIR!C141))</f>
        <v>6.3292307692307741</v>
      </c>
      <c r="M156" s="203">
        <f>M155*((TSIR!D142/TSIR!D141))</f>
        <v>8.4047058823529319</v>
      </c>
      <c r="N156" s="203">
        <f>N155*((TSIR!E142/TSIR!E141))</f>
        <v>7.5675007959067555</v>
      </c>
      <c r="O156" s="203">
        <f>O155*((TSIR!F142/TSIR!F141))</f>
        <v>7.3515789473684201</v>
      </c>
      <c r="P156" s="243">
        <f t="shared" si="17"/>
        <v>97.309395222108705</v>
      </c>
      <c r="Q156" s="204">
        <f t="shared" si="19"/>
        <v>106.78580947497932</v>
      </c>
      <c r="R156" s="202">
        <f t="shared" si="20"/>
        <v>92.445690155236804</v>
      </c>
      <c r="S156" s="200">
        <f t="shared" si="16"/>
        <v>404222836.8526957</v>
      </c>
      <c r="T156" s="70">
        <f t="shared" si="18"/>
        <v>-2.9901408372112748E-5</v>
      </c>
    </row>
    <row r="157" spans="10:20">
      <c r="J157" s="295" t="s">
        <v>187</v>
      </c>
      <c r="K157" s="85">
        <f>K156*((TSIR!B143/TSIR!B142))</f>
        <v>3.1600000000000015</v>
      </c>
      <c r="L157" s="203">
        <f>L156*((TSIR!C143/TSIR!C142))</f>
        <v>6.3292307692307741</v>
      </c>
      <c r="M157" s="203">
        <f>M156*((TSIR!D143/TSIR!D142))</f>
        <v>8.4047058823529319</v>
      </c>
      <c r="N157" s="203">
        <f>N156*((TSIR!E143/TSIR!E142))</f>
        <v>7.6331924850783235</v>
      </c>
      <c r="O157" s="203">
        <f>O156*((TSIR!F143/TSIR!F142))</f>
        <v>7.4536842105263146</v>
      </c>
      <c r="P157" s="243">
        <f t="shared" si="17"/>
        <v>96.936797208220227</v>
      </c>
      <c r="Q157" s="204">
        <f t="shared" si="19"/>
        <v>106.78580947497932</v>
      </c>
      <c r="R157" s="202">
        <f t="shared" si="20"/>
        <v>92.423651483449603</v>
      </c>
      <c r="S157" s="200">
        <f t="shared" si="16"/>
        <v>403389486.13776994</v>
      </c>
      <c r="T157" s="70">
        <f t="shared" si="18"/>
        <v>-2.0616121578242996E-3</v>
      </c>
    </row>
    <row r="158" spans="10:20">
      <c r="J158" s="295" t="s">
        <v>188</v>
      </c>
      <c r="K158" s="85">
        <f>K157*((TSIR!B144/TSIR!B143))</f>
        <v>2.7650000000000015</v>
      </c>
      <c r="L158" s="203">
        <f>L157*((TSIR!C144/TSIR!C143))</f>
        <v>5.7538461538461592</v>
      </c>
      <c r="M158" s="203">
        <f>M157*((TSIR!D144/TSIR!D143))</f>
        <v>8.1835294117646971</v>
      </c>
      <c r="N158" s="203">
        <f>N157*((TSIR!E144/TSIR!E143))</f>
        <v>7.4281123289446223</v>
      </c>
      <c r="O158" s="203">
        <f>O157*((TSIR!F144/TSIR!F143))</f>
        <v>7.2494736842105247</v>
      </c>
      <c r="P158" s="243">
        <f t="shared" si="17"/>
        <v>97.309395222108705</v>
      </c>
      <c r="Q158" s="204">
        <f t="shared" si="19"/>
        <v>106.83677622305157</v>
      </c>
      <c r="R158" s="202">
        <f t="shared" si="20"/>
        <v>92.46782448414946</v>
      </c>
      <c r="S158" s="200">
        <f t="shared" si="16"/>
        <v>404234924.04623789</v>
      </c>
      <c r="T158" s="70">
        <f t="shared" si="18"/>
        <v>2.0958352597697516E-3</v>
      </c>
    </row>
    <row r="159" spans="10:20">
      <c r="J159" s="295" t="s">
        <v>189</v>
      </c>
      <c r="K159" s="85">
        <f>K158*((TSIR!B145/TSIR!B144))</f>
        <v>2.7650000000000015</v>
      </c>
      <c r="L159" s="203">
        <f>L158*((TSIR!C145/TSIR!C144))</f>
        <v>5.7538461538461592</v>
      </c>
      <c r="M159" s="203">
        <f>M158*((TSIR!D145/TSIR!D144))</f>
        <v>8.4047058823529319</v>
      </c>
      <c r="N159" s="203">
        <f>N158*((TSIR!E145/TSIR!E144))</f>
        <v>7.5694858545478221</v>
      </c>
      <c r="O159" s="203">
        <f>O158*((TSIR!F145/TSIR!F144))</f>
        <v>7.3515789473684192</v>
      </c>
      <c r="P159" s="243">
        <f t="shared" si="17"/>
        <v>97.309395222108705</v>
      </c>
      <c r="Q159" s="204">
        <f t="shared" si="19"/>
        <v>106.78580947497932</v>
      </c>
      <c r="R159" s="202">
        <f t="shared" si="20"/>
        <v>92.445690155236804</v>
      </c>
      <c r="S159" s="200">
        <f t="shared" si="16"/>
        <v>404222836.8526957</v>
      </c>
      <c r="T159" s="70">
        <f t="shared" si="18"/>
        <v>-2.9901408372112748E-5</v>
      </c>
    </row>
    <row r="160" spans="10:20">
      <c r="J160" s="295" t="s">
        <v>190</v>
      </c>
      <c r="K160" s="85">
        <f>K159*((TSIR!B146/TSIR!B145))</f>
        <v>3.1600000000000015</v>
      </c>
      <c r="L160" s="203">
        <f>L159*((TSIR!C146/TSIR!C145))</f>
        <v>5.7538461538461592</v>
      </c>
      <c r="M160" s="203">
        <f>M159*((TSIR!D146/TSIR!D145))</f>
        <v>8.1835294117646971</v>
      </c>
      <c r="N160" s="203">
        <f>N159*((TSIR!E146/TSIR!E145))</f>
        <v>7.5675747058376368</v>
      </c>
      <c r="O160" s="203">
        <f>O159*((TSIR!F146/TSIR!F145))</f>
        <v>7.4536842105263137</v>
      </c>
      <c r="P160" s="243">
        <f t="shared" si="17"/>
        <v>96.936797208220227</v>
      </c>
      <c r="Q160" s="204">
        <f t="shared" si="19"/>
        <v>106.83677622305157</v>
      </c>
      <c r="R160" s="202">
        <f t="shared" si="20"/>
        <v>92.423651483449603</v>
      </c>
      <c r="S160" s="200">
        <f t="shared" si="16"/>
        <v>403313036.01566154</v>
      </c>
      <c r="T160" s="70">
        <f t="shared" si="18"/>
        <v>-2.2507408144426533E-3</v>
      </c>
    </row>
    <row r="161" spans="10:20">
      <c r="J161" s="295" t="s">
        <v>191</v>
      </c>
      <c r="K161" s="85">
        <f>K160*((TSIR!B147/TSIR!B146))</f>
        <v>2.7650000000000015</v>
      </c>
      <c r="L161" s="203">
        <f>L160*((TSIR!C147/TSIR!C146))</f>
        <v>5.4661538461538512</v>
      </c>
      <c r="M161" s="203">
        <f>M160*((TSIR!D147/TSIR!D146))</f>
        <v>7.7411764705882273</v>
      </c>
      <c r="N161" s="203">
        <f>N160*((TSIR!E147/TSIR!E146))</f>
        <v>7.1547304237832634</v>
      </c>
      <c r="O161" s="203">
        <f>O160*((TSIR!F147/TSIR!F146))</f>
        <v>7.0452631578947349</v>
      </c>
      <c r="P161" s="243">
        <f t="shared" si="17"/>
        <v>97.309395222108705</v>
      </c>
      <c r="Q161" s="204">
        <f t="shared" si="19"/>
        <v>106.93974443112786</v>
      </c>
      <c r="R161" s="202">
        <f t="shared" si="20"/>
        <v>92.512382275842981</v>
      </c>
      <c r="S161" s="200">
        <f t="shared" si="16"/>
        <v>404258702.9008975</v>
      </c>
      <c r="T161" s="70">
        <f t="shared" si="18"/>
        <v>2.3447466379422632E-3</v>
      </c>
    </row>
    <row r="162" spans="10:20">
      <c r="J162" s="295" t="s">
        <v>192</v>
      </c>
      <c r="K162" s="85">
        <f>K161*((TSIR!B148/TSIR!B147))</f>
        <v>2.7650000000000015</v>
      </c>
      <c r="L162" s="203">
        <f>L161*((TSIR!C148/TSIR!C147))</f>
        <v>4.8907692307692354</v>
      </c>
      <c r="M162" s="203">
        <f>M161*((TSIR!D148/TSIR!D147))</f>
        <v>7.2988235294117576</v>
      </c>
      <c r="N162" s="203">
        <f>N161*((TSIR!E148/TSIR!E147))</f>
        <v>6.8088512403064554</v>
      </c>
      <c r="O162" s="203">
        <f>O161*((TSIR!F148/TSIR!F147))</f>
        <v>6.7389473684210515</v>
      </c>
      <c r="P162" s="243">
        <f t="shared" si="17"/>
        <v>97.309395222108705</v>
      </c>
      <c r="Q162" s="204">
        <f t="shared" si="19"/>
        <v>107.04411347594807</v>
      </c>
      <c r="R162" s="202">
        <f t="shared" si="20"/>
        <v>92.57995000450785</v>
      </c>
      <c r="S162" s="200">
        <f t="shared" si="16"/>
        <v>404372420.24832672</v>
      </c>
      <c r="T162" s="70">
        <f t="shared" si="18"/>
        <v>2.8129845223667793E-4</v>
      </c>
    </row>
    <row r="163" spans="10:20">
      <c r="J163" s="295" t="s">
        <v>193</v>
      </c>
      <c r="K163" s="85">
        <f>K162*((TSIR!B149/TSIR!B148))</f>
        <v>2.7650000000000015</v>
      </c>
      <c r="L163" s="203">
        <f>L162*((TSIR!C149/TSIR!C148))</f>
        <v>4.8907692307692354</v>
      </c>
      <c r="M163" s="203">
        <f>M162*((TSIR!D149/TSIR!D148))</f>
        <v>7.2988235294117576</v>
      </c>
      <c r="N163" s="203">
        <f>N162*((TSIR!E149/TSIR!E148))</f>
        <v>6.740924823837557</v>
      </c>
      <c r="O163" s="203">
        <f>O162*((TSIR!F149/TSIR!F148))</f>
        <v>6.636842105263157</v>
      </c>
      <c r="P163" s="243">
        <f t="shared" si="17"/>
        <v>97.309395222108705</v>
      </c>
      <c r="Q163" s="204">
        <f t="shared" si="19"/>
        <v>107.04411347594807</v>
      </c>
      <c r="R163" s="202">
        <f t="shared" si="20"/>
        <v>92.60266973964228</v>
      </c>
      <c r="S163" s="200">
        <f t="shared" si="16"/>
        <v>404463299.18886441</v>
      </c>
      <c r="T163" s="70">
        <f t="shared" si="18"/>
        <v>2.2474069938271946E-4</v>
      </c>
    </row>
    <row r="164" spans="10:20">
      <c r="J164" s="295" t="s">
        <v>194</v>
      </c>
      <c r="K164" s="85">
        <f>K163*((TSIR!B150/TSIR!B149))</f>
        <v>2.7650000000000015</v>
      </c>
      <c r="L164" s="203">
        <f>L163*((TSIR!C150/TSIR!C149))</f>
        <v>4.8907692307692354</v>
      </c>
      <c r="M164" s="203">
        <f>M163*((TSIR!D150/TSIR!D149))</f>
        <v>7.5199999999999925</v>
      </c>
      <c r="N164" s="203">
        <f>N163*((TSIR!E150/TSIR!E149))</f>
        <v>6.9462645902079805</v>
      </c>
      <c r="O164" s="203">
        <f>O163*((TSIR!F150/TSIR!F149))</f>
        <v>6.8410526315789468</v>
      </c>
      <c r="P164" s="243">
        <f t="shared" si="17"/>
        <v>97.309395222108705</v>
      </c>
      <c r="Q164" s="204">
        <f t="shared" si="19"/>
        <v>106.99175223912246</v>
      </c>
      <c r="R164" s="202">
        <f t="shared" si="20"/>
        <v>92.557329220449404</v>
      </c>
      <c r="S164" s="200">
        <f t="shared" si="16"/>
        <v>404360478.96733129</v>
      </c>
      <c r="T164" s="70">
        <f t="shared" si="18"/>
        <v>-2.5421397130298562E-4</v>
      </c>
    </row>
    <row r="165" spans="10:20">
      <c r="J165" s="295" t="s">
        <v>195</v>
      </c>
      <c r="K165" s="85">
        <f>K164*((TSIR!B151/TSIR!B150))</f>
        <v>3.1600000000000015</v>
      </c>
      <c r="L165" s="203">
        <f>L164*((TSIR!C151/TSIR!C150))</f>
        <v>6.0415384615384662</v>
      </c>
      <c r="M165" s="203">
        <f>M164*((TSIR!D151/TSIR!D150))</f>
        <v>8.4047058823529337</v>
      </c>
      <c r="N165" s="203">
        <f>N164*((TSIR!E151/TSIR!E150))</f>
        <v>7.5636986352752187</v>
      </c>
      <c r="O165" s="203">
        <f>O164*((TSIR!F151/TSIR!F150))</f>
        <v>7.3515789473684201</v>
      </c>
      <c r="P165" s="243">
        <f t="shared" si="17"/>
        <v>96.936797208220227</v>
      </c>
      <c r="Q165" s="204">
        <f t="shared" si="19"/>
        <v>106.7858094749793</v>
      </c>
      <c r="R165" s="202">
        <f t="shared" si="20"/>
        <v>92.445690155236804</v>
      </c>
      <c r="S165" s="200">
        <f t="shared" si="16"/>
        <v>403477640.82491875</v>
      </c>
      <c r="T165" s="70">
        <f t="shared" si="18"/>
        <v>-2.1832948280879894E-3</v>
      </c>
    </row>
    <row r="166" spans="10:20">
      <c r="J166" s="295" t="s">
        <v>196</v>
      </c>
      <c r="K166" s="85">
        <f>K165*((TSIR!B152/TSIR!B151))</f>
        <v>3.5550000000000015</v>
      </c>
      <c r="L166" s="203">
        <f>L165*((TSIR!C152/TSIR!C151))</f>
        <v>6.0415384615384662</v>
      </c>
      <c r="M166" s="203">
        <f>M165*((TSIR!D152/TSIR!D151))</f>
        <v>9.2894117647058732</v>
      </c>
      <c r="N166" s="203">
        <f>N165*((TSIR!E152/TSIR!E151))</f>
        <v>8.1877946291599351</v>
      </c>
      <c r="O166" s="203">
        <f>O165*((TSIR!F152/TSIR!F151))</f>
        <v>7.8621052631578934</v>
      </c>
      <c r="P166" s="243">
        <f t="shared" si="17"/>
        <v>96.567041668678485</v>
      </c>
      <c r="Q166" s="204">
        <f t="shared" si="19"/>
        <v>106.5853191257513</v>
      </c>
      <c r="R166" s="202">
        <f t="shared" si="20"/>
        <v>92.336442700531165</v>
      </c>
      <c r="S166" s="200">
        <f t="shared" si="16"/>
        <v>402601875.45085466</v>
      </c>
      <c r="T166" s="70">
        <f t="shared" si="18"/>
        <v>-2.1705425169870063E-3</v>
      </c>
    </row>
    <row r="167" spans="10:20">
      <c r="J167" s="295" t="s">
        <v>197</v>
      </c>
      <c r="K167" s="85">
        <f>K166*((TSIR!B153/TSIR!B152))</f>
        <v>3.1600000000000015</v>
      </c>
      <c r="L167" s="203">
        <f>L166*((TSIR!C153/TSIR!C152))</f>
        <v>6.6169230769230829</v>
      </c>
      <c r="M167" s="203">
        <f>M166*((TSIR!D153/TSIR!D152))</f>
        <v>9.510588235294108</v>
      </c>
      <c r="N167" s="203">
        <f>N166*((TSIR!E153/TSIR!E152))</f>
        <v>8.3941763982733484</v>
      </c>
      <c r="O167" s="203">
        <f>O166*((TSIR!F153/TSIR!F152))</f>
        <v>8.0663157894736823</v>
      </c>
      <c r="P167" s="243">
        <f t="shared" si="17"/>
        <v>96.936797208220227</v>
      </c>
      <c r="Q167" s="204">
        <f t="shared" si="19"/>
        <v>106.53602553344807</v>
      </c>
      <c r="R167" s="202">
        <f t="shared" si="20"/>
        <v>92.293398484911876</v>
      </c>
      <c r="S167" s="200">
        <f t="shared" si="16"/>
        <v>403243150.05591583</v>
      </c>
      <c r="T167" s="70">
        <f t="shared" si="18"/>
        <v>1.5928256775830096E-3</v>
      </c>
    </row>
    <row r="168" spans="10:20">
      <c r="J168" s="295" t="s">
        <v>198</v>
      </c>
      <c r="K168" s="85">
        <f>K167*((TSIR!B154/TSIR!B153))</f>
        <v>3.1600000000000015</v>
      </c>
      <c r="L168" s="203">
        <f>L167*((TSIR!C154/TSIR!C153))</f>
        <v>6.9046153846153908</v>
      </c>
      <c r="M168" s="203">
        <f>M167*((TSIR!D154/TSIR!D153))</f>
        <v>10.395294117647047</v>
      </c>
      <c r="N168" s="203">
        <f>N167*((TSIR!E154/TSIR!E153))</f>
        <v>8.8695083049114984</v>
      </c>
      <c r="O168" s="203">
        <f>O167*((TSIR!F154/TSIR!F153))</f>
        <v>8.3726315789473666</v>
      </c>
      <c r="P168" s="243">
        <f t="shared" si="17"/>
        <v>96.936797208220227</v>
      </c>
      <c r="Q168" s="204">
        <f t="shared" si="19"/>
        <v>106.34207867542328</v>
      </c>
      <c r="R168" s="202">
        <f t="shared" si="20"/>
        <v>92.2295207398396</v>
      </c>
      <c r="S168" s="200">
        <f t="shared" si="16"/>
        <v>403278559.36266392</v>
      </c>
      <c r="T168" s="70">
        <f t="shared" si="18"/>
        <v>8.7811303783214001E-5</v>
      </c>
    </row>
    <row r="169" spans="10:20">
      <c r="J169" s="295" t="s">
        <v>199</v>
      </c>
      <c r="K169" s="85">
        <f>K168*((TSIR!B155/TSIR!B154))</f>
        <v>3.1600000000000015</v>
      </c>
      <c r="L169" s="203">
        <f>L168*((TSIR!C155/TSIR!C154))</f>
        <v>6.6169230769230829</v>
      </c>
      <c r="M169" s="203">
        <f>M168*((TSIR!D155/TSIR!D154))</f>
        <v>9.9529411764705777</v>
      </c>
      <c r="N169" s="203">
        <f>N168*((TSIR!E155/TSIR!E154))</f>
        <v>8.6656463701014683</v>
      </c>
      <c r="O169" s="203">
        <f>O168*((TSIR!F155/TSIR!F154))</f>
        <v>8.2705263157894731</v>
      </c>
      <c r="P169" s="243">
        <f t="shared" si="17"/>
        <v>96.936797208220227</v>
      </c>
      <c r="Q169" s="204">
        <f t="shared" si="19"/>
        <v>106.43841238476485</v>
      </c>
      <c r="R169" s="202">
        <f t="shared" si="20"/>
        <v>92.250722191695914</v>
      </c>
      <c r="S169" s="200">
        <f t="shared" si="16"/>
        <v>403218864.60607684</v>
      </c>
      <c r="T169" s="70">
        <f t="shared" si="18"/>
        <v>-1.4802363081600767E-4</v>
      </c>
    </row>
    <row r="170" spans="10:20">
      <c r="J170" s="295" t="s">
        <v>200</v>
      </c>
      <c r="K170" s="85">
        <f>K169*((TSIR!B156/TSIR!B155))</f>
        <v>3.5550000000000015</v>
      </c>
      <c r="L170" s="203">
        <f>L169*((TSIR!C156/TSIR!C155))</f>
        <v>6.6169230769230829</v>
      </c>
      <c r="M170" s="203">
        <f>M169*((TSIR!D156/TSIR!D155))</f>
        <v>10.174117647058813</v>
      </c>
      <c r="N170" s="203">
        <f>N169*((TSIR!E156/TSIR!E155))</f>
        <v>8.874661236286169</v>
      </c>
      <c r="O170" s="203">
        <f>O169*((TSIR!F156/TSIR!F155))</f>
        <v>8.474736842105262</v>
      </c>
      <c r="P170" s="243">
        <f t="shared" si="17"/>
        <v>96.567041668678485</v>
      </c>
      <c r="Q170" s="204">
        <f t="shared" si="19"/>
        <v>106.39008702968945</v>
      </c>
      <c r="R170" s="202">
        <f t="shared" si="20"/>
        <v>92.208409744034554</v>
      </c>
      <c r="S170" s="200">
        <f t="shared" si="16"/>
        <v>402382591.76896101</v>
      </c>
      <c r="T170" s="70">
        <f t="shared" si="18"/>
        <v>-2.0739923414367922E-3</v>
      </c>
    </row>
    <row r="171" spans="10:20">
      <c r="J171" s="295" t="s">
        <v>201</v>
      </c>
      <c r="K171" s="85">
        <f>K170*((TSIR!B157/TSIR!B156))</f>
        <v>3.1600000000000015</v>
      </c>
      <c r="L171" s="203">
        <f>L170*((TSIR!C157/TSIR!C156))</f>
        <v>6.6169230769230829</v>
      </c>
      <c r="M171" s="203">
        <f>M170*((TSIR!D157/TSIR!D156))</f>
        <v>9.7317647058823411</v>
      </c>
      <c r="N171" s="203">
        <f>N170*((TSIR!E157/TSIR!E156))</f>
        <v>8.4610488026734547</v>
      </c>
      <c r="O171" s="203">
        <f>O170*((TSIR!F157/TSIR!F156))</f>
        <v>8.0663157894736841</v>
      </c>
      <c r="P171" s="243">
        <f t="shared" si="17"/>
        <v>96.936797208220227</v>
      </c>
      <c r="Q171" s="204">
        <f t="shared" si="19"/>
        <v>106.48705759165451</v>
      </c>
      <c r="R171" s="202">
        <f t="shared" si="20"/>
        <v>92.293398484911876</v>
      </c>
      <c r="S171" s="200">
        <f t="shared" si="16"/>
        <v>403316601.96860623</v>
      </c>
      <c r="T171" s="70">
        <f t="shared" si="18"/>
        <v>2.3211993231095907E-3</v>
      </c>
    </row>
    <row r="172" spans="10:20">
      <c r="J172" s="295" t="s">
        <v>202</v>
      </c>
      <c r="K172" s="85">
        <f>K171*((TSIR!B158/TSIR!B157))</f>
        <v>3.1600000000000015</v>
      </c>
      <c r="L172" s="203">
        <f>L171*((TSIR!C158/TSIR!C157))</f>
        <v>6.0415384615384671</v>
      </c>
      <c r="M172" s="203">
        <f>M171*((TSIR!D158/TSIR!D157))</f>
        <v>9.2894117647058696</v>
      </c>
      <c r="N172" s="203">
        <f>N171*((TSIR!E158/TSIR!E157))</f>
        <v>8.045090774829097</v>
      </c>
      <c r="O172" s="203">
        <f>O171*((TSIR!F158/TSIR!F157))</f>
        <v>7.6578947368421044</v>
      </c>
      <c r="P172" s="243">
        <f t="shared" si="17"/>
        <v>96.936797208220227</v>
      </c>
      <c r="Q172" s="204">
        <f t="shared" si="19"/>
        <v>106.5853191257513</v>
      </c>
      <c r="R172" s="202">
        <f t="shared" si="20"/>
        <v>92.379858970643312</v>
      </c>
      <c r="S172" s="200">
        <f t="shared" si="16"/>
        <v>403515051.61038673</v>
      </c>
      <c r="T172" s="70">
        <f t="shared" si="18"/>
        <v>4.92044316578788E-4</v>
      </c>
    </row>
    <row r="173" spans="10:20">
      <c r="J173" s="295" t="s">
        <v>203</v>
      </c>
      <c r="K173" s="85">
        <f>K172*((TSIR!B159/TSIR!B158))</f>
        <v>2.7650000000000015</v>
      </c>
      <c r="L173" s="203">
        <f>L172*((TSIR!C159/TSIR!C158))</f>
        <v>6.6169230769230838</v>
      </c>
      <c r="M173" s="203">
        <f>M172*((TSIR!D159/TSIR!D158))</f>
        <v>9.5105882352941045</v>
      </c>
      <c r="N173" s="203">
        <f>N172*((TSIR!E159/TSIR!E158))</f>
        <v>8.2572261478372191</v>
      </c>
      <c r="O173" s="203">
        <f>O172*((TSIR!F159/TSIR!F158))</f>
        <v>7.8621052631578934</v>
      </c>
      <c r="P173" s="243">
        <f t="shared" si="17"/>
        <v>97.309395222108705</v>
      </c>
      <c r="Q173" s="204">
        <f t="shared" si="19"/>
        <v>106.53602553344808</v>
      </c>
      <c r="R173" s="202">
        <f t="shared" si="20"/>
        <v>92.336442700531165</v>
      </c>
      <c r="S173" s="200">
        <f t="shared" si="16"/>
        <v>404160522.94616997</v>
      </c>
      <c r="T173" s="70">
        <f t="shared" si="18"/>
        <v>1.5996214594902192E-3</v>
      </c>
    </row>
    <row r="174" spans="10:20">
      <c r="J174" s="295" t="s">
        <v>204</v>
      </c>
      <c r="K174" s="85">
        <f>K173*((TSIR!B160/TSIR!B159))</f>
        <v>2.7650000000000015</v>
      </c>
      <c r="L174" s="203">
        <f>L173*((TSIR!C160/TSIR!C159))</f>
        <v>6.6169230769230838</v>
      </c>
      <c r="M174" s="203">
        <f>M173*((TSIR!D160/TSIR!D159))</f>
        <v>9.5105882352941045</v>
      </c>
      <c r="N174" s="203">
        <f>N173*((TSIR!E160/TSIR!E159))</f>
        <v>8.3931077790859074</v>
      </c>
      <c r="O174" s="203">
        <f>O173*((TSIR!F160/TSIR!F159))</f>
        <v>8.0663157894736823</v>
      </c>
      <c r="P174" s="243">
        <f t="shared" si="17"/>
        <v>97.309395222108705</v>
      </c>
      <c r="Q174" s="204">
        <f t="shared" si="19"/>
        <v>106.53602553344808</v>
      </c>
      <c r="R174" s="202">
        <f t="shared" si="20"/>
        <v>92.293398484911876</v>
      </c>
      <c r="S174" s="200">
        <f t="shared" si="16"/>
        <v>403988346.08369279</v>
      </c>
      <c r="T174" s="70">
        <f t="shared" si="18"/>
        <v>-4.2601108396755905E-4</v>
      </c>
    </row>
    <row r="175" spans="10:20">
      <c r="J175" s="295" t="s">
        <v>205</v>
      </c>
      <c r="K175" s="85">
        <f>K174*((TSIR!B161/TSIR!B160))</f>
        <v>2.370000000000001</v>
      </c>
      <c r="L175" s="203">
        <f>L174*((TSIR!C161/TSIR!C160))</f>
        <v>6.329230769230775</v>
      </c>
      <c r="M175" s="203">
        <f>M174*((TSIR!D161/TSIR!D160))</f>
        <v>9.7317647058823393</v>
      </c>
      <c r="N175" s="203">
        <f>N174*((TSIR!E161/TSIR!E160))</f>
        <v>8.3929363343262686</v>
      </c>
      <c r="O175" s="203">
        <f>O174*((TSIR!F161/TSIR!F160))</f>
        <v>7.9642105263157879</v>
      </c>
      <c r="P175" s="243">
        <f t="shared" si="17"/>
        <v>97.684868613851705</v>
      </c>
      <c r="Q175" s="204">
        <f t="shared" si="19"/>
        <v>106.48705759165449</v>
      </c>
      <c r="R175" s="202">
        <f t="shared" si="20"/>
        <v>92.314874345470358</v>
      </c>
      <c r="S175" s="200">
        <f t="shared" si="16"/>
        <v>404898648.22210312</v>
      </c>
      <c r="T175" s="70">
        <f t="shared" si="18"/>
        <v>2.2532881139638583E-3</v>
      </c>
    </row>
    <row r="176" spans="10:20">
      <c r="J176" s="295" t="s">
        <v>206</v>
      </c>
      <c r="K176" s="85">
        <f>K175*((TSIR!B162/TSIR!B161))</f>
        <v>2.370000000000001</v>
      </c>
      <c r="L176" s="203">
        <f>L175*((TSIR!C162/TSIR!C161))</f>
        <v>6.6169230769230829</v>
      </c>
      <c r="M176" s="203">
        <f>M175*((TSIR!D162/TSIR!D161))</f>
        <v>9.7317647058823393</v>
      </c>
      <c r="N176" s="203">
        <f>N175*((TSIR!E162/TSIR!E161))</f>
        <v>8.5265922800205125</v>
      </c>
      <c r="O176" s="203">
        <f>O175*((TSIR!F162/TSIR!F161))</f>
        <v>8.1684210526315777</v>
      </c>
      <c r="P176" s="243">
        <f t="shared" si="17"/>
        <v>97.684868613851705</v>
      </c>
      <c r="Q176" s="204">
        <f t="shared" si="19"/>
        <v>106.48705759165449</v>
      </c>
      <c r="R176" s="202">
        <f t="shared" si="20"/>
        <v>92.27201460409114</v>
      </c>
      <c r="S176" s="200">
        <f t="shared" si="16"/>
        <v>404727209.25658619</v>
      </c>
      <c r="T176" s="70">
        <f t="shared" si="18"/>
        <v>-4.2341204711282554E-4</v>
      </c>
    </row>
    <row r="177" spans="10:20">
      <c r="J177" s="295" t="s">
        <v>207</v>
      </c>
      <c r="K177" s="85">
        <f>K176*((TSIR!B163/TSIR!B162))</f>
        <v>2.7650000000000015</v>
      </c>
      <c r="L177" s="203">
        <f>L176*((TSIR!C163/TSIR!C162))</f>
        <v>6.6169230769230829</v>
      </c>
      <c r="M177" s="203">
        <f>M176*((TSIR!D163/TSIR!D162))</f>
        <v>9.5105882352941045</v>
      </c>
      <c r="N177" s="203">
        <f>N176*((TSIR!E163/TSIR!E162))</f>
        <v>8.3194327727805835</v>
      </c>
      <c r="O177" s="203">
        <f>O176*((TSIR!F163/TSIR!F162))</f>
        <v>7.9642105263157879</v>
      </c>
      <c r="P177" s="243">
        <f t="shared" si="17"/>
        <v>97.309395222108705</v>
      </c>
      <c r="Q177" s="204">
        <f t="shared" si="19"/>
        <v>106.53602553344808</v>
      </c>
      <c r="R177" s="202">
        <f t="shared" si="20"/>
        <v>92.314874345470358</v>
      </c>
      <c r="S177" s="200">
        <f t="shared" si="16"/>
        <v>404074249.52592671</v>
      </c>
      <c r="T177" s="70">
        <f t="shared" si="18"/>
        <v>-1.6133329208551928E-3</v>
      </c>
    </row>
    <row r="178" spans="10:20">
      <c r="J178" s="295" t="s">
        <v>208</v>
      </c>
      <c r="K178" s="85">
        <f>K177*((TSIR!B164/TSIR!B163))</f>
        <v>2.370000000000001</v>
      </c>
      <c r="L178" s="203">
        <f>L177*((TSIR!C164/TSIR!C163))</f>
        <v>6.9046153846153908</v>
      </c>
      <c r="M178" s="203">
        <f>M177*((TSIR!D164/TSIR!D163))</f>
        <v>9.7317647058823393</v>
      </c>
      <c r="N178" s="203">
        <f>N177*((TSIR!E164/TSIR!E163))</f>
        <v>8.5287677645950328</v>
      </c>
      <c r="O178" s="203">
        <f>O177*((TSIR!F164/TSIR!F163))</f>
        <v>8.1684210526315777</v>
      </c>
      <c r="P178" s="243">
        <f t="shared" si="17"/>
        <v>97.684868613851705</v>
      </c>
      <c r="Q178" s="204">
        <f t="shared" si="19"/>
        <v>106.48705759165449</v>
      </c>
      <c r="R178" s="202">
        <f t="shared" si="20"/>
        <v>92.27201460409114</v>
      </c>
      <c r="S178" s="200">
        <f t="shared" si="16"/>
        <v>404727209.25658619</v>
      </c>
      <c r="T178" s="70">
        <f t="shared" si="18"/>
        <v>1.6159399700068633E-3</v>
      </c>
    </row>
    <row r="179" spans="10:20">
      <c r="J179" s="295" t="s">
        <v>209</v>
      </c>
      <c r="K179" s="85">
        <f>K178*((TSIR!B165/TSIR!B164))</f>
        <v>2.7650000000000015</v>
      </c>
      <c r="L179" s="203">
        <f>L178*((TSIR!C165/TSIR!C164))</f>
        <v>6.6169230769230829</v>
      </c>
      <c r="M179" s="203">
        <f>M178*((TSIR!D165/TSIR!D164))</f>
        <v>10.395294117647044</v>
      </c>
      <c r="N179" s="203">
        <f>N178*((TSIR!E165/TSIR!E164))</f>
        <v>9.0071325525567953</v>
      </c>
      <c r="O179" s="203">
        <f>O178*((TSIR!F165/TSIR!F164))</f>
        <v>8.5768421052631556</v>
      </c>
      <c r="P179" s="243">
        <f t="shared" si="17"/>
        <v>97.309395222108705</v>
      </c>
      <c r="Q179" s="204">
        <f t="shared" si="19"/>
        <v>106.34207867542325</v>
      </c>
      <c r="R179" s="202">
        <f t="shared" si="20"/>
        <v>92.187388703165681</v>
      </c>
      <c r="S179" s="200">
        <f t="shared" si="16"/>
        <v>403855227.24374527</v>
      </c>
      <c r="T179" s="70">
        <f t="shared" si="18"/>
        <v>-2.1544931818213708E-3</v>
      </c>
    </row>
    <row r="180" spans="10:20">
      <c r="J180" s="295" t="s">
        <v>210</v>
      </c>
      <c r="K180" s="85">
        <f>K179*((TSIR!B166/TSIR!B165))</f>
        <v>2.7650000000000015</v>
      </c>
      <c r="L180" s="203">
        <f>L179*((TSIR!C166/TSIR!C165))</f>
        <v>7.1923076923076987</v>
      </c>
      <c r="M180" s="203">
        <f>M179*((TSIR!D166/TSIR!D165))</f>
        <v>10.174117647058809</v>
      </c>
      <c r="N180" s="203">
        <f>N179*((TSIR!E166/TSIR!E165))</f>
        <v>8.9435946664586723</v>
      </c>
      <c r="O180" s="203">
        <f>O179*((TSIR!F166/TSIR!F165))</f>
        <v>8.5768421052631556</v>
      </c>
      <c r="P180" s="243">
        <f t="shared" si="17"/>
        <v>97.309395222108705</v>
      </c>
      <c r="Q180" s="204">
        <f t="shared" si="19"/>
        <v>106.39008702968944</v>
      </c>
      <c r="R180" s="202">
        <f t="shared" si="20"/>
        <v>92.187388703165681</v>
      </c>
      <c r="S180" s="200">
        <f t="shared" si="16"/>
        <v>403783214.71234596</v>
      </c>
      <c r="T180" s="70">
        <f t="shared" si="18"/>
        <v>-1.7831273818291749E-4</v>
      </c>
    </row>
    <row r="181" spans="10:20">
      <c r="J181" s="295" t="s">
        <v>211</v>
      </c>
      <c r="K181" s="85">
        <f>K180*((TSIR!B167/TSIR!B166))</f>
        <v>2.7650000000000015</v>
      </c>
      <c r="L181" s="203">
        <f>L180*((TSIR!C167/TSIR!C166))</f>
        <v>6.329230769230775</v>
      </c>
      <c r="M181" s="203">
        <f>M180*((TSIR!D167/TSIR!D166))</f>
        <v>9.068235294117633</v>
      </c>
      <c r="N181" s="203">
        <f>N180*((TSIR!E167/TSIR!E166))</f>
        <v>8.2514054647402002</v>
      </c>
      <c r="O181" s="203">
        <f>O180*((TSIR!F167/TSIR!F166))</f>
        <v>8.0663157894736823</v>
      </c>
      <c r="P181" s="243">
        <f t="shared" si="17"/>
        <v>97.309395222108705</v>
      </c>
      <c r="Q181" s="204">
        <f t="shared" si="19"/>
        <v>106.6349413171244</v>
      </c>
      <c r="R181" s="202">
        <f t="shared" si="20"/>
        <v>92.293398484911876</v>
      </c>
      <c r="S181" s="200">
        <f t="shared" si="16"/>
        <v>403839972.40817833</v>
      </c>
      <c r="T181" s="70">
        <f t="shared" si="18"/>
        <v>1.4056477278989732E-4</v>
      </c>
    </row>
    <row r="182" spans="10:20">
      <c r="J182" s="295" t="s">
        <v>212</v>
      </c>
      <c r="K182" s="85">
        <f>K181*((TSIR!B168/TSIR!B167))</f>
        <v>3.1600000000000015</v>
      </c>
      <c r="L182" s="203">
        <f>L181*((TSIR!C168/TSIR!C167))</f>
        <v>5.7538461538461592</v>
      </c>
      <c r="M182" s="203">
        <f>M181*((TSIR!D168/TSIR!D167))</f>
        <v>8.8470588235293981</v>
      </c>
      <c r="N182" s="203">
        <f>N181*((TSIR!E168/TSIR!E167))</f>
        <v>8.0467517759629583</v>
      </c>
      <c r="O182" s="203">
        <f>O181*((TSIR!F168/TSIR!F167))</f>
        <v>7.8621052631578925</v>
      </c>
      <c r="P182" s="243">
        <f t="shared" si="17"/>
        <v>96.936797208220227</v>
      </c>
      <c r="Q182" s="204">
        <f t="shared" si="19"/>
        <v>106.68489508952717</v>
      </c>
      <c r="R182" s="202">
        <f t="shared" si="20"/>
        <v>92.336442700531165</v>
      </c>
      <c r="S182" s="200">
        <f t="shared" si="16"/>
        <v>403192022.58427441</v>
      </c>
      <c r="T182" s="70">
        <f t="shared" si="18"/>
        <v>-1.6044717417150745E-3</v>
      </c>
    </row>
    <row r="183" spans="10:20">
      <c r="J183" s="295" t="s">
        <v>213</v>
      </c>
      <c r="K183" s="85">
        <f>K182*((TSIR!B169/TSIR!B168))</f>
        <v>2.7650000000000015</v>
      </c>
      <c r="L183" s="203">
        <f>L182*((TSIR!C169/TSIR!C168))</f>
        <v>5.7538461538461592</v>
      </c>
      <c r="M183" s="203">
        <f>M182*((TSIR!D169/TSIR!D168))</f>
        <v>8.8470588235293981</v>
      </c>
      <c r="N183" s="203">
        <f>N182*((TSIR!E169/TSIR!E168))</f>
        <v>8.049151808378836</v>
      </c>
      <c r="O183" s="203">
        <f>O182*((TSIR!F169/TSIR!F168))</f>
        <v>7.8621052631578925</v>
      </c>
      <c r="P183" s="243">
        <f t="shared" si="17"/>
        <v>97.309395222108705</v>
      </c>
      <c r="Q183" s="204">
        <f t="shared" si="19"/>
        <v>106.68489508952717</v>
      </c>
      <c r="R183" s="202">
        <f t="shared" si="20"/>
        <v>92.336442700531165</v>
      </c>
      <c r="S183" s="200">
        <f t="shared" si="16"/>
        <v>403937218.61205137</v>
      </c>
      <c r="T183" s="70">
        <f t="shared" si="18"/>
        <v>1.8482410018942907E-3</v>
      </c>
    </row>
    <row r="184" spans="10:20">
      <c r="J184" s="295" t="s">
        <v>214</v>
      </c>
      <c r="K184" s="85">
        <f>K183*((TSIR!B170/TSIR!B169))</f>
        <v>2.7650000000000015</v>
      </c>
      <c r="L184" s="203">
        <f>L183*((TSIR!C170/TSIR!C169))</f>
        <v>5.7538461538461592</v>
      </c>
      <c r="M184" s="203">
        <f>M183*((TSIR!D170/TSIR!D169))</f>
        <v>9.289411764705866</v>
      </c>
      <c r="N184" s="203">
        <f>N183*((TSIR!E170/TSIR!E169))</f>
        <v>8.2524210036815848</v>
      </c>
      <c r="O184" s="203">
        <f>O183*((TSIR!F170/TSIR!F169))</f>
        <v>7.9642105263157879</v>
      </c>
      <c r="P184" s="243">
        <f t="shared" si="17"/>
        <v>97.309395222108705</v>
      </c>
      <c r="Q184" s="204">
        <f t="shared" si="19"/>
        <v>106.58531912575128</v>
      </c>
      <c r="R184" s="202">
        <f t="shared" si="20"/>
        <v>92.314874345470358</v>
      </c>
      <c r="S184" s="200">
        <f t="shared" si="16"/>
        <v>404000309.13747191</v>
      </c>
      <c r="T184" s="70">
        <f t="shared" si="18"/>
        <v>1.5618893856150784E-4</v>
      </c>
    </row>
    <row r="185" spans="10:20">
      <c r="J185" s="295" t="s">
        <v>215</v>
      </c>
      <c r="K185" s="85">
        <f>K184*((TSIR!B171/TSIR!B170))</f>
        <v>2.7650000000000015</v>
      </c>
      <c r="L185" s="203">
        <f>L184*((TSIR!C171/TSIR!C170))</f>
        <v>5.7538461538461592</v>
      </c>
      <c r="M185" s="203">
        <f>M184*((TSIR!D171/TSIR!D170))</f>
        <v>9.289411764705866</v>
      </c>
      <c r="N185" s="203">
        <f>N184*((TSIR!E171/TSIR!E170))</f>
        <v>8.2553764536991441</v>
      </c>
      <c r="O185" s="203">
        <f>O184*((TSIR!F171/TSIR!F170))</f>
        <v>7.9642105263157879</v>
      </c>
      <c r="P185" s="243">
        <f t="shared" si="17"/>
        <v>97.309395222108705</v>
      </c>
      <c r="Q185" s="204">
        <f t="shared" si="19"/>
        <v>106.58531912575128</v>
      </c>
      <c r="R185" s="202">
        <f t="shared" si="20"/>
        <v>92.314874345470358</v>
      </c>
      <c r="S185" s="200">
        <f t="shared" si="16"/>
        <v>404000309.13747191</v>
      </c>
      <c r="T185" s="70">
        <f t="shared" si="18"/>
        <v>0</v>
      </c>
    </row>
    <row r="186" spans="10:20">
      <c r="J186" s="295" t="s">
        <v>216</v>
      </c>
      <c r="K186" s="85">
        <f>K185*((TSIR!B172/TSIR!B171))</f>
        <v>3.1600000000000015</v>
      </c>
      <c r="L186" s="203">
        <f>L185*((TSIR!C172/TSIR!C171))</f>
        <v>6.0415384615384662</v>
      </c>
      <c r="M186" s="203">
        <f>M185*((TSIR!D172/TSIR!D171))</f>
        <v>9.289411764705866</v>
      </c>
      <c r="N186" s="203">
        <f>N185*((TSIR!E172/TSIR!E171))</f>
        <v>8.2528178054060213</v>
      </c>
      <c r="O186" s="203">
        <f>O185*((TSIR!F172/TSIR!F171))</f>
        <v>7.9642105263157879</v>
      </c>
      <c r="P186" s="243">
        <f t="shared" si="17"/>
        <v>96.936797208220227</v>
      </c>
      <c r="Q186" s="204">
        <f t="shared" si="19"/>
        <v>106.58531912575128</v>
      </c>
      <c r="R186" s="202">
        <f t="shared" si="20"/>
        <v>92.314874345470358</v>
      </c>
      <c r="S186" s="200">
        <f t="shared" si="16"/>
        <v>403255113.10969496</v>
      </c>
      <c r="T186" s="70">
        <f t="shared" si="18"/>
        <v>-1.8445432117810689E-3</v>
      </c>
    </row>
    <row r="187" spans="10:20">
      <c r="J187" s="295" t="s">
        <v>217</v>
      </c>
      <c r="K187" s="85">
        <f>K186*((TSIR!B173/TSIR!B172))</f>
        <v>3.1600000000000015</v>
      </c>
      <c r="L187" s="203">
        <f>L186*((TSIR!C173/TSIR!C172))</f>
        <v>6.3292307692307741</v>
      </c>
      <c r="M187" s="203">
        <f>M186*((TSIR!D173/TSIR!D172))</f>
        <v>9.9529411764705706</v>
      </c>
      <c r="N187" s="203">
        <f>N186*((TSIR!E173/TSIR!E172))</f>
        <v>8.7367274437389035</v>
      </c>
      <c r="O187" s="203">
        <f>O186*((TSIR!F173/TSIR!F172))</f>
        <v>8.3726315789473649</v>
      </c>
      <c r="P187" s="243">
        <f t="shared" si="17"/>
        <v>96.936797208220227</v>
      </c>
      <c r="Q187" s="204">
        <f t="shared" si="19"/>
        <v>106.43841238476483</v>
      </c>
      <c r="R187" s="202">
        <f t="shared" si="20"/>
        <v>92.2295207398396</v>
      </c>
      <c r="S187" s="200">
        <f t="shared" si="16"/>
        <v>403134058.79865158</v>
      </c>
      <c r="T187" s="70">
        <f t="shared" si="18"/>
        <v>-3.001928732158099E-4</v>
      </c>
    </row>
    <row r="188" spans="10:20">
      <c r="J188" s="295" t="s">
        <v>218</v>
      </c>
      <c r="K188" s="85">
        <f>K187*((TSIR!B174/TSIR!B173))</f>
        <v>3.1600000000000015</v>
      </c>
      <c r="L188" s="203">
        <f>L187*((TSIR!C174/TSIR!C173))</f>
        <v>6.3292307692307741</v>
      </c>
      <c r="M188" s="203">
        <f>M187*((TSIR!D174/TSIR!D173))</f>
        <v>9.5105882352941009</v>
      </c>
      <c r="N188" s="203">
        <f>N187*((TSIR!E174/TSIR!E173))</f>
        <v>8.5264060076483421</v>
      </c>
      <c r="O188" s="203">
        <f>O187*((TSIR!F174/TSIR!F173))</f>
        <v>8.2705263157894713</v>
      </c>
      <c r="P188" s="243">
        <f t="shared" si="17"/>
        <v>96.936797208220227</v>
      </c>
      <c r="Q188" s="204">
        <f t="shared" si="19"/>
        <v>106.53602553344807</v>
      </c>
      <c r="R188" s="202">
        <f t="shared" si="20"/>
        <v>92.2507221916959</v>
      </c>
      <c r="S188" s="200">
        <f t="shared" si="16"/>
        <v>403072444.88305199</v>
      </c>
      <c r="T188" s="70">
        <f t="shared" si="18"/>
        <v>-1.5283728639348126E-4</v>
      </c>
    </row>
    <row r="189" spans="10:20">
      <c r="J189" s="295" t="s">
        <v>219</v>
      </c>
      <c r="K189" s="85">
        <f>K188*((TSIR!B175/TSIR!B174))</f>
        <v>2.7650000000000015</v>
      </c>
      <c r="L189" s="203">
        <f>L188*((TSIR!C175/TSIR!C174))</f>
        <v>6.616923076923082</v>
      </c>
      <c r="M189" s="203">
        <f>M188*((TSIR!D175/TSIR!D174))</f>
        <v>9.5105882352941009</v>
      </c>
      <c r="N189" s="203">
        <f>N188*((TSIR!E175/TSIR!E174))</f>
        <v>8.389704863145651</v>
      </c>
      <c r="O189" s="203">
        <f>O188*((TSIR!F175/TSIR!F174))</f>
        <v>8.0663157894736823</v>
      </c>
      <c r="P189" s="243">
        <f t="shared" si="17"/>
        <v>97.309395222108705</v>
      </c>
      <c r="Q189" s="204">
        <f t="shared" si="19"/>
        <v>106.53602553344807</v>
      </c>
      <c r="R189" s="202">
        <f t="shared" si="20"/>
        <v>92.293398484911876</v>
      </c>
      <c r="S189" s="200">
        <f t="shared" si="16"/>
        <v>403988346.08369279</v>
      </c>
      <c r="T189" s="70">
        <f t="shared" si="18"/>
        <v>2.2722992163519695E-3</v>
      </c>
    </row>
    <row r="190" spans="10:20">
      <c r="J190" s="295" t="s">
        <v>220</v>
      </c>
      <c r="K190" s="85">
        <f>K189*((TSIR!B176/TSIR!B175))</f>
        <v>3.1600000000000015</v>
      </c>
      <c r="L190" s="203">
        <f>L189*((TSIR!C176/TSIR!C175))</f>
        <v>6.616923076923082</v>
      </c>
      <c r="M190" s="203">
        <f>M189*((TSIR!D176/TSIR!D175))</f>
        <v>9.9529411764705706</v>
      </c>
      <c r="N190" s="203">
        <f>N189*((TSIR!E176/TSIR!E175))</f>
        <v>8.7329723182600656</v>
      </c>
      <c r="O190" s="203">
        <f>O189*((TSIR!F176/TSIR!F175))</f>
        <v>8.3726315789473666</v>
      </c>
      <c r="P190" s="243">
        <f t="shared" si="17"/>
        <v>96.936797208220227</v>
      </c>
      <c r="Q190" s="204">
        <f t="shared" si="19"/>
        <v>106.43841238476483</v>
      </c>
      <c r="R190" s="202">
        <f t="shared" si="20"/>
        <v>92.2295207398396</v>
      </c>
      <c r="S190" s="200">
        <f t="shared" si="16"/>
        <v>403134058.79865158</v>
      </c>
      <c r="T190" s="70">
        <f t="shared" si="18"/>
        <v>-2.1146334871359196E-3</v>
      </c>
    </row>
    <row r="191" spans="10:20">
      <c r="J191" s="295" t="s">
        <v>221</v>
      </c>
      <c r="K191" s="85">
        <f>K190*((TSIR!B177/TSIR!B176))</f>
        <v>2.7650000000000015</v>
      </c>
      <c r="L191" s="203">
        <f>L190*((TSIR!C177/TSIR!C176))</f>
        <v>6.0415384615384662</v>
      </c>
      <c r="M191" s="203">
        <f>M190*((TSIR!D177/TSIR!D176))</f>
        <v>9.7317647058823358</v>
      </c>
      <c r="N191" s="203">
        <f>N190*((TSIR!E177/TSIR!E176))</f>
        <v>8.6006183243720358</v>
      </c>
      <c r="O191" s="203">
        <f>O190*((TSIR!F177/TSIR!F176))</f>
        <v>8.2705263157894731</v>
      </c>
      <c r="P191" s="243">
        <f t="shared" si="17"/>
        <v>97.309395222108705</v>
      </c>
      <c r="Q191" s="204">
        <f t="shared" si="19"/>
        <v>106.48705759165449</v>
      </c>
      <c r="R191" s="202">
        <f t="shared" si="20"/>
        <v>92.250722191695914</v>
      </c>
      <c r="S191" s="200">
        <f t="shared" si="16"/>
        <v>403891092.82351935</v>
      </c>
      <c r="T191" s="70">
        <f t="shared" si="18"/>
        <v>1.8778716616594249E-3</v>
      </c>
    </row>
    <row r="192" spans="10:20">
      <c r="J192" s="295" t="s">
        <v>222</v>
      </c>
      <c r="K192" s="85">
        <f>K191*((TSIR!B178/TSIR!B177))</f>
        <v>2.7650000000000015</v>
      </c>
      <c r="L192" s="203">
        <f>L191*((TSIR!C178/TSIR!C177))</f>
        <v>6.0415384615384662</v>
      </c>
      <c r="M192" s="203">
        <f>M191*((TSIR!D178/TSIR!D177))</f>
        <v>9.5105882352941009</v>
      </c>
      <c r="N192" s="203">
        <f>N191*((TSIR!E178/TSIR!E177))</f>
        <v>8.3887119709731195</v>
      </c>
      <c r="O192" s="203">
        <f>O191*((TSIR!F178/TSIR!F177))</f>
        <v>8.0663157894736841</v>
      </c>
      <c r="P192" s="243">
        <f t="shared" si="17"/>
        <v>97.309395222108705</v>
      </c>
      <c r="Q192" s="204">
        <f t="shared" si="19"/>
        <v>106.53602553344807</v>
      </c>
      <c r="R192" s="202">
        <f t="shared" si="20"/>
        <v>92.293398484911876</v>
      </c>
      <c r="S192" s="200">
        <f t="shared" si="16"/>
        <v>403988346.08369279</v>
      </c>
      <c r="T192" s="70">
        <f t="shared" si="18"/>
        <v>2.4079080202921155E-4</v>
      </c>
    </row>
    <row r="193" spans="10:20">
      <c r="J193" s="295" t="s">
        <v>223</v>
      </c>
      <c r="K193" s="85">
        <f>K192*((TSIR!B179/TSIR!B178))</f>
        <v>2.7650000000000015</v>
      </c>
      <c r="L193" s="203">
        <f>L192*((TSIR!C179/TSIR!C178))</f>
        <v>6.0415384615384662</v>
      </c>
      <c r="M193" s="203">
        <f>M192*((TSIR!D179/TSIR!D178))</f>
        <v>9.5105882352941009</v>
      </c>
      <c r="N193" s="203">
        <f>N192*((TSIR!E179/TSIR!E178))</f>
        <v>8.5265881588611165</v>
      </c>
      <c r="O193" s="203">
        <f>O192*((TSIR!F179/TSIR!F178))</f>
        <v>8.2705263157894731</v>
      </c>
      <c r="P193" s="243">
        <f t="shared" si="17"/>
        <v>97.309395222108705</v>
      </c>
      <c r="Q193" s="204">
        <f t="shared" si="19"/>
        <v>106.53602553344807</v>
      </c>
      <c r="R193" s="202">
        <f t="shared" si="20"/>
        <v>92.250722191695914</v>
      </c>
      <c r="S193" s="200">
        <f t="shared" si="16"/>
        <v>403817640.91082895</v>
      </c>
      <c r="T193" s="70">
        <f t="shared" si="18"/>
        <v>-4.2254974560196334E-4</v>
      </c>
    </row>
    <row r="194" spans="10:20">
      <c r="J194" s="295" t="s">
        <v>224</v>
      </c>
      <c r="K194" s="85">
        <f>K193*((TSIR!B180/TSIR!B179))</f>
        <v>2.7650000000000015</v>
      </c>
      <c r="L194" s="203">
        <f>L193*((TSIR!C180/TSIR!C179))</f>
        <v>6.6169230769230829</v>
      </c>
      <c r="M194" s="203">
        <f>M193*((TSIR!D180/TSIR!D179))</f>
        <v>10.174117647058807</v>
      </c>
      <c r="N194" s="203">
        <f>N193*((TSIR!E180/TSIR!E179))</f>
        <v>8.9387956911845858</v>
      </c>
      <c r="O194" s="203">
        <f>O193*((TSIR!F180/TSIR!F179))</f>
        <v>8.5768421052631574</v>
      </c>
      <c r="P194" s="243">
        <f t="shared" si="17"/>
        <v>97.309395222108705</v>
      </c>
      <c r="Q194" s="204">
        <f t="shared" si="19"/>
        <v>106.39008702968944</v>
      </c>
      <c r="R194" s="202">
        <f t="shared" si="20"/>
        <v>92.187388703165681</v>
      </c>
      <c r="S194" s="200">
        <f t="shared" si="16"/>
        <v>403783214.71234596</v>
      </c>
      <c r="T194" s="70">
        <f t="shared" si="18"/>
        <v>-8.5251843890077339E-5</v>
      </c>
    </row>
    <row r="195" spans="10:20">
      <c r="J195" s="295" t="s">
        <v>225</v>
      </c>
      <c r="K195" s="85">
        <f>K194*((TSIR!B181/TSIR!B180))</f>
        <v>2.7650000000000015</v>
      </c>
      <c r="L195" s="203">
        <f>L194*((TSIR!C181/TSIR!C180))</f>
        <v>6.6169230769230829</v>
      </c>
      <c r="M195" s="203">
        <f>M194*((TSIR!D181/TSIR!D180))</f>
        <v>10.39529411764704</v>
      </c>
      <c r="N195" s="203">
        <f>N194*((TSIR!E181/TSIR!E180))</f>
        <v>9.2838317809690576</v>
      </c>
      <c r="O195" s="203">
        <f>O194*((TSIR!F181/TSIR!F180))</f>
        <v>8.9852631578947371</v>
      </c>
      <c r="P195" s="243">
        <f t="shared" si="17"/>
        <v>97.309395222108705</v>
      </c>
      <c r="Q195" s="204">
        <f t="shared" si="19"/>
        <v>106.34207867542327</v>
      </c>
      <c r="R195" s="202">
        <f t="shared" si="20"/>
        <v>92.104194183332751</v>
      </c>
      <c r="S195" s="200">
        <f t="shared" si="16"/>
        <v>403522449.16441357</v>
      </c>
      <c r="T195" s="70">
        <f t="shared" si="18"/>
        <v>-6.4580581468243192E-4</v>
      </c>
    </row>
    <row r="196" spans="10:20">
      <c r="J196" s="295" t="s">
        <v>226</v>
      </c>
      <c r="K196" s="85">
        <f>K195*((TSIR!B182/TSIR!B181))</f>
        <v>2.7650000000000015</v>
      </c>
      <c r="L196" s="203">
        <f>L195*((TSIR!C182/TSIR!C181))</f>
        <v>6.6169230769230829</v>
      </c>
      <c r="M196" s="203">
        <f>M195*((TSIR!D182/TSIR!D181))</f>
        <v>9.9529411764705706</v>
      </c>
      <c r="N196" s="203">
        <f>N195*((TSIR!E182/TSIR!E181))</f>
        <v>8.8024226734719093</v>
      </c>
      <c r="O196" s="203">
        <f>O195*((TSIR!F182/TSIR!F181))</f>
        <v>8.474736842105262</v>
      </c>
      <c r="P196" s="243">
        <f t="shared" si="17"/>
        <v>97.309395222108705</v>
      </c>
      <c r="Q196" s="204">
        <f t="shared" si="19"/>
        <v>106.43841238476483</v>
      </c>
      <c r="R196" s="202">
        <f t="shared" si="20"/>
        <v>92.208409744034554</v>
      </c>
      <c r="S196" s="200">
        <f t="shared" si="16"/>
        <v>403794810.84320843</v>
      </c>
      <c r="T196" s="70">
        <f t="shared" si="18"/>
        <v>6.7496041263348516E-4</v>
      </c>
    </row>
    <row r="197" spans="10:20">
      <c r="J197" s="295" t="s">
        <v>227</v>
      </c>
      <c r="K197" s="85">
        <f>K196*((TSIR!B183/TSIR!B182))</f>
        <v>2.7650000000000015</v>
      </c>
      <c r="L197" s="203">
        <f>L196*((TSIR!C183/TSIR!C182))</f>
        <v>6.3292307692307741</v>
      </c>
      <c r="M197" s="203">
        <f>M196*((TSIR!D183/TSIR!D182))</f>
        <v>10.174117647058806</v>
      </c>
      <c r="N197" s="203">
        <f>N196*((TSIR!E183/TSIR!E182))</f>
        <v>8.9402492962584699</v>
      </c>
      <c r="O197" s="203">
        <f>O196*((TSIR!F183/TSIR!F182))</f>
        <v>8.5768421052631556</v>
      </c>
      <c r="P197" s="243">
        <f t="shared" si="17"/>
        <v>97.309395222108705</v>
      </c>
      <c r="Q197" s="204">
        <f t="shared" si="19"/>
        <v>106.39008702968944</v>
      </c>
      <c r="R197" s="202">
        <f t="shared" si="20"/>
        <v>92.187388703165681</v>
      </c>
      <c r="S197" s="200">
        <f t="shared" si="16"/>
        <v>403783214.71234596</v>
      </c>
      <c r="T197" s="70">
        <f t="shared" si="18"/>
        <v>-2.871787985159191E-5</v>
      </c>
    </row>
    <row r="198" spans="10:20">
      <c r="J198" s="295" t="s">
        <v>228</v>
      </c>
      <c r="K198" s="85">
        <f>K197*((TSIR!B184/TSIR!B183))</f>
        <v>3.1600000000000015</v>
      </c>
      <c r="L198" s="203">
        <f>L197*((TSIR!C184/TSIR!C183))</f>
        <v>7.1923076923076987</v>
      </c>
      <c r="M198" s="203">
        <f>M197*((TSIR!D184/TSIR!D183))</f>
        <v>10.616470588235275</v>
      </c>
      <c r="N198" s="203">
        <f>N197*((TSIR!E184/TSIR!E183))</f>
        <v>9.2197890372048548</v>
      </c>
      <c r="O198" s="203">
        <f>O197*((TSIR!F184/TSIR!F183))</f>
        <v>8.7810526315789446</v>
      </c>
      <c r="P198" s="243">
        <f t="shared" si="17"/>
        <v>96.936797208220227</v>
      </c>
      <c r="Q198" s="204">
        <f t="shared" si="19"/>
        <v>106.29438450262083</v>
      </c>
      <c r="R198" s="202">
        <f t="shared" si="20"/>
        <v>92.145614498482402</v>
      </c>
      <c r="S198" s="200">
        <f t="shared" si="16"/>
        <v>403014475.65643883</v>
      </c>
      <c r="T198" s="70">
        <f t="shared" si="18"/>
        <v>-1.9038410411754692E-3</v>
      </c>
    </row>
    <row r="199" spans="10:20">
      <c r="J199" s="295" t="s">
        <v>229</v>
      </c>
      <c r="K199" s="85">
        <f>K198*((TSIR!B185/TSIR!B184))</f>
        <v>3.1600000000000015</v>
      </c>
      <c r="L199" s="203">
        <f>L198*((TSIR!C185/TSIR!C184))</f>
        <v>7.7676923076923154</v>
      </c>
      <c r="M199" s="203">
        <f>M198*((TSIR!D185/TSIR!D184))</f>
        <v>11.722352941176451</v>
      </c>
      <c r="N199" s="203">
        <f>N198*((TSIR!E185/TSIR!E184))</f>
        <v>10.108193925302826</v>
      </c>
      <c r="O199" s="203">
        <f>O198*((TSIR!F185/TSIR!F184))</f>
        <v>9.5978947368421021</v>
      </c>
      <c r="P199" s="243">
        <f t="shared" si="17"/>
        <v>96.936797208220227</v>
      </c>
      <c r="Q199" s="204">
        <f t="shared" si="19"/>
        <v>106.06052984745291</v>
      </c>
      <c r="R199" s="202">
        <f t="shared" si="20"/>
        <v>91.982017930371001</v>
      </c>
      <c r="S199" s="200">
        <f t="shared" si="16"/>
        <v>402710871.36674511</v>
      </c>
      <c r="T199" s="70">
        <f t="shared" si="18"/>
        <v>-7.5333346078743091E-4</v>
      </c>
    </row>
    <row r="200" spans="10:20">
      <c r="J200" s="295" t="s">
        <v>230</v>
      </c>
      <c r="K200" s="85">
        <f>K199*((TSIR!B186/TSIR!B185))</f>
        <v>3.1600000000000015</v>
      </c>
      <c r="L200" s="203">
        <f>L199*((TSIR!C186/TSIR!C185))</f>
        <v>8.3430769230769304</v>
      </c>
      <c r="M200" s="203">
        <f>M199*((TSIR!D186/TSIR!D185))</f>
        <v>12.164705882352921</v>
      </c>
      <c r="N200" s="203">
        <f>N199*((TSIR!E186/TSIR!E185))</f>
        <v>10.454999328965286</v>
      </c>
      <c r="O200" s="203">
        <f>O199*((TSIR!F186/TSIR!F185))</f>
        <v>9.9042105263157865</v>
      </c>
      <c r="P200" s="243">
        <f t="shared" si="17"/>
        <v>96.936797208220227</v>
      </c>
      <c r="Q200" s="204">
        <f t="shared" si="19"/>
        <v>105.96909200707702</v>
      </c>
      <c r="R200" s="202">
        <f t="shared" si="20"/>
        <v>91.922079042770534</v>
      </c>
      <c r="S200" s="200">
        <f t="shared" si="16"/>
        <v>402608272.57690704</v>
      </c>
      <c r="T200" s="70">
        <f t="shared" si="18"/>
        <v>-2.5477035047472008E-4</v>
      </c>
    </row>
    <row r="201" spans="10:20">
      <c r="J201" s="295" t="s">
        <v>231</v>
      </c>
      <c r="K201" s="85">
        <f>K200*((TSIR!B187/TSIR!B186))</f>
        <v>3.5550000000000015</v>
      </c>
      <c r="L201" s="203">
        <f>L200*((TSIR!C187/TSIR!C186))</f>
        <v>8.918461538461548</v>
      </c>
      <c r="M201" s="203">
        <f>M200*((TSIR!D187/TSIR!D186))</f>
        <v>12.385882352941158</v>
      </c>
      <c r="N201" s="203">
        <f>N200*((TSIR!E187/TSIR!E186))</f>
        <v>10.590308907855292</v>
      </c>
      <c r="O201" s="203">
        <f>O200*((TSIR!F187/TSIR!F186))</f>
        <v>10.00631578947368</v>
      </c>
      <c r="P201" s="243">
        <f t="shared" si="17"/>
        <v>96.567041668678485</v>
      </c>
      <c r="Q201" s="204">
        <f t="shared" si="19"/>
        <v>105.92381345351384</v>
      </c>
      <c r="R201" s="202">
        <f t="shared" si="20"/>
        <v>91.902266581722515</v>
      </c>
      <c r="S201" s="200">
        <f t="shared" si="16"/>
        <v>401857429.48397624</v>
      </c>
      <c r="T201" s="70">
        <f t="shared" si="18"/>
        <v>-1.8649470069876939E-3</v>
      </c>
    </row>
    <row r="202" spans="10:20">
      <c r="J202" s="295" t="s">
        <v>232</v>
      </c>
      <c r="K202" s="85">
        <f>K201*((TSIR!B188/TSIR!B187))</f>
        <v>3.5550000000000015</v>
      </c>
      <c r="L202" s="203">
        <f>L201*((TSIR!C188/TSIR!C187))</f>
        <v>8.918461538461548</v>
      </c>
      <c r="M202" s="203">
        <f>M201*((TSIR!D188/TSIR!D187))</f>
        <v>12.164705882352923</v>
      </c>
      <c r="N202" s="203">
        <f>N201*((TSIR!E188/TSIR!E187))</f>
        <v>10.795674920008764</v>
      </c>
      <c r="O202" s="203">
        <f>O201*((TSIR!F188/TSIR!F187))</f>
        <v>10.41473684210526</v>
      </c>
      <c r="P202" s="243">
        <f t="shared" si="17"/>
        <v>96.567041668678485</v>
      </c>
      <c r="Q202" s="204">
        <f t="shared" si="19"/>
        <v>105.96909200707702</v>
      </c>
      <c r="R202" s="202">
        <f t="shared" si="20"/>
        <v>91.823840503396511</v>
      </c>
      <c r="S202" s="200">
        <f t="shared" si="16"/>
        <v>401475807.3403275</v>
      </c>
      <c r="T202" s="70">
        <f t="shared" si="18"/>
        <v>-9.4964560973476164E-4</v>
      </c>
    </row>
    <row r="203" spans="10:20">
      <c r="J203" s="295" t="s">
        <v>233</v>
      </c>
      <c r="K203" s="85">
        <f>K202*((TSIR!B189/TSIR!B188))</f>
        <v>3.5550000000000015</v>
      </c>
      <c r="L203" s="203">
        <f>L202*((TSIR!C189/TSIR!C188))</f>
        <v>8.6307692307692392</v>
      </c>
      <c r="M203" s="203">
        <f>M202*((TSIR!D189/TSIR!D188))</f>
        <v>12.164705882352923</v>
      </c>
      <c r="N203" s="203">
        <f>N202*((TSIR!E189/TSIR!E188))</f>
        <v>10.72839564556145</v>
      </c>
      <c r="O203" s="203">
        <f>O202*((TSIR!F189/TSIR!F188))</f>
        <v>10.312631578947366</v>
      </c>
      <c r="P203" s="243">
        <f t="shared" si="17"/>
        <v>96.567041668678485</v>
      </c>
      <c r="Q203" s="204">
        <f t="shared" si="19"/>
        <v>105.96909200707702</v>
      </c>
      <c r="R203" s="202">
        <f t="shared" si="20"/>
        <v>91.843324353315012</v>
      </c>
      <c r="S203" s="200">
        <f t="shared" si="16"/>
        <v>401553742.74000144</v>
      </c>
      <c r="T203" s="70">
        <f t="shared" si="18"/>
        <v>1.9412228146498123E-4</v>
      </c>
    </row>
    <row r="204" spans="10:20">
      <c r="J204" s="295" t="s">
        <v>234</v>
      </c>
      <c r="K204" s="85">
        <f>K203*((TSIR!B190/TSIR!B189))</f>
        <v>3.5550000000000015</v>
      </c>
      <c r="L204" s="203">
        <f>L203*((TSIR!C190/TSIR!C189))</f>
        <v>8.0553846153846251</v>
      </c>
      <c r="M204" s="203">
        <f>M203*((TSIR!D190/TSIR!D189))</f>
        <v>11.722352941176453</v>
      </c>
      <c r="N204" s="203">
        <f>N203*((TSIR!E190/TSIR!E189))</f>
        <v>10.384655035977515</v>
      </c>
      <c r="O204" s="203">
        <f>O203*((TSIR!F190/TSIR!F189))</f>
        <v>10.006315789473682</v>
      </c>
      <c r="P204" s="243">
        <f t="shared" si="17"/>
        <v>96.567041668678485</v>
      </c>
      <c r="Q204" s="204">
        <f t="shared" si="19"/>
        <v>106.06052984745291</v>
      </c>
      <c r="R204" s="202">
        <f t="shared" si="20"/>
        <v>91.902266581722515</v>
      </c>
      <c r="S204" s="200">
        <f t="shared" si="16"/>
        <v>401652354.8930676</v>
      </c>
      <c r="T204" s="70">
        <f t="shared" si="18"/>
        <v>2.4557647599854349E-4</v>
      </c>
    </row>
    <row r="205" spans="10:20">
      <c r="J205" s="295" t="s">
        <v>235</v>
      </c>
      <c r="K205" s="85">
        <f>K204*((TSIR!B191/TSIR!B190))</f>
        <v>3.5550000000000015</v>
      </c>
      <c r="L205" s="203">
        <f>L204*((TSIR!C191/TSIR!C190))</f>
        <v>7.7676923076923172</v>
      </c>
      <c r="M205" s="203">
        <f>M204*((TSIR!D191/TSIR!D190))</f>
        <v>10.837647058823512</v>
      </c>
      <c r="N205" s="203">
        <f>N204*((TSIR!E191/TSIR!E190))</f>
        <v>9.7648927001180521</v>
      </c>
      <c r="O205" s="203">
        <f>O204*((TSIR!F191/TSIR!F190))</f>
        <v>9.4957894736842086</v>
      </c>
      <c r="P205" s="243">
        <f t="shared" si="17"/>
        <v>96.567041668678485</v>
      </c>
      <c r="Q205" s="204">
        <f t="shared" si="19"/>
        <v>106.24700172317777</v>
      </c>
      <c r="R205" s="202">
        <f t="shared" si="20"/>
        <v>92.002166259646458</v>
      </c>
      <c r="S205" s="200">
        <f t="shared" si="16"/>
        <v>401772245.79117614</v>
      </c>
      <c r="T205" s="70">
        <f t="shared" si="18"/>
        <v>2.9849419939398381E-4</v>
      </c>
    </row>
    <row r="206" spans="10:20">
      <c r="J206" s="295" t="s">
        <v>236</v>
      </c>
      <c r="K206" s="85">
        <f>K205*((TSIR!B192/TSIR!B191))</f>
        <v>3.5550000000000015</v>
      </c>
      <c r="L206" s="203">
        <f>L205*((TSIR!C192/TSIR!C191))</f>
        <v>7.7676923076923172</v>
      </c>
      <c r="M206" s="203">
        <f>M205*((TSIR!D192/TSIR!D191))</f>
        <v>11.501176470588218</v>
      </c>
      <c r="N206" s="203">
        <f>N205*((TSIR!E192/TSIR!E191))</f>
        <v>10.108899818391683</v>
      </c>
      <c r="O206" s="203">
        <f>O205*((TSIR!F192/TSIR!F191))</f>
        <v>9.6999999999999975</v>
      </c>
      <c r="P206" s="243">
        <f t="shared" si="17"/>
        <v>96.567041668678485</v>
      </c>
      <c r="Q206" s="204">
        <f t="shared" si="19"/>
        <v>106.10669432396956</v>
      </c>
      <c r="R206" s="202">
        <f t="shared" si="20"/>
        <v>91.961954259038109</v>
      </c>
      <c r="S206" s="200">
        <f t="shared" si="16"/>
        <v>401821858.887555</v>
      </c>
      <c r="T206" s="70">
        <f t="shared" si="18"/>
        <v>1.2348562375463779E-4</v>
      </c>
    </row>
    <row r="207" spans="10:20">
      <c r="J207" s="295" t="s">
        <v>237</v>
      </c>
      <c r="K207" s="85">
        <f>K206*((TSIR!B193/TSIR!B192))</f>
        <v>3.5550000000000015</v>
      </c>
      <c r="L207" s="203">
        <f>L206*((TSIR!C193/TSIR!C192))</f>
        <v>8.0553846153846251</v>
      </c>
      <c r="M207" s="203">
        <f>M206*((TSIR!D193/TSIR!D192))</f>
        <v>11.94352941176469</v>
      </c>
      <c r="N207" s="203">
        <f>N206*((TSIR!E193/TSIR!E192))</f>
        <v>10.454090272300542</v>
      </c>
      <c r="O207" s="203">
        <f>O206*((TSIR!F193/TSIR!F192))</f>
        <v>10.006315789473682</v>
      </c>
      <c r="P207" s="243">
        <f t="shared" si="17"/>
        <v>96.567041668678485</v>
      </c>
      <c r="Q207" s="204">
        <f t="shared" si="19"/>
        <v>106.01466327818687</v>
      </c>
      <c r="R207" s="202">
        <f t="shared" si="20"/>
        <v>91.902266581722515</v>
      </c>
      <c r="S207" s="200">
        <f t="shared" si="16"/>
        <v>401721154.74696672</v>
      </c>
      <c r="T207" s="70">
        <f t="shared" si="18"/>
        <v>-2.5061887092725499E-4</v>
      </c>
    </row>
    <row r="208" spans="10:20">
      <c r="J208" s="295" t="s">
        <v>238</v>
      </c>
      <c r="K208" s="85">
        <f>K207*((TSIR!B194/TSIR!B193))</f>
        <v>3.950000000000002</v>
      </c>
      <c r="L208" s="203">
        <f>L207*((TSIR!C194/TSIR!C193))</f>
        <v>8.630769230769241</v>
      </c>
      <c r="M208" s="203">
        <f>M207*((TSIR!D194/TSIR!D193))</f>
        <v>12.164705882352926</v>
      </c>
      <c r="N208" s="203">
        <f>N207*((TSIR!E194/TSIR!E193))</f>
        <v>10.594624886231776</v>
      </c>
      <c r="O208" s="203">
        <f>O207*((TSIR!F194/TSIR!F193))</f>
        <v>10.108421052631575</v>
      </c>
      <c r="P208" s="243">
        <f t="shared" si="17"/>
        <v>96.200096200096198</v>
      </c>
      <c r="Q208" s="204">
        <f t="shared" si="19"/>
        <v>105.96909200707702</v>
      </c>
      <c r="R208" s="202">
        <f t="shared" si="20"/>
        <v>91.882536946343933</v>
      </c>
      <c r="S208" s="200">
        <f t="shared" si="16"/>
        <v>400976702.17495263</v>
      </c>
      <c r="T208" s="70">
        <f t="shared" si="18"/>
        <v>-1.8531575029525627E-3</v>
      </c>
    </row>
    <row r="209" spans="10:20">
      <c r="J209" s="295" t="s">
        <v>239</v>
      </c>
      <c r="K209" s="85">
        <f>K208*((TSIR!B195/TSIR!B194))</f>
        <v>3.950000000000002</v>
      </c>
      <c r="L209" s="203">
        <f>L208*((TSIR!C195/TSIR!C194))</f>
        <v>9.2061538461538568</v>
      </c>
      <c r="M209" s="203">
        <f>M208*((TSIR!D195/TSIR!D194))</f>
        <v>12.607058823529394</v>
      </c>
      <c r="N209" s="203">
        <f>N208*((TSIR!E195/TSIR!E194))</f>
        <v>10.933059266851094</v>
      </c>
      <c r="O209" s="203">
        <f>O208*((TSIR!F195/TSIR!F194))</f>
        <v>10.41473684210526</v>
      </c>
      <c r="P209" s="243">
        <f t="shared" si="17"/>
        <v>96.200096200096198</v>
      </c>
      <c r="Q209" s="204">
        <f t="shared" si="19"/>
        <v>105.8788250650026</v>
      </c>
      <c r="R209" s="202">
        <f t="shared" si="20"/>
        <v>91.823840503396511</v>
      </c>
      <c r="S209" s="200">
        <f t="shared" si="16"/>
        <v>400877316.81627452</v>
      </c>
      <c r="T209" s="70">
        <f t="shared" si="18"/>
        <v>-2.4785818761796641E-4</v>
      </c>
    </row>
    <row r="210" spans="10:20">
      <c r="J210" s="295" t="s">
        <v>240</v>
      </c>
      <c r="K210" s="85">
        <f>K209*((TSIR!B196/TSIR!B195))</f>
        <v>3.5550000000000015</v>
      </c>
      <c r="L210" s="203">
        <f>L209*((TSIR!C196/TSIR!C195))</f>
        <v>9.2061538461538568</v>
      </c>
      <c r="M210" s="203">
        <f>M209*((TSIR!D196/TSIR!D195))</f>
        <v>13.049411764705866</v>
      </c>
      <c r="N210" s="203">
        <f>N209*((TSIR!E196/TSIR!E195))</f>
        <v>11.28098213107749</v>
      </c>
      <c r="O210" s="203">
        <f>O209*((TSIR!F196/TSIR!F195))</f>
        <v>10.721052631578946</v>
      </c>
      <c r="P210" s="243">
        <f t="shared" si="17"/>
        <v>96.567041668678485</v>
      </c>
      <c r="Q210" s="204">
        <f t="shared" si="19"/>
        <v>105.78970871154755</v>
      </c>
      <c r="R210" s="202">
        <f t="shared" si="20"/>
        <v>91.765873447587978</v>
      </c>
      <c r="S210" s="200">
        <f t="shared" ref="S210:S267" si="21">P210*$C$10+Q210*$C$11+R210*$C$12</f>
        <v>401513014.06038755</v>
      </c>
      <c r="T210" s="70">
        <f t="shared" si="18"/>
        <v>1.5857650643884558E-3</v>
      </c>
    </row>
    <row r="211" spans="10:20">
      <c r="J211" s="295" t="s">
        <v>241</v>
      </c>
      <c r="K211" s="85">
        <f>K210*((TSIR!B197/TSIR!B196))</f>
        <v>3.950000000000002</v>
      </c>
      <c r="L211" s="203">
        <f>L210*((TSIR!C197/TSIR!C196))</f>
        <v>10.069230769230781</v>
      </c>
      <c r="M211" s="203">
        <f>M210*((TSIR!D197/TSIR!D196))</f>
        <v>14.15529411764704</v>
      </c>
      <c r="N211" s="203">
        <f>N210*((TSIR!E197/TSIR!E196))</f>
        <v>11.828216357343656</v>
      </c>
      <c r="O211" s="203">
        <f>O210*((TSIR!F197/TSIR!F196))</f>
        <v>11.027368421052632</v>
      </c>
      <c r="P211" s="243">
        <f t="shared" ref="P211:P267" si="22">100/(1+(K211/100))</f>
        <v>96.200096200096198</v>
      </c>
      <c r="Q211" s="204">
        <f t="shared" si="19"/>
        <v>105.57182229540626</v>
      </c>
      <c r="R211" s="202">
        <f t="shared" si="20"/>
        <v>91.708624006490837</v>
      </c>
      <c r="S211" s="200">
        <f t="shared" si="21"/>
        <v>400876954.98304641</v>
      </c>
      <c r="T211" s="70">
        <f t="shared" ref="T211:T267" si="23">(S211/S210)-1</f>
        <v>-1.584155569227641E-3</v>
      </c>
    </row>
    <row r="212" spans="10:20">
      <c r="J212" s="295" t="s">
        <v>242</v>
      </c>
      <c r="K212" s="85">
        <f>K211*((TSIR!B198/TSIR!B197))</f>
        <v>4.3450000000000015</v>
      </c>
      <c r="L212" s="203">
        <f>L211*((TSIR!C198/TSIR!C197))</f>
        <v>10.644615384615397</v>
      </c>
      <c r="M212" s="203">
        <f>M211*((TSIR!D198/TSIR!D197))</f>
        <v>14.59764705882351</v>
      </c>
      <c r="N212" s="203">
        <f>N211*((TSIR!E198/TSIR!E197))</f>
        <v>12.034379926148072</v>
      </c>
      <c r="O212" s="203">
        <f>O211*((TSIR!F198/TSIR!F197))</f>
        <v>11.129473684210527</v>
      </c>
      <c r="P212" s="243">
        <f t="shared" si="22"/>
        <v>95.835928889740771</v>
      </c>
      <c r="Q212" s="204">
        <f t="shared" ref="Q212:Q267" si="24">$F$6*((1-(1+M212/100)^(-$D$6))/(M212/100))+($F$6+100)/(1+$M$17/100)^$D$6</f>
        <v>105.48657929072857</v>
      </c>
      <c r="R212" s="202">
        <f t="shared" ref="R212:R267" si="25">$F$7*((1-(1+O212/100)^(-$D$7))/(O212/100))+($F$7+100)/(1+$O$17/100)^$D$7</f>
        <v>91.689698327719654</v>
      </c>
      <c r="S212" s="200">
        <f t="shared" si="21"/>
        <v>400200782.15426731</v>
      </c>
      <c r="T212" s="70">
        <f t="shared" si="23"/>
        <v>-1.6867340972686051E-3</v>
      </c>
    </row>
    <row r="213" spans="10:20">
      <c r="J213" s="295" t="s">
        <v>243</v>
      </c>
      <c r="K213" s="85">
        <f>K212*((TSIR!B199/TSIR!B198))</f>
        <v>3.950000000000002</v>
      </c>
      <c r="L213" s="203">
        <f>L212*((TSIR!C199/TSIR!C198))</f>
        <v>10.356923076923088</v>
      </c>
      <c r="M213" s="203">
        <f>M212*((TSIR!D199/TSIR!D198))</f>
        <v>13.712941176470569</v>
      </c>
      <c r="N213" s="203">
        <f>N212*((TSIR!E199/TSIR!E198))</f>
        <v>11.487069349452284</v>
      </c>
      <c r="O213" s="203">
        <f>O212*((TSIR!F199/TSIR!F198))</f>
        <v>10.721052631578948</v>
      </c>
      <c r="P213" s="243">
        <f t="shared" si="22"/>
        <v>96.200096200096198</v>
      </c>
      <c r="Q213" s="204">
        <f t="shared" si="24"/>
        <v>105.65814818344046</v>
      </c>
      <c r="R213" s="202">
        <f t="shared" si="25"/>
        <v>91.765873447587978</v>
      </c>
      <c r="S213" s="200">
        <f t="shared" si="21"/>
        <v>400976463.91538364</v>
      </c>
      <c r="T213" s="70">
        <f t="shared" si="23"/>
        <v>1.9382314970521897E-3</v>
      </c>
    </row>
    <row r="214" spans="10:20">
      <c r="J214" s="295" t="s">
        <v>244</v>
      </c>
      <c r="K214" s="85">
        <f>K213*((TSIR!B200/TSIR!B199))</f>
        <v>4.740000000000002</v>
      </c>
      <c r="L214" s="203">
        <f>L213*((TSIR!C200/TSIR!C199))</f>
        <v>11.795384615384627</v>
      </c>
      <c r="M214" s="203">
        <f>M213*((TSIR!D200/TSIR!D199))</f>
        <v>15.482352941176448</v>
      </c>
      <c r="N214" s="203">
        <f>N213*((TSIR!E200/TSIR!E199))</f>
        <v>12.584610319487018</v>
      </c>
      <c r="O214" s="203">
        <f>O213*((TSIR!F200/TSIR!F199))</f>
        <v>11.537894736842105</v>
      </c>
      <c r="P214" s="243">
        <f t="shared" si="22"/>
        <v>95.474508306282218</v>
      </c>
      <c r="Q214" s="204">
        <f t="shared" si="24"/>
        <v>105.31926862683767</v>
      </c>
      <c r="R214" s="202">
        <f t="shared" si="25"/>
        <v>91.614771719267679</v>
      </c>
      <c r="S214" s="200">
        <f t="shared" si="21"/>
        <v>399429200.54937863</v>
      </c>
      <c r="T214" s="70">
        <f t="shared" si="23"/>
        <v>-3.8587386174653293E-3</v>
      </c>
    </row>
    <row r="215" spans="10:20">
      <c r="J215" s="295" t="s">
        <v>245</v>
      </c>
      <c r="K215" s="85">
        <f>K214*((TSIR!B201/TSIR!B200))</f>
        <v>4.3450000000000024</v>
      </c>
      <c r="L215" s="203">
        <f>L214*((TSIR!C201/TSIR!C200))</f>
        <v>12.658461538461552</v>
      </c>
      <c r="M215" s="203">
        <f>M214*((TSIR!D201/TSIR!D200))</f>
        <v>15.924705882352919</v>
      </c>
      <c r="N215" s="203">
        <f>N214*((TSIR!E201/TSIR!E200))</f>
        <v>12.931388891069656</v>
      </c>
      <c r="O215" s="203">
        <f>O214*((TSIR!F201/TSIR!F200))</f>
        <v>11.84421052631579</v>
      </c>
      <c r="P215" s="243">
        <f t="shared" si="22"/>
        <v>95.835928889740771</v>
      </c>
      <c r="Q215" s="204">
        <f t="shared" si="24"/>
        <v>105.23716528114674</v>
      </c>
      <c r="R215" s="202">
        <f t="shared" si="25"/>
        <v>91.559380087643845</v>
      </c>
      <c r="S215" s="200">
        <f t="shared" si="21"/>
        <v>400053630.20833683</v>
      </c>
      <c r="T215" s="70">
        <f t="shared" si="23"/>
        <v>1.5633049814569588E-3</v>
      </c>
    </row>
    <row r="216" spans="10:20">
      <c r="J216" s="295" t="s">
        <v>246</v>
      </c>
      <c r="K216" s="85">
        <f>K215*((TSIR!B202/TSIR!B201))</f>
        <v>4.3450000000000024</v>
      </c>
      <c r="L216" s="203">
        <f>L215*((TSIR!C202/TSIR!C201))</f>
        <v>11.795384615384627</v>
      </c>
      <c r="M216" s="203">
        <f>M215*((TSIR!D202/TSIR!D201))</f>
        <v>15.703529411764682</v>
      </c>
      <c r="N216" s="203">
        <f>N215*((TSIR!E202/TSIR!E201))</f>
        <v>12.932331597632007</v>
      </c>
      <c r="O216" s="203">
        <f>O215*((TSIR!F202/TSIR!F201))</f>
        <v>11.946315789473683</v>
      </c>
      <c r="P216" s="243">
        <f t="shared" si="22"/>
        <v>95.835928889740771</v>
      </c>
      <c r="Q216" s="204">
        <f t="shared" si="24"/>
        <v>105.27808944606299</v>
      </c>
      <c r="R216" s="202">
        <f t="shared" si="25"/>
        <v>91.541067049582139</v>
      </c>
      <c r="S216" s="200">
        <f t="shared" si="21"/>
        <v>399918991.80871558</v>
      </c>
      <c r="T216" s="70">
        <f t="shared" si="23"/>
        <v>-3.3655087581918597E-4</v>
      </c>
    </row>
    <row r="217" spans="10:20">
      <c r="J217" s="295" t="s">
        <v>247</v>
      </c>
      <c r="K217" s="85">
        <f>K216*((TSIR!B203/TSIR!B202))</f>
        <v>3.9500000000000024</v>
      </c>
      <c r="L217" s="203">
        <f>L216*((TSIR!C203/TSIR!C202))</f>
        <v>11.50769230769232</v>
      </c>
      <c r="M217" s="203">
        <f>M216*((TSIR!D203/TSIR!D202))</f>
        <v>15.482352941176448</v>
      </c>
      <c r="N217" s="203">
        <f>N216*((TSIR!E203/TSIR!E202))</f>
        <v>12.793548339303802</v>
      </c>
      <c r="O217" s="203">
        <f>O216*((TSIR!F203/TSIR!F202))</f>
        <v>11.84421052631579</v>
      </c>
      <c r="P217" s="243">
        <f t="shared" si="22"/>
        <v>96.200096200096198</v>
      </c>
      <c r="Q217" s="204">
        <f t="shared" si="24"/>
        <v>105.31926862683767</v>
      </c>
      <c r="R217" s="202">
        <f t="shared" si="25"/>
        <v>91.559380087643845</v>
      </c>
      <c r="S217" s="200">
        <f t="shared" si="21"/>
        <v>400658809.81051129</v>
      </c>
      <c r="T217" s="70">
        <f t="shared" si="23"/>
        <v>1.8499196511017058E-3</v>
      </c>
    </row>
    <row r="218" spans="10:20">
      <c r="J218" s="295" t="s">
        <v>248</v>
      </c>
      <c r="K218" s="85">
        <f>K217*((TSIR!B204/TSIR!B203))</f>
        <v>4.7400000000000029</v>
      </c>
      <c r="L218" s="203">
        <f>L217*((TSIR!C204/TSIR!C203))</f>
        <v>12.946153846153861</v>
      </c>
      <c r="M218" s="203">
        <f>M217*((TSIR!D204/TSIR!D203))</f>
        <v>17.251764705882326</v>
      </c>
      <c r="N218" s="203">
        <f>N217*((TSIR!E204/TSIR!E203))</f>
        <v>13.823162726110571</v>
      </c>
      <c r="O218" s="203">
        <f>O217*((TSIR!F204/TSIR!F203))</f>
        <v>12.558947368421052</v>
      </c>
      <c r="P218" s="243">
        <f t="shared" si="22"/>
        <v>95.474508306282218</v>
      </c>
      <c r="Q218" s="204">
        <f t="shared" si="24"/>
        <v>104.9968568608522</v>
      </c>
      <c r="R218" s="202">
        <f t="shared" si="25"/>
        <v>91.432744723208202</v>
      </c>
      <c r="S218" s="200">
        <f t="shared" si="21"/>
        <v>399184710.21411896</v>
      </c>
      <c r="T218" s="70">
        <f t="shared" si="23"/>
        <v>-3.6791892760064115E-3</v>
      </c>
    </row>
    <row r="219" spans="10:20">
      <c r="J219" s="295" t="s">
        <v>249</v>
      </c>
      <c r="K219" s="85">
        <f>K218*((TSIR!B205/TSIR!B204))</f>
        <v>5.1350000000000042</v>
      </c>
      <c r="L219" s="203">
        <f>L218*((TSIR!C205/TSIR!C204))</f>
        <v>13.809230769230785</v>
      </c>
      <c r="M219" s="203">
        <f>M218*((TSIR!D205/TSIR!D204))</f>
        <v>17.47294117647056</v>
      </c>
      <c r="N219" s="203">
        <f>N218*((TSIR!E205/TSIR!E204))</f>
        <v>13.823507520409493</v>
      </c>
      <c r="O219" s="203">
        <f>O218*((TSIR!F205/TSIR!F204))</f>
        <v>12.456842105263156</v>
      </c>
      <c r="P219" s="243">
        <f t="shared" si="22"/>
        <v>95.115803490749983</v>
      </c>
      <c r="Q219" s="204">
        <f t="shared" si="24"/>
        <v>104.95765888789639</v>
      </c>
      <c r="R219" s="202">
        <f t="shared" si="25"/>
        <v>91.450615182574225</v>
      </c>
      <c r="S219" s="200">
        <f t="shared" si="21"/>
        <v>398597579.37995231</v>
      </c>
      <c r="T219" s="70">
        <f t="shared" si="23"/>
        <v>-1.4708249568269327E-3</v>
      </c>
    </row>
    <row r="220" spans="10:20">
      <c r="J220" s="295" t="s">
        <v>250</v>
      </c>
      <c r="K220" s="85">
        <f>K219*((TSIR!B206/TSIR!B205))</f>
        <v>5.5300000000000056</v>
      </c>
      <c r="L220" s="203">
        <f>L219*((TSIR!C206/TSIR!C205))</f>
        <v>13.521538461538476</v>
      </c>
      <c r="M220" s="203">
        <f>M219*((TSIR!D206/TSIR!D205))</f>
        <v>16.809411764705857</v>
      </c>
      <c r="N220" s="203">
        <f>N219*((TSIR!E206/TSIR!E205))</f>
        <v>13.412525176308204</v>
      </c>
      <c r="O220" s="203">
        <f>O219*((TSIR!F206/TSIR!F205))</f>
        <v>12.150526315789472</v>
      </c>
      <c r="P220" s="243">
        <f t="shared" si="22"/>
        <v>94.759783947692583</v>
      </c>
      <c r="Q220" s="204">
        <f t="shared" si="24"/>
        <v>105.07597614234861</v>
      </c>
      <c r="R220" s="202">
        <f t="shared" si="25"/>
        <v>91.504664824561189</v>
      </c>
      <c r="S220" s="200">
        <f t="shared" si="21"/>
        <v>397924262.98010707</v>
      </c>
      <c r="T220" s="70">
        <f t="shared" si="23"/>
        <v>-1.6892134691149918E-3</v>
      </c>
    </row>
    <row r="221" spans="10:20">
      <c r="J221" s="295" t="s">
        <v>251</v>
      </c>
      <c r="K221" s="85">
        <f>K220*((TSIR!B207/TSIR!B206))</f>
        <v>5.5300000000000056</v>
      </c>
      <c r="L221" s="203">
        <f>L220*((TSIR!C207/TSIR!C206))</f>
        <v>13.521538461538476</v>
      </c>
      <c r="M221" s="203">
        <f>M220*((TSIR!D207/TSIR!D206))</f>
        <v>17.03058823529409</v>
      </c>
      <c r="N221" s="203">
        <f>N220*((TSIR!E207/TSIR!E206))</f>
        <v>13.548810374463327</v>
      </c>
      <c r="O221" s="203">
        <f>O220*((TSIR!F207/TSIR!F206))</f>
        <v>12.252631578947366</v>
      </c>
      <c r="P221" s="243">
        <f t="shared" si="22"/>
        <v>94.759783947692583</v>
      </c>
      <c r="Q221" s="204">
        <f t="shared" si="24"/>
        <v>105.03629527322914</v>
      </c>
      <c r="R221" s="202">
        <f t="shared" si="25"/>
        <v>91.486574844094577</v>
      </c>
      <c r="S221" s="200">
        <f t="shared" si="21"/>
        <v>397911424.36191976</v>
      </c>
      <c r="T221" s="70">
        <f t="shared" si="23"/>
        <v>-3.2263974282797925E-5</v>
      </c>
    </row>
    <row r="222" spans="10:20">
      <c r="J222" s="295" t="s">
        <v>252</v>
      </c>
      <c r="K222" s="85">
        <f>K221*((TSIR!B208/TSIR!B207))</f>
        <v>4.7400000000000038</v>
      </c>
      <c r="L222" s="203">
        <f>L221*((TSIR!C208/TSIR!C207))</f>
        <v>14.384615384615401</v>
      </c>
      <c r="M222" s="203">
        <f>M221*((TSIR!D208/TSIR!D207))</f>
        <v>17.03058823529409</v>
      </c>
      <c r="N222" s="203">
        <f>N221*((TSIR!E208/TSIR!E207))</f>
        <v>13.27457258158959</v>
      </c>
      <c r="O222" s="203">
        <f>O221*((TSIR!F208/TSIR!F207))</f>
        <v>11.844210526315788</v>
      </c>
      <c r="P222" s="243">
        <f t="shared" si="22"/>
        <v>95.474508306282218</v>
      </c>
      <c r="Q222" s="204">
        <f t="shared" si="24"/>
        <v>105.03629527322914</v>
      </c>
      <c r="R222" s="202">
        <f t="shared" si="25"/>
        <v>91.559380087643845</v>
      </c>
      <c r="S222" s="200">
        <f t="shared" si="21"/>
        <v>399632094.05329609</v>
      </c>
      <c r="T222" s="70">
        <f t="shared" si="23"/>
        <v>4.3242530523861511E-3</v>
      </c>
    </row>
    <row r="223" spans="10:20">
      <c r="J223" s="295" t="s">
        <v>253</v>
      </c>
      <c r="K223" s="85">
        <f>K222*((TSIR!B209/TSIR!B208))</f>
        <v>5.9250000000000043</v>
      </c>
      <c r="L223" s="203">
        <f>L222*((TSIR!C209/TSIR!C208))</f>
        <v>14.384615384615401</v>
      </c>
      <c r="M223" s="203">
        <f>M222*((TSIR!D209/TSIR!D208))</f>
        <v>17.03058823529409</v>
      </c>
      <c r="N223" s="203">
        <f>N222*((TSIR!E209/TSIR!E208))</f>
        <v>13.412677397367011</v>
      </c>
      <c r="O223" s="203">
        <f>O222*((TSIR!F209/TSIR!F208))</f>
        <v>12.048421052631577</v>
      </c>
      <c r="P223" s="243">
        <f t="shared" si="22"/>
        <v>94.406419636535276</v>
      </c>
      <c r="Q223" s="204">
        <f t="shared" si="24"/>
        <v>105.03629527322914</v>
      </c>
      <c r="R223" s="202">
        <f t="shared" si="25"/>
        <v>91.52282876123266</v>
      </c>
      <c r="S223" s="200">
        <f t="shared" si="21"/>
        <v>397349711.40815747</v>
      </c>
      <c r="T223" s="70">
        <f t="shared" si="23"/>
        <v>-5.7112095827674958E-3</v>
      </c>
    </row>
    <row r="224" spans="10:20">
      <c r="J224" s="295" t="s">
        <v>254</v>
      </c>
      <c r="K224" s="85">
        <f>K223*((TSIR!B210/TSIR!B209))</f>
        <v>5.9250000000000043</v>
      </c>
      <c r="L224" s="203">
        <f>L223*((TSIR!C210/TSIR!C209))</f>
        <v>13.809230769230785</v>
      </c>
      <c r="M224" s="203">
        <f>M223*((TSIR!D210/TSIR!D209))</f>
        <v>16.58823529411762</v>
      </c>
      <c r="N224" s="203">
        <f>N223*((TSIR!E210/TSIR!E209))</f>
        <v>13.275426681059706</v>
      </c>
      <c r="O224" s="203">
        <f>O223*((TSIR!F210/TSIR!F209))</f>
        <v>12.048421052631577</v>
      </c>
      <c r="P224" s="243">
        <f t="shared" si="22"/>
        <v>94.406419636535276</v>
      </c>
      <c r="Q224" s="204">
        <f t="shared" si="24"/>
        <v>105.11590150675563</v>
      </c>
      <c r="R224" s="202">
        <f t="shared" si="25"/>
        <v>91.52282876123266</v>
      </c>
      <c r="S224" s="200">
        <f t="shared" si="21"/>
        <v>397230302.05786777</v>
      </c>
      <c r="T224" s="70">
        <f t="shared" si="23"/>
        <v>-3.0051450110923916E-4</v>
      </c>
    </row>
    <row r="225" spans="10:20">
      <c r="J225" s="295" t="s">
        <v>255</v>
      </c>
      <c r="K225" s="85">
        <f>K224*((TSIR!B211/TSIR!B210))</f>
        <v>5.9250000000000043</v>
      </c>
      <c r="L225" s="203">
        <f>L224*((TSIR!C211/TSIR!C210))</f>
        <v>14.384615384615403</v>
      </c>
      <c r="M225" s="203">
        <f>M224*((TSIR!D211/TSIR!D210))</f>
        <v>17.472941176470563</v>
      </c>
      <c r="N225" s="203">
        <f>N224*((TSIR!E211/TSIR!E210))</f>
        <v>13.684956914395988</v>
      </c>
      <c r="O225" s="203">
        <f>O224*((TSIR!F211/TSIR!F210))</f>
        <v>12.252631578947366</v>
      </c>
      <c r="P225" s="243">
        <f t="shared" si="22"/>
        <v>94.406419636535276</v>
      </c>
      <c r="Q225" s="204">
        <f t="shared" si="24"/>
        <v>104.95765888789639</v>
      </c>
      <c r="R225" s="202">
        <f t="shared" si="25"/>
        <v>91.486574844094577</v>
      </c>
      <c r="S225" s="200">
        <f t="shared" si="21"/>
        <v>397322650.3176043</v>
      </c>
      <c r="T225" s="70">
        <f t="shared" si="23"/>
        <v>2.3248040055889874E-4</v>
      </c>
    </row>
    <row r="226" spans="10:20">
      <c r="J226" s="295" t="s">
        <v>256</v>
      </c>
      <c r="K226" s="85">
        <f>K225*((TSIR!B212/TSIR!B211))</f>
        <v>5.9250000000000043</v>
      </c>
      <c r="L226" s="203">
        <f>L225*((TSIR!C212/TSIR!C211))</f>
        <v>13.233846153846171</v>
      </c>
      <c r="M226" s="203">
        <f>M225*((TSIR!D212/TSIR!D211))</f>
        <v>16.14588235294115</v>
      </c>
      <c r="N226" s="203">
        <f>N225*((TSIR!E212/TSIR!E211))</f>
        <v>12.927770669850968</v>
      </c>
      <c r="O226" s="203">
        <f>O225*((TSIR!F212/TSIR!F211))</f>
        <v>11.742105263157891</v>
      </c>
      <c r="P226" s="243">
        <f t="shared" si="22"/>
        <v>94.406419636535276</v>
      </c>
      <c r="Q226" s="204">
        <f t="shared" si="24"/>
        <v>105.19649398333821</v>
      </c>
      <c r="R226" s="202">
        <f t="shared" si="25"/>
        <v>91.577768276032415</v>
      </c>
      <c r="S226" s="200">
        <f t="shared" si="21"/>
        <v>397329171.40219289</v>
      </c>
      <c r="T226" s="70">
        <f t="shared" si="23"/>
        <v>1.6412566923529326E-5</v>
      </c>
    </row>
    <row r="227" spans="10:20">
      <c r="J227" s="295" t="s">
        <v>257</v>
      </c>
      <c r="K227" s="85">
        <f>K226*((TSIR!B213/TSIR!B212))</f>
        <v>6.7150000000000061</v>
      </c>
      <c r="L227" s="203">
        <f>L226*((TSIR!C213/TSIR!C212))</f>
        <v>13.521538461538478</v>
      </c>
      <c r="M227" s="203">
        <f>M226*((TSIR!D213/TSIR!D212))</f>
        <v>17.03058823529409</v>
      </c>
      <c r="N227" s="203">
        <f>N226*((TSIR!E213/TSIR!E212))</f>
        <v>13.477785882643575</v>
      </c>
      <c r="O227" s="203">
        <f>O226*((TSIR!F213/TSIR!F212))</f>
        <v>12.15052631578947</v>
      </c>
      <c r="P227" s="243">
        <f t="shared" si="22"/>
        <v>93.707538771494157</v>
      </c>
      <c r="Q227" s="204">
        <f t="shared" si="24"/>
        <v>105.03629527322914</v>
      </c>
      <c r="R227" s="202">
        <f t="shared" si="25"/>
        <v>91.504664824561189</v>
      </c>
      <c r="S227" s="200">
        <f t="shared" si="21"/>
        <v>395879293.93138933</v>
      </c>
      <c r="T227" s="70">
        <f t="shared" si="23"/>
        <v>-3.6490587028555899E-3</v>
      </c>
    </row>
    <row r="228" spans="10:20">
      <c r="J228" s="295" t="s">
        <v>258</v>
      </c>
      <c r="K228" s="85">
        <f>K227*((TSIR!B214/TSIR!B213))</f>
        <v>5.5300000000000056</v>
      </c>
      <c r="L228" s="203">
        <f>L227*((TSIR!C214/TSIR!C213))</f>
        <v>11.795384615384631</v>
      </c>
      <c r="M228" s="203">
        <f>M227*((TSIR!D214/TSIR!D213))</f>
        <v>15.261176470588209</v>
      </c>
      <c r="N228" s="203">
        <f>N227*((TSIR!E214/TSIR!E213))</f>
        <v>12.313842640595274</v>
      </c>
      <c r="O228" s="203">
        <f>O227*((TSIR!F214/TSIR!F213))</f>
        <v>11.231578947368419</v>
      </c>
      <c r="P228" s="243">
        <f t="shared" si="22"/>
        <v>94.759783947692583</v>
      </c>
      <c r="Q228" s="204">
        <f t="shared" si="24"/>
        <v>105.36070499510825</v>
      </c>
      <c r="R228" s="202">
        <f t="shared" si="25"/>
        <v>91.670850677485745</v>
      </c>
      <c r="S228" s="200">
        <f t="shared" si="21"/>
        <v>398161913.11266577</v>
      </c>
      <c r="T228" s="70">
        <f t="shared" si="23"/>
        <v>5.7659473891857882E-3</v>
      </c>
    </row>
    <row r="229" spans="10:20">
      <c r="J229" s="295" t="s">
        <v>259</v>
      </c>
      <c r="K229" s="85">
        <f>K228*((TSIR!B215/TSIR!B214))</f>
        <v>5.5300000000000056</v>
      </c>
      <c r="L229" s="203">
        <f>L228*((TSIR!C215/TSIR!C214))</f>
        <v>11.220000000000015</v>
      </c>
      <c r="M229" s="203">
        <f>M228*((TSIR!D215/TSIR!D214))</f>
        <v>14.597647058823506</v>
      </c>
      <c r="N229" s="203">
        <f>N228*((TSIR!E215/TSIR!E214))</f>
        <v>11.690421780641614</v>
      </c>
      <c r="O229" s="203">
        <f>O228*((TSIR!F215/TSIR!F214))</f>
        <v>10.61894736842105</v>
      </c>
      <c r="P229" s="243">
        <f t="shared" si="22"/>
        <v>94.759783947692583</v>
      </c>
      <c r="Q229" s="204">
        <f t="shared" si="24"/>
        <v>105.48657929072857</v>
      </c>
      <c r="R229" s="202">
        <f t="shared" si="25"/>
        <v>91.785115487961463</v>
      </c>
      <c r="S229" s="200">
        <f t="shared" si="21"/>
        <v>398430160.91113818</v>
      </c>
      <c r="T229" s="70">
        <f t="shared" si="23"/>
        <v>6.7371536462479398E-4</v>
      </c>
    </row>
    <row r="230" spans="10:20">
      <c r="J230" s="295" t="s">
        <v>260</v>
      </c>
      <c r="K230" s="85">
        <f>K229*((TSIR!B216/TSIR!B215))</f>
        <v>6.3200000000000056</v>
      </c>
      <c r="L230" s="203">
        <f>L229*((TSIR!C216/TSIR!C215))</f>
        <v>12.946153846153862</v>
      </c>
      <c r="M230" s="203">
        <f>M229*((TSIR!D216/TSIR!D215))</f>
        <v>16.58823529411762</v>
      </c>
      <c r="N230" s="203">
        <f>N229*((TSIR!E216/TSIR!E215))</f>
        <v>12.926055075125912</v>
      </c>
      <c r="O230" s="203">
        <f>O229*((TSIR!F216/TSIR!F215))</f>
        <v>11.537894736842102</v>
      </c>
      <c r="P230" s="243">
        <f t="shared" si="22"/>
        <v>94.055680963130158</v>
      </c>
      <c r="Q230" s="204">
        <f t="shared" si="24"/>
        <v>105.11590150675563</v>
      </c>
      <c r="R230" s="202">
        <f t="shared" si="25"/>
        <v>91.614771719267679</v>
      </c>
      <c r="S230" s="200">
        <f t="shared" si="21"/>
        <v>396896596.54319763</v>
      </c>
      <c r="T230" s="70">
        <f t="shared" si="23"/>
        <v>-3.8490167622691196E-3</v>
      </c>
    </row>
    <row r="231" spans="10:20">
      <c r="J231" s="295" t="s">
        <v>261</v>
      </c>
      <c r="K231" s="85">
        <f>K230*((TSIR!B217/TSIR!B216))</f>
        <v>5.5300000000000056</v>
      </c>
      <c r="L231" s="203">
        <f>L230*((TSIR!C217/TSIR!C216))</f>
        <v>11.795384615384629</v>
      </c>
      <c r="M231" s="203">
        <f>M230*((TSIR!D217/TSIR!D216))</f>
        <v>15.703529411764681</v>
      </c>
      <c r="N231" s="203">
        <f>N230*((TSIR!E217/TSIR!E216))</f>
        <v>12.313817405505274</v>
      </c>
      <c r="O231" s="203">
        <f>O230*((TSIR!F217/TSIR!F216))</f>
        <v>11.02736842105263</v>
      </c>
      <c r="P231" s="243">
        <f t="shared" si="22"/>
        <v>94.759783947692583</v>
      </c>
      <c r="Q231" s="204">
        <f t="shared" si="24"/>
        <v>105.27808944606299</v>
      </c>
      <c r="R231" s="202">
        <f t="shared" si="25"/>
        <v>91.708624006490837</v>
      </c>
      <c r="S231" s="200">
        <f t="shared" si="21"/>
        <v>398436929.75225401</v>
      </c>
      <c r="T231" s="70">
        <f t="shared" si="23"/>
        <v>3.8809433552013939E-3</v>
      </c>
    </row>
    <row r="232" spans="10:20">
      <c r="J232" s="295" t="s">
        <v>262</v>
      </c>
      <c r="K232" s="85">
        <f>K231*((TSIR!B218/TSIR!B217))</f>
        <v>6.7150000000000061</v>
      </c>
      <c r="L232" s="203">
        <f>L231*((TSIR!C218/TSIR!C217))</f>
        <v>14.67230769230771</v>
      </c>
      <c r="M232" s="203">
        <f>M231*((TSIR!D218/TSIR!D217))</f>
        <v>18.357647058823499</v>
      </c>
      <c r="N232" s="203">
        <f>N231*((TSIR!E218/TSIR!E217))</f>
        <v>14.168230922145673</v>
      </c>
      <c r="O232" s="203">
        <f>O231*((TSIR!F218/TSIR!F217))</f>
        <v>12.55894736842105</v>
      </c>
      <c r="P232" s="243">
        <f t="shared" si="22"/>
        <v>93.707538771494157</v>
      </c>
      <c r="Q232" s="204">
        <f t="shared" si="24"/>
        <v>104.80323177204329</v>
      </c>
      <c r="R232" s="202">
        <f t="shared" si="25"/>
        <v>91.432744723208202</v>
      </c>
      <c r="S232" s="200">
        <f t="shared" si="21"/>
        <v>395941208.77775621</v>
      </c>
      <c r="T232" s="70">
        <f t="shared" si="23"/>
        <v>-6.2637792537193482E-3</v>
      </c>
    </row>
    <row r="233" spans="10:20">
      <c r="J233" s="295" t="s">
        <v>263</v>
      </c>
      <c r="K233" s="85">
        <f>K232*((TSIR!B219/TSIR!B218))</f>
        <v>6.7150000000000061</v>
      </c>
      <c r="L233" s="203">
        <f>L232*((TSIR!C219/TSIR!C218))</f>
        <v>15.247692307692327</v>
      </c>
      <c r="M233" s="203">
        <f>M232*((TSIR!D219/TSIR!D218))</f>
        <v>18.799999999999969</v>
      </c>
      <c r="N233" s="203">
        <f>N232*((TSIR!E219/TSIR!E218))</f>
        <v>14.370512036831817</v>
      </c>
      <c r="O233" s="203">
        <f>O232*((TSIR!F219/TSIR!F218))</f>
        <v>12.661052631578944</v>
      </c>
      <c r="P233" s="243">
        <f t="shared" si="22"/>
        <v>93.707538771494157</v>
      </c>
      <c r="Q233" s="204">
        <f t="shared" si="24"/>
        <v>104.727409916613</v>
      </c>
      <c r="R233" s="202">
        <f t="shared" si="25"/>
        <v>91.414946663385052</v>
      </c>
      <c r="S233" s="200">
        <f t="shared" si="21"/>
        <v>395983749.32160902</v>
      </c>
      <c r="T233" s="70">
        <f t="shared" si="23"/>
        <v>1.0744156685316142E-4</v>
      </c>
    </row>
    <row r="234" spans="10:20">
      <c r="J234" s="295" t="s">
        <v>264</v>
      </c>
      <c r="K234" s="85">
        <f>K233*((TSIR!B220/TSIR!B219))</f>
        <v>7.1100000000000048</v>
      </c>
      <c r="L234" s="203">
        <f>L233*((TSIR!C220/TSIR!C219))</f>
        <v>15.247692307692327</v>
      </c>
      <c r="M234" s="203">
        <f>M233*((TSIR!D220/TSIR!D219))</f>
        <v>19.242352941176438</v>
      </c>
      <c r="N234" s="203">
        <f>N233*((TSIR!E220/TSIR!E219))</f>
        <v>14.650988221537453</v>
      </c>
      <c r="O234" s="203">
        <f>O233*((TSIR!F220/TSIR!F219))</f>
        <v>12.865263157894733</v>
      </c>
      <c r="P234" s="243">
        <f t="shared" si="22"/>
        <v>93.361964335729624</v>
      </c>
      <c r="Q234" s="204">
        <f t="shared" si="24"/>
        <v>104.65249564352739</v>
      </c>
      <c r="R234" s="202">
        <f t="shared" si="25"/>
        <v>91.379566213009682</v>
      </c>
      <c r="S234" s="200">
        <f t="shared" si="21"/>
        <v>395263450.05820692</v>
      </c>
      <c r="T234" s="70">
        <f t="shared" si="23"/>
        <v>-1.8190121807677428E-3</v>
      </c>
    </row>
    <row r="235" spans="10:20">
      <c r="J235" s="295" t="s">
        <v>265</v>
      </c>
      <c r="K235" s="85">
        <f>K234*((TSIR!B221/TSIR!B220))</f>
        <v>6.7150000000000052</v>
      </c>
      <c r="L235" s="203">
        <f>L234*((TSIR!C221/TSIR!C220))</f>
        <v>15.535384615384636</v>
      </c>
      <c r="M235" s="203">
        <f>M234*((TSIR!D221/TSIR!D220))</f>
        <v>19.242352941176438</v>
      </c>
      <c r="N235" s="203">
        <f>N234*((TSIR!E221/TSIR!E220))</f>
        <v>14.716218239129706</v>
      </c>
      <c r="O235" s="203">
        <f>O234*((TSIR!F221/TSIR!F220))</f>
        <v>12.967368421052626</v>
      </c>
      <c r="P235" s="243">
        <f t="shared" si="22"/>
        <v>93.707538771494157</v>
      </c>
      <c r="Q235" s="204">
        <f t="shared" si="24"/>
        <v>104.65249564352739</v>
      </c>
      <c r="R235" s="202">
        <f t="shared" si="25"/>
        <v>91.361983063882093</v>
      </c>
      <c r="S235" s="200">
        <f t="shared" si="21"/>
        <v>395884266.33322561</v>
      </c>
      <c r="T235" s="70">
        <f t="shared" si="23"/>
        <v>1.5706392152556869E-3</v>
      </c>
    </row>
    <row r="236" spans="10:20">
      <c r="J236" s="295" t="s">
        <v>266</v>
      </c>
      <c r="K236" s="85">
        <f>K235*((TSIR!B222/TSIR!B221))</f>
        <v>7.1100000000000039</v>
      </c>
      <c r="L236" s="203">
        <f>L235*((TSIR!C222/TSIR!C221))</f>
        <v>14.960000000000019</v>
      </c>
      <c r="M236" s="203">
        <f>M235*((TSIR!D222/TSIR!D221))</f>
        <v>18.799999999999969</v>
      </c>
      <c r="N236" s="203">
        <f>N235*((TSIR!E222/TSIR!E221))</f>
        <v>14.374710215706767</v>
      </c>
      <c r="O236" s="203">
        <f>O235*((TSIR!F222/TSIR!F221))</f>
        <v>12.661052631578942</v>
      </c>
      <c r="P236" s="243">
        <f t="shared" si="22"/>
        <v>93.361964335729624</v>
      </c>
      <c r="Q236" s="204">
        <f t="shared" si="24"/>
        <v>104.727409916613</v>
      </c>
      <c r="R236" s="202">
        <f t="shared" si="25"/>
        <v>91.414946663385052</v>
      </c>
      <c r="S236" s="200">
        <f t="shared" si="21"/>
        <v>395292600.45007992</v>
      </c>
      <c r="T236" s="70">
        <f t="shared" si="23"/>
        <v>-1.4945425556459613E-3</v>
      </c>
    </row>
    <row r="237" spans="10:20">
      <c r="J237" s="295" t="s">
        <v>267</v>
      </c>
      <c r="K237" s="85">
        <f>K236*((TSIR!B223/TSIR!B222))</f>
        <v>7.1100000000000039</v>
      </c>
      <c r="L237" s="203">
        <f>L236*((TSIR!C223/TSIR!C222))</f>
        <v>14.960000000000019</v>
      </c>
      <c r="M237" s="203">
        <f>M236*((TSIR!D223/TSIR!D222))</f>
        <v>18.578823529411736</v>
      </c>
      <c r="N237" s="203">
        <f>N236*((TSIR!E223/TSIR!E222))</f>
        <v>14.170211789815639</v>
      </c>
      <c r="O237" s="203">
        <f>O236*((TSIR!F223/TSIR!F222))</f>
        <v>12.456842105263153</v>
      </c>
      <c r="P237" s="243">
        <f t="shared" si="22"/>
        <v>93.361964335729624</v>
      </c>
      <c r="Q237" s="204">
        <f t="shared" si="24"/>
        <v>104.76520646097642</v>
      </c>
      <c r="R237" s="202">
        <f t="shared" si="25"/>
        <v>91.450615182574211</v>
      </c>
      <c r="S237" s="200">
        <f t="shared" si="21"/>
        <v>395378579.7102915</v>
      </c>
      <c r="T237" s="70">
        <f t="shared" si="23"/>
        <v>2.1750789191021802E-4</v>
      </c>
    </row>
    <row r="238" spans="10:20">
      <c r="J238" s="295" t="s">
        <v>268</v>
      </c>
      <c r="K238" s="85">
        <f>K237*((TSIR!B224/TSIR!B223))</f>
        <v>7.1100000000000039</v>
      </c>
      <c r="L238" s="203">
        <f>L237*((TSIR!C224/TSIR!C223))</f>
        <v>14.960000000000019</v>
      </c>
      <c r="M238" s="203">
        <f>M237*((TSIR!D224/TSIR!D223))</f>
        <v>19.021176470588205</v>
      </c>
      <c r="N238" s="203">
        <f>N237*((TSIR!E224/TSIR!E223))</f>
        <v>14.307361218778995</v>
      </c>
      <c r="O238" s="203">
        <f>O237*((TSIR!F224/TSIR!F223))</f>
        <v>12.456842105263153</v>
      </c>
      <c r="P238" s="243">
        <f t="shared" si="22"/>
        <v>93.361964335729624</v>
      </c>
      <c r="Q238" s="204">
        <f t="shared" si="24"/>
        <v>104.68984026303092</v>
      </c>
      <c r="R238" s="202">
        <f t="shared" si="25"/>
        <v>91.450615182574211</v>
      </c>
      <c r="S238" s="200">
        <f t="shared" si="21"/>
        <v>395491629.00720978</v>
      </c>
      <c r="T238" s="70">
        <f t="shared" si="23"/>
        <v>2.8592671105531764E-4</v>
      </c>
    </row>
    <row r="239" spans="10:20">
      <c r="J239" s="295" t="s">
        <v>269</v>
      </c>
      <c r="K239" s="85">
        <f>K238*((TSIR!B225/TSIR!B224))</f>
        <v>7.9000000000000048</v>
      </c>
      <c r="L239" s="203">
        <f>L238*((TSIR!C225/TSIR!C224))</f>
        <v>18.124615384615407</v>
      </c>
      <c r="M239" s="203">
        <f>M238*((TSIR!D225/TSIR!D224))</f>
        <v>21.011764705882321</v>
      </c>
      <c r="N239" s="203">
        <f>N238*((TSIR!E225/TSIR!E224))</f>
        <v>15.681219001588394</v>
      </c>
      <c r="O239" s="203">
        <f>O238*((TSIR!F225/TSIR!F224))</f>
        <v>13.579999999999995</v>
      </c>
      <c r="P239" s="243">
        <f t="shared" si="22"/>
        <v>92.678405931417984</v>
      </c>
      <c r="Q239" s="204">
        <f t="shared" si="24"/>
        <v>104.36162326946007</v>
      </c>
      <c r="R239" s="202">
        <f t="shared" si="25"/>
        <v>91.25795971711554</v>
      </c>
      <c r="S239" s="200">
        <f t="shared" si="21"/>
        <v>393846215.82710803</v>
      </c>
      <c r="T239" s="70">
        <f t="shared" si="23"/>
        <v>-4.1604247964291963E-3</v>
      </c>
    </row>
    <row r="240" spans="10:20">
      <c r="J240" s="295" t="s">
        <v>270</v>
      </c>
      <c r="K240" s="85">
        <f>K239*((TSIR!B226/TSIR!B225))</f>
        <v>8.2950000000000035</v>
      </c>
      <c r="L240" s="203">
        <f>L239*((TSIR!C226/TSIR!C225))</f>
        <v>17.261538461538482</v>
      </c>
      <c r="M240" s="203">
        <f>M239*((TSIR!D226/TSIR!D225))</f>
        <v>21.011764705882321</v>
      </c>
      <c r="N240" s="203">
        <f>N239*((TSIR!E226/TSIR!E225))</f>
        <v>15.67682748589683</v>
      </c>
      <c r="O240" s="203">
        <f>O239*((TSIR!F226/TSIR!F225))</f>
        <v>13.579999999999995</v>
      </c>
      <c r="P240" s="243">
        <f t="shared" si="22"/>
        <v>92.340366591255361</v>
      </c>
      <c r="Q240" s="204">
        <f t="shared" si="24"/>
        <v>104.36162326946007</v>
      </c>
      <c r="R240" s="202">
        <f t="shared" si="25"/>
        <v>91.25795971711554</v>
      </c>
      <c r="S240" s="200">
        <f t="shared" si="21"/>
        <v>393170137.14678276</v>
      </c>
      <c r="T240" s="70">
        <f t="shared" si="23"/>
        <v>-1.7166057541151414E-3</v>
      </c>
    </row>
    <row r="241" spans="10:20">
      <c r="J241" s="295" t="s">
        <v>271</v>
      </c>
      <c r="K241" s="85">
        <f>K240*((TSIR!B227/TSIR!B226))</f>
        <v>9.480000000000004</v>
      </c>
      <c r="L241" s="203">
        <f>L240*((TSIR!C227/TSIR!C226))</f>
        <v>18.412307692307714</v>
      </c>
      <c r="M241" s="203">
        <f>M240*((TSIR!D227/TSIR!D226))</f>
        <v>21.454117647058791</v>
      </c>
      <c r="N241" s="203">
        <f>N240*((TSIR!E227/TSIR!E226))</f>
        <v>15.888355444118201</v>
      </c>
      <c r="O241" s="203">
        <f>O240*((TSIR!F227/TSIR!F226))</f>
        <v>13.68210526315789</v>
      </c>
      <c r="P241" s="243">
        <f t="shared" si="22"/>
        <v>91.340884179758859</v>
      </c>
      <c r="Q241" s="204">
        <f t="shared" si="24"/>
        <v>104.2910311298014</v>
      </c>
      <c r="R241" s="202">
        <f t="shared" si="25"/>
        <v>91.240864988478236</v>
      </c>
      <c r="S241" s="200">
        <f t="shared" si="21"/>
        <v>391208681.61872864</v>
      </c>
      <c r="T241" s="70">
        <f t="shared" si="23"/>
        <v>-4.9888212321727021E-3</v>
      </c>
    </row>
    <row r="242" spans="10:20">
      <c r="J242" s="295" t="s">
        <v>272</v>
      </c>
      <c r="K242" s="85">
        <f>K241*((TSIR!B228/TSIR!B227))</f>
        <v>7.9000000000000039</v>
      </c>
      <c r="L242" s="203">
        <f>L241*((TSIR!C228/TSIR!C227))</f>
        <v>14.384615384615401</v>
      </c>
      <c r="M242" s="203">
        <f>M241*((TSIR!D228/TSIR!D227))</f>
        <v>17.915294117647033</v>
      </c>
      <c r="N242" s="203">
        <f>N241*((TSIR!E228/TSIR!E227))</f>
        <v>13.545928866966669</v>
      </c>
      <c r="O242" s="203">
        <f>O241*((TSIR!F228/TSIR!F227))</f>
        <v>11.844210526315782</v>
      </c>
      <c r="P242" s="243">
        <f t="shared" si="22"/>
        <v>92.678405931417984</v>
      </c>
      <c r="Q242" s="204">
        <f t="shared" si="24"/>
        <v>104.87997629550475</v>
      </c>
      <c r="R242" s="202">
        <f t="shared" si="25"/>
        <v>91.559380087643845</v>
      </c>
      <c r="S242" s="200">
        <f t="shared" si="21"/>
        <v>394274367.77015424</v>
      </c>
      <c r="T242" s="70">
        <f t="shared" si="23"/>
        <v>7.8364471328717933E-3</v>
      </c>
    </row>
    <row r="243" spans="10:20">
      <c r="J243" s="295" t="s">
        <v>273</v>
      </c>
      <c r="K243" s="85">
        <f>K242*((TSIR!B229/TSIR!B228))</f>
        <v>8.2950000000000035</v>
      </c>
      <c r="L243" s="203">
        <f>L242*((TSIR!C229/TSIR!C228))</f>
        <v>14.67230769230771</v>
      </c>
      <c r="M243" s="203">
        <f>M242*((TSIR!D229/TSIR!D228))</f>
        <v>18.357647058823499</v>
      </c>
      <c r="N243" s="203">
        <f>N242*((TSIR!E229/TSIR!E228))</f>
        <v>13.821612481715425</v>
      </c>
      <c r="O243" s="203">
        <f>O242*((TSIR!F229/TSIR!F228))</f>
        <v>12.048421052631571</v>
      </c>
      <c r="P243" s="243">
        <f t="shared" si="22"/>
        <v>92.340366591255361</v>
      </c>
      <c r="Q243" s="204">
        <f t="shared" si="24"/>
        <v>104.80323177204329</v>
      </c>
      <c r="R243" s="202">
        <f t="shared" si="25"/>
        <v>91.52282876123266</v>
      </c>
      <c r="S243" s="200">
        <f t="shared" si="21"/>
        <v>393567200.56937647</v>
      </c>
      <c r="T243" s="70">
        <f t="shared" si="23"/>
        <v>-1.793591616866208E-3</v>
      </c>
    </row>
    <row r="244" spans="10:20">
      <c r="J244" s="295" t="s">
        <v>274</v>
      </c>
      <c r="K244" s="85">
        <f>K243*((TSIR!B230/TSIR!B229))</f>
        <v>9.480000000000004</v>
      </c>
      <c r="L244" s="203">
        <f>L243*((TSIR!C230/TSIR!C229))</f>
        <v>14.960000000000017</v>
      </c>
      <c r="M244" s="203">
        <f>M243*((TSIR!D230/TSIR!D229))</f>
        <v>17.915294117647033</v>
      </c>
      <c r="N244" s="203">
        <f>N243*((TSIR!E230/TSIR!E229))</f>
        <v>13.409723379102731</v>
      </c>
      <c r="O244" s="203">
        <f>O243*((TSIR!F230/TSIR!F229))</f>
        <v>11.639999999999992</v>
      </c>
      <c r="P244" s="243">
        <f t="shared" si="22"/>
        <v>91.340884179758859</v>
      </c>
      <c r="Q244" s="204">
        <f t="shared" si="24"/>
        <v>104.87997629550475</v>
      </c>
      <c r="R244" s="202">
        <f t="shared" si="25"/>
        <v>91.596232017962365</v>
      </c>
      <c r="S244" s="200">
        <f t="shared" si="21"/>
        <v>391746731.98811007</v>
      </c>
      <c r="T244" s="70">
        <f t="shared" si="23"/>
        <v>-4.6255596976392255E-3</v>
      </c>
    </row>
    <row r="245" spans="10:20">
      <c r="J245" s="295" t="s">
        <v>275</v>
      </c>
      <c r="K245" s="85">
        <f>K244*((TSIR!B231/TSIR!B230))</f>
        <v>9.8750000000000053</v>
      </c>
      <c r="L245" s="203">
        <f>L244*((TSIR!C231/TSIR!C230))</f>
        <v>16.11076923076925</v>
      </c>
      <c r="M245" s="203">
        <f>M244*((TSIR!D231/TSIR!D230))</f>
        <v>18.799999999999972</v>
      </c>
      <c r="N245" s="203">
        <f>N244*((TSIR!E231/TSIR!E230))</f>
        <v>13.753202173307802</v>
      </c>
      <c r="O245" s="203">
        <f>O244*((TSIR!F231/TSIR!F230))</f>
        <v>11.742105263157887</v>
      </c>
      <c r="P245" s="243">
        <f t="shared" si="22"/>
        <v>91.012514220705341</v>
      </c>
      <c r="Q245" s="204">
        <f t="shared" si="24"/>
        <v>104.727409916613</v>
      </c>
      <c r="R245" s="202">
        <f t="shared" si="25"/>
        <v>91.577768276032415</v>
      </c>
      <c r="S245" s="200">
        <f t="shared" si="21"/>
        <v>391244986.67062086</v>
      </c>
      <c r="T245" s="70">
        <f t="shared" si="23"/>
        <v>-1.2807900526518035E-3</v>
      </c>
    </row>
    <row r="246" spans="10:20">
      <c r="J246" s="295" t="s">
        <v>276</v>
      </c>
      <c r="K246" s="85">
        <f>K245*((TSIR!B232/TSIR!B231))</f>
        <v>10.665000000000006</v>
      </c>
      <c r="L246" s="203">
        <f>L245*((TSIR!C232/TSIR!C231))</f>
        <v>18.124615384615407</v>
      </c>
      <c r="M246" s="203">
        <f>M245*((TSIR!D232/TSIR!D231))</f>
        <v>19.905882352941148</v>
      </c>
      <c r="N246" s="203">
        <f>N245*((TSIR!E232/TSIR!E231))</f>
        <v>14.511151892868767</v>
      </c>
      <c r="O246" s="203">
        <f>O245*((TSIR!F232/TSIR!F231))</f>
        <v>12.354736842105257</v>
      </c>
      <c r="P246" s="243">
        <f t="shared" si="22"/>
        <v>90.362806668775121</v>
      </c>
      <c r="Q246" s="204">
        <f t="shared" si="24"/>
        <v>104.54179370584325</v>
      </c>
      <c r="R246" s="202">
        <f t="shared" si="25"/>
        <v>91.468558426901666</v>
      </c>
      <c r="S246" s="200">
        <f t="shared" si="21"/>
        <v>389787156.48639202</v>
      </c>
      <c r="T246" s="70">
        <f t="shared" si="23"/>
        <v>-3.726131283200651E-3</v>
      </c>
    </row>
    <row r="247" spans="10:20">
      <c r="J247" s="295" t="s">
        <v>277</v>
      </c>
      <c r="K247" s="85">
        <f>K246*((TSIR!B233/TSIR!B232))</f>
        <v>10.270000000000005</v>
      </c>
      <c r="L247" s="203">
        <f>L246*((TSIR!C233/TSIR!C232))</f>
        <v>17.261538461538482</v>
      </c>
      <c r="M247" s="203">
        <f>M246*((TSIR!D233/TSIR!D232))</f>
        <v>19.021176470588209</v>
      </c>
      <c r="N247" s="203">
        <f>N246*((TSIR!E233/TSIR!E232))</f>
        <v>13.683719776902592</v>
      </c>
      <c r="O247" s="203">
        <f>O246*((TSIR!F233/TSIR!F232))</f>
        <v>11.537894736842098</v>
      </c>
      <c r="P247" s="243">
        <f t="shared" si="22"/>
        <v>90.686496780629369</v>
      </c>
      <c r="Q247" s="204">
        <f t="shared" si="24"/>
        <v>104.68984026303092</v>
      </c>
      <c r="R247" s="202">
        <f t="shared" si="25"/>
        <v>91.614771719267679</v>
      </c>
      <c r="S247" s="200">
        <f t="shared" si="21"/>
        <v>390797320.04378307</v>
      </c>
      <c r="T247" s="70">
        <f t="shared" si="23"/>
        <v>2.5915773277314091E-3</v>
      </c>
    </row>
    <row r="248" spans="10:20">
      <c r="J248" s="295" t="s">
        <v>278</v>
      </c>
      <c r="K248" s="85">
        <f>K247*((TSIR!B234/TSIR!B233))</f>
        <v>11.060000000000008</v>
      </c>
      <c r="L248" s="203">
        <f>L247*((TSIR!C234/TSIR!C233))</f>
        <v>18.700000000000024</v>
      </c>
      <c r="M248" s="203">
        <f>M247*((TSIR!D234/TSIR!D233))</f>
        <v>20.127058823529385</v>
      </c>
      <c r="N248" s="203">
        <f>N247*((TSIR!E234/TSIR!E233))</f>
        <v>14.580642976089566</v>
      </c>
      <c r="O248" s="203">
        <f>O247*((TSIR!F234/TSIR!F233))</f>
        <v>12.354736842105257</v>
      </c>
      <c r="P248" s="243">
        <f t="shared" si="22"/>
        <v>90.041419052764269</v>
      </c>
      <c r="Q248" s="204">
        <f t="shared" si="24"/>
        <v>104.5053310318651</v>
      </c>
      <c r="R248" s="202">
        <f t="shared" si="25"/>
        <v>91.468558426901666</v>
      </c>
      <c r="S248" s="200">
        <f t="shared" si="21"/>
        <v>389199075.26533759</v>
      </c>
      <c r="T248" s="70">
        <f t="shared" si="23"/>
        <v>-4.0897025042710977E-3</v>
      </c>
    </row>
    <row r="249" spans="10:20">
      <c r="J249" s="295" t="s">
        <v>279</v>
      </c>
      <c r="K249" s="85">
        <f>K248*((TSIR!B235/TSIR!B234))</f>
        <v>12.245000000000006</v>
      </c>
      <c r="L249" s="203">
        <f>L248*((TSIR!C235/TSIR!C234))</f>
        <v>20.138461538461563</v>
      </c>
      <c r="M249" s="203">
        <f>M248*((TSIR!D235/TSIR!D234))</f>
        <v>21.896470588235264</v>
      </c>
      <c r="N249" s="203">
        <f>N248*((TSIR!E235/TSIR!E234))</f>
        <v>15.471800030902495</v>
      </c>
      <c r="O249" s="203">
        <f>O248*((TSIR!F235/TSIR!F234))</f>
        <v>12.865263157894733</v>
      </c>
      <c r="P249" s="243">
        <f t="shared" si="22"/>
        <v>89.090828099247176</v>
      </c>
      <c r="Q249" s="204">
        <f t="shared" si="24"/>
        <v>104.22126226269766</v>
      </c>
      <c r="R249" s="202">
        <f t="shared" si="25"/>
        <v>91.379566213009682</v>
      </c>
      <c r="S249" s="200">
        <f t="shared" si="21"/>
        <v>387368027.65648663</v>
      </c>
      <c r="T249" s="70">
        <f t="shared" si="23"/>
        <v>-4.7046555997150019E-3</v>
      </c>
    </row>
    <row r="250" spans="10:20">
      <c r="J250" s="295" t="s">
        <v>280</v>
      </c>
      <c r="K250" s="85">
        <f>K249*((TSIR!B236/TSIR!B235))</f>
        <v>11.455000000000005</v>
      </c>
      <c r="L250" s="203">
        <f>L249*((TSIR!C236/TSIR!C235))</f>
        <v>19.563076923076949</v>
      </c>
      <c r="M250" s="203">
        <f>M249*((TSIR!D236/TSIR!D235))</f>
        <v>21.896470588235264</v>
      </c>
      <c r="N250" s="203">
        <f>N249*((TSIR!E236/TSIR!E235))</f>
        <v>15.541378998580656</v>
      </c>
      <c r="O250" s="203">
        <f>O249*((TSIR!F236/TSIR!F235))</f>
        <v>12.967368421052626</v>
      </c>
      <c r="P250" s="243">
        <f t="shared" si="22"/>
        <v>89.722309452245284</v>
      </c>
      <c r="Q250" s="204">
        <f t="shared" si="24"/>
        <v>104.22126226269766</v>
      </c>
      <c r="R250" s="202">
        <f t="shared" si="25"/>
        <v>91.361983063882093</v>
      </c>
      <c r="S250" s="200">
        <f t="shared" si="21"/>
        <v>388560657.7659725</v>
      </c>
      <c r="T250" s="70">
        <f t="shared" si="23"/>
        <v>3.0788036810913688E-3</v>
      </c>
    </row>
    <row r="251" spans="10:20">
      <c r="J251" s="295" t="s">
        <v>281</v>
      </c>
      <c r="K251" s="85">
        <f>K250*((TSIR!B237/TSIR!B236))</f>
        <v>11.060000000000008</v>
      </c>
      <c r="L251" s="203">
        <f>L250*((TSIR!C237/TSIR!C236))</f>
        <v>20.138461538461563</v>
      </c>
      <c r="M251" s="203">
        <f>M250*((TSIR!D237/TSIR!D236))</f>
        <v>21.896470588235264</v>
      </c>
      <c r="N251" s="203">
        <f>N250*((TSIR!E237/TSIR!E236))</f>
        <v>15.475360407118778</v>
      </c>
      <c r="O251" s="203">
        <f>O250*((TSIR!F237/TSIR!F236))</f>
        <v>12.865263157894731</v>
      </c>
      <c r="P251" s="243">
        <f t="shared" si="22"/>
        <v>90.041419052764269</v>
      </c>
      <c r="Q251" s="204">
        <f t="shared" si="24"/>
        <v>104.22126226269766</v>
      </c>
      <c r="R251" s="202">
        <f t="shared" si="25"/>
        <v>91.379566213009682</v>
      </c>
      <c r="S251" s="200">
        <f t="shared" si="21"/>
        <v>389269209.56352079</v>
      </c>
      <c r="T251" s="70">
        <f t="shared" si="23"/>
        <v>1.8235294371338195E-3</v>
      </c>
    </row>
    <row r="252" spans="10:20">
      <c r="J252" s="295" t="s">
        <v>282</v>
      </c>
      <c r="K252" s="85">
        <f>K251*((TSIR!B238/TSIR!B237))</f>
        <v>10.665000000000008</v>
      </c>
      <c r="L252" s="203">
        <f>L251*((TSIR!C238/TSIR!C237))</f>
        <v>19.275384615384642</v>
      </c>
      <c r="M252" s="203">
        <f>M251*((TSIR!D238/TSIR!D237))</f>
        <v>21.675294117647031</v>
      </c>
      <c r="N252" s="203">
        <f>N251*((TSIR!E238/TSIR!E237))</f>
        <v>15.334944888293744</v>
      </c>
      <c r="O252" s="203">
        <f>O251*((TSIR!F238/TSIR!F237))</f>
        <v>12.763157894736837</v>
      </c>
      <c r="P252" s="243">
        <f t="shared" si="22"/>
        <v>90.362806668775121</v>
      </c>
      <c r="Q252" s="204">
        <f t="shared" si="24"/>
        <v>104.25604461099157</v>
      </c>
      <c r="R252" s="202">
        <f t="shared" si="25"/>
        <v>91.397220620153178</v>
      </c>
      <c r="S252" s="200">
        <f t="shared" si="21"/>
        <v>389930428.90167558</v>
      </c>
      <c r="T252" s="70">
        <f t="shared" si="23"/>
        <v>1.6986171058743782E-3</v>
      </c>
    </row>
    <row r="253" spans="10:20">
      <c r="J253" s="295" t="s">
        <v>283</v>
      </c>
      <c r="K253" s="85">
        <f>K252*((TSIR!B239/TSIR!B238))</f>
        <v>10.665000000000008</v>
      </c>
      <c r="L253" s="203">
        <f>L252*((TSIR!C239/TSIR!C238))</f>
        <v>18.987692307692331</v>
      </c>
      <c r="M253" s="203">
        <f>M252*((TSIR!D239/TSIR!D238))</f>
        <v>21.011764705882324</v>
      </c>
      <c r="N253" s="203">
        <f>N252*((TSIR!E239/TSIR!E238))</f>
        <v>14.851411427846619</v>
      </c>
      <c r="O253" s="203">
        <f>O252*((TSIR!F239/TSIR!F238))</f>
        <v>12.354736842105257</v>
      </c>
      <c r="P253" s="243">
        <f t="shared" si="22"/>
        <v>90.362806668775121</v>
      </c>
      <c r="Q253" s="204">
        <f t="shared" si="24"/>
        <v>104.36162326946007</v>
      </c>
      <c r="R253" s="202">
        <f t="shared" si="25"/>
        <v>91.468558426901666</v>
      </c>
      <c r="S253" s="200">
        <f t="shared" si="21"/>
        <v>390057412.14096683</v>
      </c>
      <c r="T253" s="70">
        <f t="shared" si="23"/>
        <v>3.2565614242763274E-4</v>
      </c>
    </row>
    <row r="254" spans="10:20">
      <c r="J254" s="295" t="s">
        <v>284</v>
      </c>
      <c r="K254" s="85">
        <f>K253*((TSIR!B240/TSIR!B239))</f>
        <v>10.270000000000007</v>
      </c>
      <c r="L254" s="203">
        <f>L253*((TSIR!C240/TSIR!C239))</f>
        <v>19.275384615384638</v>
      </c>
      <c r="M254" s="203">
        <f>M253*((TSIR!D240/TSIR!D239))</f>
        <v>21.675294117647031</v>
      </c>
      <c r="N254" s="203">
        <f>N253*((TSIR!E240/TSIR!E239))</f>
        <v>15.196770227948234</v>
      </c>
      <c r="O254" s="203">
        <f>O253*((TSIR!F240/TSIR!F239))</f>
        <v>12.558947368421046</v>
      </c>
      <c r="P254" s="243">
        <f t="shared" si="22"/>
        <v>90.686496780629369</v>
      </c>
      <c r="Q254" s="204">
        <f t="shared" si="24"/>
        <v>104.25604461099157</v>
      </c>
      <c r="R254" s="202">
        <f t="shared" si="25"/>
        <v>91.432744723208202</v>
      </c>
      <c r="S254" s="200">
        <f t="shared" si="21"/>
        <v>390719905.53760421</v>
      </c>
      <c r="T254" s="70">
        <f t="shared" si="23"/>
        <v>1.6984509869997222E-3</v>
      </c>
    </row>
    <row r="255" spans="10:20">
      <c r="J255" s="295" t="s">
        <v>285</v>
      </c>
      <c r="K255" s="85">
        <f>K254*((TSIR!B241/TSIR!B240))</f>
        <v>11.455000000000005</v>
      </c>
      <c r="L255" s="203">
        <f>L254*((TSIR!C241/TSIR!C240))</f>
        <v>19.850769230769252</v>
      </c>
      <c r="M255" s="203">
        <f>M254*((TSIR!D241/TSIR!D240))</f>
        <v>22.117647058823501</v>
      </c>
      <c r="N255" s="203">
        <f>N254*((TSIR!E241/TSIR!E240))</f>
        <v>15.540392675368512</v>
      </c>
      <c r="O255" s="203">
        <f>O254*((TSIR!F241/TSIR!F240))</f>
        <v>12.865263157894731</v>
      </c>
      <c r="P255" s="243">
        <f t="shared" si="22"/>
        <v>89.722309452245284</v>
      </c>
      <c r="Q255" s="204">
        <f t="shared" si="24"/>
        <v>104.18668245786108</v>
      </c>
      <c r="R255" s="202">
        <f t="shared" si="25"/>
        <v>91.379566213009682</v>
      </c>
      <c r="S255" s="200">
        <f t="shared" si="21"/>
        <v>388682860.06973767</v>
      </c>
      <c r="T255" s="70">
        <f t="shared" si="23"/>
        <v>-5.2135697183477436E-3</v>
      </c>
    </row>
    <row r="256" spans="10:20">
      <c r="J256" s="295" t="s">
        <v>286</v>
      </c>
      <c r="K256" s="85">
        <f>K255*((TSIR!B242/TSIR!B241))</f>
        <v>10.270000000000007</v>
      </c>
      <c r="L256" s="203">
        <f>L255*((TSIR!C242/TSIR!C241))</f>
        <v>18.412307692307714</v>
      </c>
      <c r="M256" s="203">
        <f>M255*((TSIR!D242/TSIR!D241))</f>
        <v>20.348235294117622</v>
      </c>
      <c r="N256" s="203">
        <f>N255*((TSIR!E242/TSIR!E241))</f>
        <v>14.507791479366498</v>
      </c>
      <c r="O256" s="203">
        <f>O255*((TSIR!F242/TSIR!F241))</f>
        <v>12.150526315789467</v>
      </c>
      <c r="P256" s="243">
        <f t="shared" si="22"/>
        <v>90.686496780629369</v>
      </c>
      <c r="Q256" s="204">
        <f t="shared" si="24"/>
        <v>104.46908438863966</v>
      </c>
      <c r="R256" s="202">
        <f t="shared" si="25"/>
        <v>91.504664824561175</v>
      </c>
      <c r="S256" s="200">
        <f t="shared" si="21"/>
        <v>390688026.27654397</v>
      </c>
      <c r="T256" s="70">
        <f t="shared" si="23"/>
        <v>5.1588747866231355E-3</v>
      </c>
    </row>
    <row r="257" spans="10:20">
      <c r="J257" s="295" t="s">
        <v>287</v>
      </c>
      <c r="K257" s="85">
        <f>K256*((TSIR!B243/TSIR!B242))</f>
        <v>10.665000000000008</v>
      </c>
      <c r="L257" s="203">
        <f>L256*((TSIR!C243/TSIR!C242))</f>
        <v>18.987692307692331</v>
      </c>
      <c r="M257" s="203">
        <f>M256*((TSIR!D243/TSIR!D242))</f>
        <v>20.569411764705858</v>
      </c>
      <c r="N257" s="203">
        <f>N256*((TSIR!E243/TSIR!E242))</f>
        <v>14.511522889421146</v>
      </c>
      <c r="O257" s="203">
        <f>O256*((TSIR!F243/TSIR!F242))</f>
        <v>12.048421052631573</v>
      </c>
      <c r="P257" s="243">
        <f t="shared" si="22"/>
        <v>90.362806668775121</v>
      </c>
      <c r="Q257" s="204">
        <f t="shared" si="24"/>
        <v>104.43305202996434</v>
      </c>
      <c r="R257" s="202">
        <f t="shared" si="25"/>
        <v>91.52282876123266</v>
      </c>
      <c r="S257" s="200">
        <f t="shared" si="21"/>
        <v>390167350.33753437</v>
      </c>
      <c r="T257" s="70">
        <f t="shared" si="23"/>
        <v>-1.3327153738800224E-3</v>
      </c>
    </row>
    <row r="258" spans="10:20">
      <c r="J258" s="295" t="s">
        <v>288</v>
      </c>
      <c r="K258" s="85">
        <f>K257*((TSIR!B244/TSIR!B243))</f>
        <v>10.665000000000008</v>
      </c>
      <c r="L258" s="203">
        <f>L257*((TSIR!C244/TSIR!C243))</f>
        <v>18.700000000000024</v>
      </c>
      <c r="M258" s="203">
        <f>M257*((TSIR!D244/TSIR!D243))</f>
        <v>20.127058823529389</v>
      </c>
      <c r="N258" s="203">
        <f>N257*((TSIR!E244/TSIR!E243))</f>
        <v>14.306318580899189</v>
      </c>
      <c r="O258" s="203">
        <f>O257*((TSIR!F244/TSIR!F243))</f>
        <v>11.94631578947368</v>
      </c>
      <c r="P258" s="243">
        <f t="shared" si="22"/>
        <v>90.362806668775121</v>
      </c>
      <c r="Q258" s="204">
        <f t="shared" si="24"/>
        <v>104.5053310318651</v>
      </c>
      <c r="R258" s="202">
        <f t="shared" si="25"/>
        <v>91.541067049582125</v>
      </c>
      <c r="S258" s="200">
        <f t="shared" si="21"/>
        <v>390131884.9880811</v>
      </c>
      <c r="T258" s="70">
        <f t="shared" si="23"/>
        <v>-9.0897788916910471E-5</v>
      </c>
    </row>
    <row r="259" spans="10:20">
      <c r="J259" s="295" t="s">
        <v>289</v>
      </c>
      <c r="K259" s="85">
        <f>K258*((TSIR!B245/TSIR!B244))</f>
        <v>11.455000000000007</v>
      </c>
      <c r="L259" s="203">
        <f>L258*((TSIR!C245/TSIR!C244))</f>
        <v>20.138461538461563</v>
      </c>
      <c r="M259" s="203">
        <f>M258*((TSIR!D245/TSIR!D244))</f>
        <v>21.232941176470565</v>
      </c>
      <c r="N259" s="203">
        <f>N258*((TSIR!E245/TSIR!E244))</f>
        <v>15.128518349146304</v>
      </c>
      <c r="O259" s="203">
        <f>O258*((TSIR!F245/TSIR!F244))</f>
        <v>12.661052631578942</v>
      </c>
      <c r="P259" s="243">
        <f t="shared" si="22"/>
        <v>89.722309452245284</v>
      </c>
      <c r="Q259" s="204">
        <f t="shared" si="24"/>
        <v>104.32622346259748</v>
      </c>
      <c r="R259" s="202">
        <f t="shared" si="25"/>
        <v>91.414946663385052</v>
      </c>
      <c r="S259" s="200">
        <f t="shared" si="21"/>
        <v>388615070.36413455</v>
      </c>
      <c r="T259" s="70">
        <f t="shared" si="23"/>
        <v>-3.8879534903764057E-3</v>
      </c>
    </row>
    <row r="260" spans="10:20">
      <c r="J260" s="295" t="s">
        <v>290</v>
      </c>
      <c r="K260" s="85">
        <f>K259*((TSIR!B246/TSIR!B245))</f>
        <v>11.060000000000009</v>
      </c>
      <c r="L260" s="203">
        <f>L259*((TSIR!C246/TSIR!C245))</f>
        <v>19.563076923076949</v>
      </c>
      <c r="M260" s="203">
        <f>M259*((TSIR!D246/TSIR!D245))</f>
        <v>21.232941176470565</v>
      </c>
      <c r="N260" s="203">
        <f>N259*((TSIR!E246/TSIR!E245))</f>
        <v>15.059711091154753</v>
      </c>
      <c r="O260" s="203">
        <f>O259*((TSIR!F246/TSIR!F245))</f>
        <v>12.558947368421046</v>
      </c>
      <c r="P260" s="243">
        <f t="shared" si="22"/>
        <v>90.041419052764269</v>
      </c>
      <c r="Q260" s="204">
        <f t="shared" si="24"/>
        <v>104.32622346259748</v>
      </c>
      <c r="R260" s="202">
        <f t="shared" si="25"/>
        <v>91.432744723208202</v>
      </c>
      <c r="S260" s="200">
        <f t="shared" si="21"/>
        <v>389324481.80446512</v>
      </c>
      <c r="T260" s="70">
        <f t="shared" si="23"/>
        <v>1.8254861801056954E-3</v>
      </c>
    </row>
    <row r="261" spans="10:20">
      <c r="J261" s="295" t="s">
        <v>291</v>
      </c>
      <c r="K261" s="85">
        <f>K260*((TSIR!B247/TSIR!B246))</f>
        <v>12.245000000000008</v>
      </c>
      <c r="L261" s="203">
        <f>L260*((TSIR!C247/TSIR!C246))</f>
        <v>20.42615384615387</v>
      </c>
      <c r="M261" s="203">
        <f>M260*((TSIR!D247/TSIR!D246))</f>
        <v>21.454117647058801</v>
      </c>
      <c r="N261" s="203">
        <f>N260*((TSIR!E247/TSIR!E246))</f>
        <v>15.266538228228372</v>
      </c>
      <c r="O261" s="203">
        <f>O260*((TSIR!F247/TSIR!F246))</f>
        <v>12.763157894736837</v>
      </c>
      <c r="P261" s="243">
        <f t="shared" si="22"/>
        <v>89.090828099247176</v>
      </c>
      <c r="Q261" s="204">
        <f t="shared" si="24"/>
        <v>104.2910311298014</v>
      </c>
      <c r="R261" s="202">
        <f t="shared" si="25"/>
        <v>91.397220620153178</v>
      </c>
      <c r="S261" s="200">
        <f t="shared" si="21"/>
        <v>387333991.98440492</v>
      </c>
      <c r="T261" s="70">
        <f t="shared" si="23"/>
        <v>-5.1126757064815509E-3</v>
      </c>
    </row>
    <row r="262" spans="10:20">
      <c r="J262" s="295" t="s">
        <v>292</v>
      </c>
      <c r="K262" s="85">
        <f>K261*((TSIR!B248/TSIR!B247))</f>
        <v>13.035000000000011</v>
      </c>
      <c r="L262" s="203">
        <f>L261*((TSIR!C248/TSIR!C247))</f>
        <v>21.864615384615412</v>
      </c>
      <c r="M262" s="203">
        <f>M261*((TSIR!D248/TSIR!D247))</f>
        <v>21.675294117647034</v>
      </c>
      <c r="N262" s="203">
        <f>N261*((TSIR!E248/TSIR!E247))</f>
        <v>15.404333638116762</v>
      </c>
      <c r="O262" s="203">
        <f>O261*((TSIR!F248/TSIR!F247))</f>
        <v>12.865263157894733</v>
      </c>
      <c r="P262" s="243">
        <f t="shared" si="22"/>
        <v>88.468173574556545</v>
      </c>
      <c r="Q262" s="204">
        <f t="shared" si="24"/>
        <v>104.25604461099157</v>
      </c>
      <c r="R262" s="202">
        <f t="shared" si="25"/>
        <v>91.379566213009682</v>
      </c>
      <c r="S262" s="200">
        <f t="shared" si="21"/>
        <v>386070545.08466446</v>
      </c>
      <c r="T262" s="70">
        <f t="shared" si="23"/>
        <v>-3.2619055540865638E-3</v>
      </c>
    </row>
    <row r="263" spans="10:20">
      <c r="J263" s="295" t="s">
        <v>293</v>
      </c>
      <c r="K263" s="85">
        <f>K262*((TSIR!B249/TSIR!B248))</f>
        <v>15.405000000000014</v>
      </c>
      <c r="L263" s="203">
        <f>L262*((TSIR!C249/TSIR!C248))</f>
        <v>21.289230769230798</v>
      </c>
      <c r="M263" s="203">
        <f>M262*((TSIR!D249/TSIR!D248))</f>
        <v>21.896470588235267</v>
      </c>
      <c r="N263" s="203">
        <f>N262*((TSIR!E249/TSIR!E248))</f>
        <v>15.541810546924589</v>
      </c>
      <c r="O263" s="203">
        <f>O262*((TSIR!F249/TSIR!F248))</f>
        <v>12.967368421052626</v>
      </c>
      <c r="P263" s="243">
        <f t="shared" si="22"/>
        <v>86.651358260040709</v>
      </c>
      <c r="Q263" s="204">
        <f t="shared" si="24"/>
        <v>104.22126226269766</v>
      </c>
      <c r="R263" s="202">
        <f t="shared" si="25"/>
        <v>91.361983063882093</v>
      </c>
      <c r="S263" s="200">
        <f t="shared" si="21"/>
        <v>382418755.38156331</v>
      </c>
      <c r="T263" s="70">
        <f t="shared" si="23"/>
        <v>-9.4588663900798675E-3</v>
      </c>
    </row>
    <row r="264" spans="10:20">
      <c r="J264" s="295" t="s">
        <v>294</v>
      </c>
      <c r="K264" s="85">
        <f>K263*((TSIR!B250/TSIR!B249))</f>
        <v>15.010000000000012</v>
      </c>
      <c r="L264" s="203">
        <f>L263*((TSIR!C250/TSIR!C249))</f>
        <v>21.576923076923109</v>
      </c>
      <c r="M264" s="203">
        <f>M263*((TSIR!D250/TSIR!D249))</f>
        <v>21.896470588235267</v>
      </c>
      <c r="N264" s="203">
        <f>N263*((TSIR!E250/TSIR!E249))</f>
        <v>15.682113909989418</v>
      </c>
      <c r="O264" s="203">
        <f>O263*((TSIR!F250/TSIR!F249))</f>
        <v>13.171578947368415</v>
      </c>
      <c r="P264" s="243">
        <f t="shared" si="22"/>
        <v>86.948960959916519</v>
      </c>
      <c r="Q264" s="204">
        <f t="shared" si="24"/>
        <v>104.22126226269766</v>
      </c>
      <c r="R264" s="202">
        <f t="shared" si="25"/>
        <v>91.327029039428922</v>
      </c>
      <c r="S264" s="200">
        <f t="shared" si="21"/>
        <v>382874144.6835022</v>
      </c>
      <c r="T264" s="70">
        <f t="shared" si="23"/>
        <v>1.1908132002691474E-3</v>
      </c>
    </row>
    <row r="265" spans="10:20">
      <c r="J265" s="295" t="s">
        <v>295</v>
      </c>
      <c r="K265" s="85">
        <f>K264*((TSIR!B251/TSIR!B250))</f>
        <v>15.010000000000012</v>
      </c>
      <c r="L265" s="203">
        <f>L264*((TSIR!C251/TSIR!C250))</f>
        <v>21.001538461538491</v>
      </c>
      <c r="M265" s="203">
        <f>M264*((TSIR!D251/TSIR!D250))</f>
        <v>21.675294117647034</v>
      </c>
      <c r="N265" s="203">
        <f>N264*((TSIR!E251/TSIR!E250))</f>
        <v>15.47224073043461</v>
      </c>
      <c r="O265" s="203">
        <f>O264*((TSIR!F251/TSIR!F250))</f>
        <v>12.967368421052626</v>
      </c>
      <c r="P265" s="243">
        <f t="shared" si="22"/>
        <v>86.948960959916519</v>
      </c>
      <c r="Q265" s="204">
        <f t="shared" si="24"/>
        <v>104.25604461099157</v>
      </c>
      <c r="R265" s="202">
        <f t="shared" si="25"/>
        <v>91.361983063882093</v>
      </c>
      <c r="S265" s="200">
        <f t="shared" si="21"/>
        <v>382961787.25887406</v>
      </c>
      <c r="T265" s="70">
        <f t="shared" si="23"/>
        <v>2.2890700923228202E-4</v>
      </c>
    </row>
    <row r="266" spans="10:20">
      <c r="J266" s="295" t="s">
        <v>296</v>
      </c>
      <c r="K266" s="85">
        <f>K265*((TSIR!B252/TSIR!B251))</f>
        <v>15.405000000000014</v>
      </c>
      <c r="L266" s="203">
        <f>L265*((TSIR!C252/TSIR!C251))</f>
        <v>21.001538461538491</v>
      </c>
      <c r="M266" s="203">
        <f>M265*((TSIR!D252/TSIR!D251))</f>
        <v>21.454117647058798</v>
      </c>
      <c r="N266" s="203">
        <f>N265*((TSIR!E252/TSIR!E251))</f>
        <v>15.334691565317524</v>
      </c>
      <c r="O266" s="203">
        <f>O265*((TSIR!F252/TSIR!F251))</f>
        <v>12.865263157894731</v>
      </c>
      <c r="P266" s="243">
        <f t="shared" si="22"/>
        <v>86.651358260040709</v>
      </c>
      <c r="Q266" s="204">
        <f t="shared" si="24"/>
        <v>104.2910311298014</v>
      </c>
      <c r="R266" s="202">
        <f t="shared" si="25"/>
        <v>91.379566213009682</v>
      </c>
      <c r="S266" s="200">
        <f t="shared" si="21"/>
        <v>382384434.67741811</v>
      </c>
      <c r="T266" s="70">
        <f t="shared" si="23"/>
        <v>-1.5075984097224771E-3</v>
      </c>
    </row>
    <row r="267" spans="10:20">
      <c r="J267" s="296" t="s">
        <v>297</v>
      </c>
      <c r="K267" s="85">
        <f>K266*((TSIR!B253/TSIR!B252))</f>
        <v>15.800000000000017</v>
      </c>
      <c r="L267" s="203">
        <f>L266*((TSIR!C253/TSIR!C252))</f>
        <v>22.440000000000033</v>
      </c>
      <c r="M267" s="203">
        <f>M266*((TSIR!D253/TSIR!D252))</f>
        <v>23.002352941176444</v>
      </c>
      <c r="N267" s="203">
        <f>N266*((TSIR!E253/TSIR!E252))</f>
        <v>16.570830181806336</v>
      </c>
      <c r="O267" s="203">
        <f>O266*((TSIR!F253/TSIR!F252))</f>
        <v>13.988421052631574</v>
      </c>
      <c r="P267" s="243">
        <f t="shared" si="22"/>
        <v>86.355785837651112</v>
      </c>
      <c r="Q267" s="204">
        <f t="shared" si="24"/>
        <v>104.05035669545087</v>
      </c>
      <c r="R267" s="202">
        <f t="shared" si="25"/>
        <v>91.189989289651052</v>
      </c>
      <c r="S267" s="200">
        <f t="shared" si="21"/>
        <v>381395993.79073012</v>
      </c>
      <c r="T267" s="70">
        <f t="shared" si="23"/>
        <v>-2.584940172896566E-3</v>
      </c>
    </row>
  </sheetData>
  <mergeCells count="5">
    <mergeCell ref="C2:E2"/>
    <mergeCell ref="H2:I2"/>
    <mergeCell ref="H5:I5"/>
    <mergeCell ref="H10:I10"/>
    <mergeCell ref="L4:V4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CE20-99C4-DD44-AE2E-936F8E6749D9}">
  <dimension ref="B1:R268"/>
  <sheetViews>
    <sheetView zoomScale="85" workbookViewId="0">
      <selection activeCell="P30" sqref="P30"/>
    </sheetView>
  </sheetViews>
  <sheetFormatPr baseColWidth="10" defaultRowHeight="15"/>
  <cols>
    <col min="2" max="2" width="10.83203125" customWidth="1"/>
    <col min="3" max="3" width="22.1640625" customWidth="1"/>
    <col min="4" max="4" width="16" customWidth="1"/>
    <col min="5" max="5" width="16.33203125" customWidth="1"/>
    <col min="6" max="6" width="12" customWidth="1"/>
    <col min="9" max="9" width="19.33203125" customWidth="1"/>
    <col min="10" max="10" width="19.6640625" customWidth="1"/>
    <col min="14" max="14" width="11.5" customWidth="1"/>
    <col min="15" max="15" width="17.33203125" customWidth="1"/>
  </cols>
  <sheetData>
    <row r="1" spans="2:10" ht="16" thickBot="1"/>
    <row r="2" spans="2:10" ht="16" thickBot="1">
      <c r="B2" s="263" t="s">
        <v>346</v>
      </c>
      <c r="C2" s="264"/>
      <c r="D2" s="264"/>
      <c r="E2" s="265"/>
      <c r="I2" s="266">
        <v>1</v>
      </c>
      <c r="J2" s="267"/>
    </row>
    <row r="3" spans="2:10" ht="16" thickBot="1">
      <c r="I3" s="97" t="s">
        <v>309</v>
      </c>
      <c r="J3" s="98">
        <f>_xlfn.PERCENTILE.INC(F19:F268,0.01)</f>
        <v>-3.494379629481472E-2</v>
      </c>
    </row>
    <row r="4" spans="2:10" ht="16" thickBot="1">
      <c r="I4" s="206" t="s">
        <v>310</v>
      </c>
      <c r="J4" s="80">
        <f>ABS(J3)*E18</f>
        <v>15090500.991506424</v>
      </c>
    </row>
    <row r="5" spans="2:10" ht="16" thickBot="1">
      <c r="B5" s="268" t="s">
        <v>366</v>
      </c>
      <c r="C5" s="269"/>
      <c r="D5" s="269"/>
      <c r="E5" s="269"/>
      <c r="F5" s="270"/>
      <c r="I5" s="100" t="s">
        <v>311</v>
      </c>
      <c r="J5" s="98">
        <f>AVERAGEIF(F19:F268,"&lt;-0.0394")</f>
        <v>-5.874482039559864E-2</v>
      </c>
    </row>
    <row r="6" spans="2:10" ht="16" thickBot="1">
      <c r="B6" s="230" t="s">
        <v>357</v>
      </c>
      <c r="C6" s="231"/>
      <c r="D6" s="231"/>
      <c r="E6" s="231"/>
      <c r="F6" s="232"/>
      <c r="I6" s="207" t="s">
        <v>312</v>
      </c>
      <c r="J6" s="80">
        <f>ABS(J5*E18)</f>
        <v>25368988.616648767</v>
      </c>
    </row>
    <row r="7" spans="2:10" ht="16" thickBot="1">
      <c r="B7" s="233" t="s">
        <v>354</v>
      </c>
      <c r="C7" s="234"/>
      <c r="D7" s="234"/>
      <c r="E7" s="234"/>
      <c r="F7" s="235"/>
    </row>
    <row r="8" spans="2:10" ht="16" thickBot="1">
      <c r="B8" s="233" t="s">
        <v>355</v>
      </c>
      <c r="C8" s="234"/>
      <c r="D8" s="234"/>
      <c r="E8" s="234"/>
      <c r="F8" s="235"/>
      <c r="I8" s="266">
        <v>2</v>
      </c>
      <c r="J8" s="267"/>
    </row>
    <row r="9" spans="2:10" ht="16" thickBot="1">
      <c r="B9" s="236" t="s">
        <v>356</v>
      </c>
      <c r="C9" s="237"/>
      <c r="D9" s="237"/>
      <c r="E9" s="237"/>
      <c r="F9" s="238"/>
      <c r="I9" s="97" t="s">
        <v>309</v>
      </c>
      <c r="J9" s="98">
        <f>_xlfn.PERCENTILE.INC(K19:K268,0.01)</f>
        <v>-4.3851558355902653E-2</v>
      </c>
    </row>
    <row r="10" spans="2:10" ht="16" thickBot="1">
      <c r="I10" s="206" t="s">
        <v>310</v>
      </c>
      <c r="J10" s="229">
        <f>ABS(J9)*J18</f>
        <v>16835499.814529099</v>
      </c>
    </row>
    <row r="11" spans="2:10" ht="16" thickBot="1">
      <c r="I11" s="100" t="s">
        <v>311</v>
      </c>
      <c r="J11" s="98">
        <f>AVERAGEIF(K19:K268,"&lt;-0.04385")</f>
        <v>-5.9415977020836598E-2</v>
      </c>
    </row>
    <row r="12" spans="2:10" ht="16" thickBot="1">
      <c r="I12" s="261" t="s">
        <v>312</v>
      </c>
      <c r="J12" s="262">
        <f>ABS(J11)*J18</f>
        <v>22810994.81108211</v>
      </c>
    </row>
    <row r="17" spans="2:18">
      <c r="B17" s="25" t="s">
        <v>12</v>
      </c>
      <c r="C17" s="259" t="s">
        <v>347</v>
      </c>
      <c r="D17" s="259" t="s">
        <v>348</v>
      </c>
      <c r="E17" s="38" t="s">
        <v>349</v>
      </c>
      <c r="F17" s="38" t="s">
        <v>350</v>
      </c>
      <c r="G17" s="208"/>
      <c r="H17" s="38" t="s">
        <v>351</v>
      </c>
      <c r="I17" s="38" t="s">
        <v>352</v>
      </c>
      <c r="J17" s="38" t="s">
        <v>41</v>
      </c>
      <c r="K17" s="38" t="s">
        <v>353</v>
      </c>
      <c r="N17" s="29"/>
      <c r="O17" s="304" t="s">
        <v>364</v>
      </c>
    </row>
    <row r="18" spans="2:18">
      <c r="B18" s="211">
        <v>45772</v>
      </c>
      <c r="C18" s="260">
        <v>28226585.200994831</v>
      </c>
      <c r="D18" s="260">
        <v>403624060.45268559</v>
      </c>
      <c r="E18" s="215">
        <f>C18+D18</f>
        <v>431850645.65368044</v>
      </c>
      <c r="F18" s="216">
        <v>0</v>
      </c>
      <c r="G18" s="102"/>
      <c r="H18" s="223">
        <v>1.134752</v>
      </c>
      <c r="I18" s="224">
        <f>D18/H18</f>
        <v>355693632.13520277</v>
      </c>
      <c r="J18" s="224">
        <f>C18+I18</f>
        <v>383920217.33619761</v>
      </c>
      <c r="K18" s="122">
        <v>0</v>
      </c>
      <c r="O18" s="305">
        <f>SQRT(15090501^2 + (2276909 * 1.105)^2 + 2 * 0 * 15090501 * (2276909 * 1.105))</f>
        <v>15298803.814628219</v>
      </c>
    </row>
    <row r="19" spans="2:18">
      <c r="B19" s="212" t="s">
        <v>48</v>
      </c>
      <c r="C19" s="217">
        <v>23228208.185430337</v>
      </c>
      <c r="D19" s="217">
        <v>398177164.3304143</v>
      </c>
      <c r="E19" s="218">
        <f t="shared" ref="E19:E82" si="0">C19+D19</f>
        <v>421405372.51584464</v>
      </c>
      <c r="F19" s="219">
        <f>(E19/E18)-1</f>
        <v>-2.4187235200320401E-2</v>
      </c>
      <c r="G19" s="103"/>
      <c r="H19" s="225">
        <v>1.1293059999999999</v>
      </c>
      <c r="I19" s="214">
        <f t="shared" ref="I19:I82" si="1">D19/H19</f>
        <v>352585715.7673955</v>
      </c>
      <c r="J19" s="214">
        <f t="shared" ref="J19:J82" si="2">C19+I19</f>
        <v>375813923.95282584</v>
      </c>
      <c r="K19" s="123">
        <f>(J19/J18)-1</f>
        <v>-2.111452592837304E-2</v>
      </c>
    </row>
    <row r="20" spans="2:18" ht="16" thickBot="1">
      <c r="B20" s="212" t="s">
        <v>49</v>
      </c>
      <c r="C20" s="217">
        <v>28113756.741083503</v>
      </c>
      <c r="D20" s="217">
        <v>402420962.47039455</v>
      </c>
      <c r="E20" s="218">
        <f t="shared" si="0"/>
        <v>430534719.21147805</v>
      </c>
      <c r="F20" s="219">
        <f t="shared" ref="F20:F83" si="3">(E20/E19)-1</f>
        <v>2.1664049134281438E-2</v>
      </c>
      <c r="G20" s="103"/>
      <c r="H20" s="226">
        <v>1.130007</v>
      </c>
      <c r="I20" s="214">
        <f t="shared" si="1"/>
        <v>356122539.48019308</v>
      </c>
      <c r="J20" s="214">
        <f t="shared" si="2"/>
        <v>384236296.22127658</v>
      </c>
      <c r="K20" s="123">
        <f t="shared" ref="K20:K83" si="4">(J20/J19)-1</f>
        <v>2.2411017079579931E-2</v>
      </c>
    </row>
    <row r="21" spans="2:18" ht="16" thickBot="1">
      <c r="B21" s="212" t="s">
        <v>50</v>
      </c>
      <c r="C21" s="217">
        <v>26885452.205202006</v>
      </c>
      <c r="D21" s="217">
        <v>403022916.32323074</v>
      </c>
      <c r="E21" s="218">
        <f t="shared" si="0"/>
        <v>429908368.52843273</v>
      </c>
      <c r="F21" s="219">
        <f t="shared" si="3"/>
        <v>-1.4548203782321911E-3</v>
      </c>
      <c r="G21" s="103"/>
      <c r="H21" s="225">
        <v>1.1328240000000001</v>
      </c>
      <c r="I21" s="214">
        <f t="shared" si="1"/>
        <v>355768342.05775189</v>
      </c>
      <c r="J21" s="214">
        <f t="shared" si="2"/>
        <v>382653794.26295388</v>
      </c>
      <c r="K21" s="123">
        <f t="shared" si="4"/>
        <v>-4.118564471617181E-3</v>
      </c>
      <c r="M21" s="306" t="s">
        <v>369</v>
      </c>
      <c r="N21" s="307"/>
      <c r="O21" s="307"/>
      <c r="P21" s="307"/>
      <c r="Q21" s="307"/>
      <c r="R21" s="308"/>
    </row>
    <row r="22" spans="2:18">
      <c r="B22" s="212" t="s">
        <v>51</v>
      </c>
      <c r="C22" s="217">
        <v>26396977.250187475</v>
      </c>
      <c r="D22" s="217">
        <v>402756555.93274534</v>
      </c>
      <c r="E22" s="218">
        <f t="shared" si="0"/>
        <v>429153533.18293279</v>
      </c>
      <c r="F22" s="219">
        <f t="shared" si="3"/>
        <v>-1.7558051918917794E-3</v>
      </c>
      <c r="G22" s="103"/>
      <c r="H22" s="226">
        <v>1.1361699999999999</v>
      </c>
      <c r="I22" s="214">
        <f t="shared" si="1"/>
        <v>354486173.66480839</v>
      </c>
      <c r="J22" s="214">
        <f t="shared" si="2"/>
        <v>380883150.91499585</v>
      </c>
      <c r="K22" s="123">
        <f t="shared" si="4"/>
        <v>-4.6272724183188396E-3</v>
      </c>
      <c r="M22" s="309" t="s">
        <v>368</v>
      </c>
      <c r="N22" s="310"/>
      <c r="O22" s="310"/>
      <c r="P22" s="310"/>
      <c r="Q22" s="310"/>
      <c r="R22" s="311"/>
    </row>
    <row r="23" spans="2:18">
      <c r="B23" s="212" t="s">
        <v>52</v>
      </c>
      <c r="C23" s="217">
        <v>29447767.880260136</v>
      </c>
      <c r="D23" s="217">
        <v>402112930.93145913</v>
      </c>
      <c r="E23" s="218">
        <f t="shared" si="0"/>
        <v>431560698.81171924</v>
      </c>
      <c r="F23" s="219">
        <f t="shared" si="3"/>
        <v>5.609101271829342E-3</v>
      </c>
      <c r="G23" s="103"/>
      <c r="H23" s="225">
        <v>1.1345590000000001</v>
      </c>
      <c r="I23" s="214">
        <f t="shared" si="1"/>
        <v>354422230.07482123</v>
      </c>
      <c r="J23" s="214">
        <f t="shared" si="2"/>
        <v>383869997.95508134</v>
      </c>
      <c r="K23" s="123">
        <f t="shared" si="4"/>
        <v>7.8418985794204144E-3</v>
      </c>
      <c r="M23" s="312"/>
      <c r="N23" s="313"/>
      <c r="O23" s="313"/>
      <c r="P23" s="313"/>
      <c r="Q23" s="313"/>
      <c r="R23" s="314"/>
    </row>
    <row r="24" spans="2:18" ht="16" thickBot="1">
      <c r="B24" s="212" t="s">
        <v>53</v>
      </c>
      <c r="C24" s="217">
        <v>25762012.088966675</v>
      </c>
      <c r="D24" s="217">
        <v>401500873.2243576</v>
      </c>
      <c r="E24" s="218">
        <f t="shared" si="0"/>
        <v>427262885.31332427</v>
      </c>
      <c r="F24" s="219">
        <f t="shared" si="3"/>
        <v>-9.9587694389892123E-3</v>
      </c>
      <c r="G24" s="103"/>
      <c r="H24" s="226">
        <v>1.13798</v>
      </c>
      <c r="I24" s="214">
        <f t="shared" si="1"/>
        <v>352818918.80732316</v>
      </c>
      <c r="J24" s="214">
        <f t="shared" si="2"/>
        <v>378580930.89628983</v>
      </c>
      <c r="K24" s="123">
        <f t="shared" si="4"/>
        <v>-1.3778276726409966E-2</v>
      </c>
      <c r="M24" s="315"/>
      <c r="N24" s="316"/>
      <c r="O24" s="316"/>
      <c r="P24" s="316"/>
      <c r="Q24" s="316"/>
      <c r="R24" s="317"/>
    </row>
    <row r="25" spans="2:18">
      <c r="B25" s="212" t="s">
        <v>54</v>
      </c>
      <c r="C25" s="217">
        <v>30300056.165101737</v>
      </c>
      <c r="D25" s="217">
        <v>402938793.98321438</v>
      </c>
      <c r="E25" s="218">
        <f t="shared" si="0"/>
        <v>433238850.14831614</v>
      </c>
      <c r="F25" s="219">
        <f t="shared" si="3"/>
        <v>1.3986622850729269E-2</v>
      </c>
      <c r="G25" s="103"/>
      <c r="H25" s="225">
        <v>1.1286050000000001</v>
      </c>
      <c r="I25" s="214">
        <f t="shared" si="1"/>
        <v>357023754.08864427</v>
      </c>
      <c r="J25" s="214">
        <f t="shared" si="2"/>
        <v>387323810.25374603</v>
      </c>
      <c r="K25" s="123">
        <f t="shared" si="4"/>
        <v>2.3093818636763963E-2</v>
      </c>
    </row>
    <row r="26" spans="2:18">
      <c r="B26" s="212" t="s">
        <v>55</v>
      </c>
      <c r="C26" s="217">
        <v>29245031.02421461</v>
      </c>
      <c r="D26" s="217">
        <v>402978093.68077838</v>
      </c>
      <c r="E26" s="218">
        <f t="shared" si="0"/>
        <v>432223124.70499301</v>
      </c>
      <c r="F26" s="219">
        <f t="shared" si="3"/>
        <v>-2.3444929811243798E-3</v>
      </c>
      <c r="G26" s="103"/>
      <c r="H26" s="226">
        <v>1.125302</v>
      </c>
      <c r="I26" s="214">
        <f t="shared" si="1"/>
        <v>358106618.2062934</v>
      </c>
      <c r="J26" s="214">
        <f t="shared" si="2"/>
        <v>387351649.23050803</v>
      </c>
      <c r="K26" s="123">
        <f t="shared" si="4"/>
        <v>7.1875201123727805E-5</v>
      </c>
    </row>
    <row r="27" spans="2:18">
      <c r="B27" s="212" t="s">
        <v>56</v>
      </c>
      <c r="C27" s="217">
        <v>28849057.564191934</v>
      </c>
      <c r="D27" s="217">
        <v>403163283.16630745</v>
      </c>
      <c r="E27" s="218">
        <f t="shared" si="0"/>
        <v>432012340.73049939</v>
      </c>
      <c r="F27" s="219">
        <f t="shared" si="3"/>
        <v>-4.8767398698879028E-4</v>
      </c>
      <c r="G27" s="103"/>
      <c r="H27" s="225">
        <v>1.1230279999999999</v>
      </c>
      <c r="I27" s="214">
        <f t="shared" si="1"/>
        <v>358996644.04298687</v>
      </c>
      <c r="J27" s="214">
        <f t="shared" si="2"/>
        <v>387845701.60717881</v>
      </c>
      <c r="K27" s="123">
        <f t="shared" si="4"/>
        <v>1.2754621741051242E-3</v>
      </c>
    </row>
    <row r="28" spans="2:18">
      <c r="B28" s="212" t="s">
        <v>57</v>
      </c>
      <c r="C28" s="217">
        <v>25401889.80953104</v>
      </c>
      <c r="D28" s="217">
        <v>402990877.09836745</v>
      </c>
      <c r="E28" s="218">
        <f t="shared" si="0"/>
        <v>428392766.90789849</v>
      </c>
      <c r="F28" s="219">
        <f t="shared" si="3"/>
        <v>-8.3784037661528421E-3</v>
      </c>
      <c r="G28" s="103"/>
      <c r="H28" s="226">
        <v>1.1131519999999999</v>
      </c>
      <c r="I28" s="214">
        <f t="shared" si="1"/>
        <v>362026818.52825803</v>
      </c>
      <c r="J28" s="214">
        <f t="shared" si="2"/>
        <v>387428708.33778906</v>
      </c>
      <c r="K28" s="123">
        <f t="shared" si="4"/>
        <v>-1.0751524837371296E-3</v>
      </c>
    </row>
    <row r="29" spans="2:18">
      <c r="B29" s="212" t="s">
        <v>58</v>
      </c>
      <c r="C29" s="217">
        <v>31608046.91911364</v>
      </c>
      <c r="D29" s="217">
        <v>402990877.09836745</v>
      </c>
      <c r="E29" s="218">
        <f t="shared" si="0"/>
        <v>434598924.01748109</v>
      </c>
      <c r="F29" s="219">
        <f t="shared" si="3"/>
        <v>1.4487072586164551E-2</v>
      </c>
      <c r="G29" s="103"/>
      <c r="H29" s="225">
        <v>1.1083400000000001</v>
      </c>
      <c r="I29" s="214">
        <f t="shared" si="1"/>
        <v>363598604.30767399</v>
      </c>
      <c r="J29" s="214">
        <f t="shared" si="2"/>
        <v>395206651.22678763</v>
      </c>
      <c r="K29" s="123">
        <f t="shared" si="4"/>
        <v>2.0075804197290381E-2</v>
      </c>
    </row>
    <row r="30" spans="2:18">
      <c r="B30" s="212" t="s">
        <v>59</v>
      </c>
      <c r="C30" s="217">
        <v>28908293.817830116</v>
      </c>
      <c r="D30" s="217">
        <v>403090612.07655752</v>
      </c>
      <c r="E30" s="218">
        <f t="shared" si="0"/>
        <v>431998905.8943876</v>
      </c>
      <c r="F30" s="219">
        <f t="shared" si="3"/>
        <v>-5.982569167586993E-3</v>
      </c>
      <c r="G30" s="103"/>
      <c r="H30" s="226">
        <v>1.1119140000000001</v>
      </c>
      <c r="I30" s="214">
        <f t="shared" si="1"/>
        <v>362519594.21012551</v>
      </c>
      <c r="J30" s="214">
        <f t="shared" si="2"/>
        <v>391427888.02795565</v>
      </c>
      <c r="K30" s="123">
        <f t="shared" si="4"/>
        <v>-9.5614868502391648E-3</v>
      </c>
    </row>
    <row r="31" spans="2:18">
      <c r="B31" s="212" t="s">
        <v>60</v>
      </c>
      <c r="C31" s="217">
        <v>33420611.287765227</v>
      </c>
      <c r="D31" s="217">
        <v>403116585.84199399</v>
      </c>
      <c r="E31" s="218">
        <f t="shared" si="0"/>
        <v>436537197.12975919</v>
      </c>
      <c r="F31" s="219">
        <f t="shared" si="3"/>
        <v>1.0505330391927137E-2</v>
      </c>
      <c r="G31" s="103"/>
      <c r="H31" s="225">
        <v>1.1189439999999999</v>
      </c>
      <c r="I31" s="214">
        <f t="shared" si="1"/>
        <v>360265201.69194704</v>
      </c>
      <c r="J31" s="214">
        <f t="shared" si="2"/>
        <v>393685812.97971225</v>
      </c>
      <c r="K31" s="123">
        <f t="shared" si="4"/>
        <v>5.7684314807822101E-3</v>
      </c>
    </row>
    <row r="32" spans="2:18">
      <c r="B32" s="212" t="s">
        <v>61</v>
      </c>
      <c r="C32" s="217">
        <v>30399831.824877229</v>
      </c>
      <c r="D32" s="217">
        <v>403938207.63070691</v>
      </c>
      <c r="E32" s="218">
        <f t="shared" si="0"/>
        <v>434338039.45558411</v>
      </c>
      <c r="F32" s="219">
        <f t="shared" si="3"/>
        <v>-5.0377326116413101E-3</v>
      </c>
      <c r="G32" s="103"/>
      <c r="H32" s="226">
        <v>1.119132</v>
      </c>
      <c r="I32" s="214">
        <f t="shared" si="1"/>
        <v>360938841.55819589</v>
      </c>
      <c r="J32" s="214">
        <f t="shared" si="2"/>
        <v>391338673.38307309</v>
      </c>
      <c r="K32" s="123">
        <f t="shared" si="4"/>
        <v>-5.9619613388509629E-3</v>
      </c>
    </row>
    <row r="33" spans="2:11">
      <c r="B33" s="212" t="s">
        <v>62</v>
      </c>
      <c r="C33" s="217">
        <v>30758333.332707182</v>
      </c>
      <c r="D33" s="217">
        <v>404039297.59355569</v>
      </c>
      <c r="E33" s="218">
        <f t="shared" si="0"/>
        <v>434797630.92626286</v>
      </c>
      <c r="F33" s="219">
        <f t="shared" si="3"/>
        <v>1.0581423428968062E-3</v>
      </c>
      <c r="G33" s="103"/>
      <c r="H33" s="225">
        <v>1.114765</v>
      </c>
      <c r="I33" s="214">
        <f t="shared" si="1"/>
        <v>362443472.47496617</v>
      </c>
      <c r="J33" s="214">
        <f t="shared" si="2"/>
        <v>393201805.80767334</v>
      </c>
      <c r="K33" s="123">
        <f t="shared" si="4"/>
        <v>4.7609207863197334E-3</v>
      </c>
    </row>
    <row r="34" spans="2:11">
      <c r="B34" s="212" t="s">
        <v>63</v>
      </c>
      <c r="C34" s="217">
        <v>28575590.487920702</v>
      </c>
      <c r="D34" s="217">
        <v>404677718.70979047</v>
      </c>
      <c r="E34" s="218">
        <f t="shared" si="0"/>
        <v>433253309.19771117</v>
      </c>
      <c r="F34" s="219">
        <f t="shared" si="3"/>
        <v>-3.551817256367662E-3</v>
      </c>
      <c r="G34" s="103"/>
      <c r="H34" s="226">
        <v>1.111667</v>
      </c>
      <c r="I34" s="214">
        <f t="shared" si="1"/>
        <v>364027823.71860504</v>
      </c>
      <c r="J34" s="214">
        <f t="shared" si="2"/>
        <v>392603414.20652574</v>
      </c>
      <c r="K34" s="123">
        <f t="shared" si="4"/>
        <v>-1.5218434714927564E-3</v>
      </c>
    </row>
    <row r="35" spans="2:11">
      <c r="B35" s="212" t="s">
        <v>64</v>
      </c>
      <c r="C35" s="217">
        <v>26681518.897791043</v>
      </c>
      <c r="D35" s="217">
        <v>402990877.09836757</v>
      </c>
      <c r="E35" s="218">
        <f t="shared" si="0"/>
        <v>429672395.9961586</v>
      </c>
      <c r="F35" s="219">
        <f t="shared" si="3"/>
        <v>-8.2651721880292461E-3</v>
      </c>
      <c r="G35" s="103"/>
      <c r="H35" s="225">
        <v>1.1114200000000001</v>
      </c>
      <c r="I35" s="214">
        <f t="shared" si="1"/>
        <v>362590989.09356278</v>
      </c>
      <c r="J35" s="214">
        <f t="shared" si="2"/>
        <v>389272507.99135381</v>
      </c>
      <c r="K35" s="123">
        <f t="shared" si="4"/>
        <v>-8.4841498943759586E-3</v>
      </c>
    </row>
    <row r="36" spans="2:11">
      <c r="B36" s="212" t="s">
        <v>65</v>
      </c>
      <c r="C36" s="217">
        <v>26123925.63873753</v>
      </c>
      <c r="D36" s="217">
        <v>404589987.85824203</v>
      </c>
      <c r="E36" s="218">
        <f t="shared" si="0"/>
        <v>430713913.49697959</v>
      </c>
      <c r="F36" s="219">
        <f t="shared" si="3"/>
        <v>2.4239804803058984E-3</v>
      </c>
      <c r="G36" s="103"/>
      <c r="H36" s="226">
        <v>1.1064400000000001</v>
      </c>
      <c r="I36" s="214">
        <f t="shared" si="1"/>
        <v>365668258.43086112</v>
      </c>
      <c r="J36" s="214">
        <f t="shared" si="2"/>
        <v>391792184.06959867</v>
      </c>
      <c r="K36" s="123">
        <f t="shared" si="4"/>
        <v>6.4727819882437476E-3</v>
      </c>
    </row>
    <row r="37" spans="2:11">
      <c r="B37" s="212" t="s">
        <v>66</v>
      </c>
      <c r="C37" s="217">
        <v>30076512.100824993</v>
      </c>
      <c r="D37" s="217">
        <v>404377164.04529953</v>
      </c>
      <c r="E37" s="218">
        <f t="shared" si="0"/>
        <v>434453676.14612454</v>
      </c>
      <c r="F37" s="219">
        <f t="shared" si="3"/>
        <v>8.6827068547232766E-3</v>
      </c>
      <c r="G37" s="103"/>
      <c r="H37" s="225">
        <v>1.109078</v>
      </c>
      <c r="I37" s="214">
        <f t="shared" si="1"/>
        <v>364606604.80624402</v>
      </c>
      <c r="J37" s="214">
        <f t="shared" si="2"/>
        <v>394683116.90706903</v>
      </c>
      <c r="K37" s="123">
        <f t="shared" si="4"/>
        <v>7.3787404522516198E-3</v>
      </c>
    </row>
    <row r="38" spans="2:11">
      <c r="B38" s="212" t="s">
        <v>67</v>
      </c>
      <c r="C38" s="217">
        <v>15098673.034703299</v>
      </c>
      <c r="D38" s="217">
        <v>404364990.57374918</v>
      </c>
      <c r="E38" s="218">
        <f t="shared" si="0"/>
        <v>419463663.6084525</v>
      </c>
      <c r="F38" s="219">
        <f t="shared" si="3"/>
        <v>-3.4503132003952275E-2</v>
      </c>
      <c r="G38" s="103"/>
      <c r="H38" s="226">
        <v>1.109755</v>
      </c>
      <c r="I38" s="214">
        <f t="shared" si="1"/>
        <v>364373209.01798069</v>
      </c>
      <c r="J38" s="214">
        <f t="shared" si="2"/>
        <v>379471882.05268401</v>
      </c>
      <c r="K38" s="123">
        <f t="shared" si="4"/>
        <v>-3.8540373790466931E-2</v>
      </c>
    </row>
    <row r="39" spans="2:11">
      <c r="B39" s="212" t="s">
        <v>68</v>
      </c>
      <c r="C39" s="217">
        <v>34176812.205694839</v>
      </c>
      <c r="D39" s="217">
        <v>405023071.53220999</v>
      </c>
      <c r="E39" s="218">
        <f t="shared" si="0"/>
        <v>439199883.73790485</v>
      </c>
      <c r="F39" s="219">
        <f t="shared" si="3"/>
        <v>4.7051084138422627E-2</v>
      </c>
      <c r="G39" s="103"/>
      <c r="H39" s="225">
        <v>1.113772</v>
      </c>
      <c r="I39" s="214">
        <f t="shared" si="1"/>
        <v>363649895.60898459</v>
      </c>
      <c r="J39" s="214">
        <f t="shared" si="2"/>
        <v>397826707.81467944</v>
      </c>
      <c r="K39" s="123">
        <f t="shared" si="4"/>
        <v>4.8369396074113169E-2</v>
      </c>
    </row>
    <row r="40" spans="2:11">
      <c r="B40" s="212" t="s">
        <v>69</v>
      </c>
      <c r="C40" s="217">
        <v>25890729.738401171</v>
      </c>
      <c r="D40" s="217">
        <v>405762288.6996417</v>
      </c>
      <c r="E40" s="218">
        <f t="shared" si="0"/>
        <v>431653018.43804288</v>
      </c>
      <c r="F40" s="219">
        <f t="shared" si="3"/>
        <v>-1.7183213337018111E-2</v>
      </c>
      <c r="G40" s="103"/>
      <c r="H40" s="226">
        <v>1.104789</v>
      </c>
      <c r="I40" s="214">
        <f t="shared" si="1"/>
        <v>367275822.53230411</v>
      </c>
      <c r="J40" s="214">
        <f t="shared" si="2"/>
        <v>393166552.27070528</v>
      </c>
      <c r="K40" s="123">
        <f t="shared" si="4"/>
        <v>-1.1714033905800503E-2</v>
      </c>
    </row>
    <row r="41" spans="2:11">
      <c r="B41" s="212" t="s">
        <v>70</v>
      </c>
      <c r="C41" s="217">
        <v>26857211.111394782</v>
      </c>
      <c r="D41" s="217">
        <v>404999443.64568353</v>
      </c>
      <c r="E41" s="218">
        <f t="shared" si="0"/>
        <v>431856654.75707829</v>
      </c>
      <c r="F41" s="219">
        <f t="shared" si="3"/>
        <v>4.7175928427956038E-4</v>
      </c>
      <c r="G41" s="103"/>
      <c r="H41" s="225">
        <v>1.094751</v>
      </c>
      <c r="I41" s="214">
        <f t="shared" si="1"/>
        <v>369946630.46271116</v>
      </c>
      <c r="J41" s="214">
        <f t="shared" si="2"/>
        <v>396803841.57410592</v>
      </c>
      <c r="K41" s="123">
        <f t="shared" si="4"/>
        <v>9.2512684062102668E-3</v>
      </c>
    </row>
    <row r="42" spans="2:11">
      <c r="B42" s="212" t="s">
        <v>71</v>
      </c>
      <c r="C42" s="217">
        <v>26008030.845509406</v>
      </c>
      <c r="D42" s="217">
        <v>404912938.5224061</v>
      </c>
      <c r="E42" s="218">
        <f t="shared" si="0"/>
        <v>430920969.36791551</v>
      </c>
      <c r="F42" s="219">
        <f t="shared" si="3"/>
        <v>-2.1666573360762387E-3</v>
      </c>
      <c r="G42" s="103"/>
      <c r="H42" s="226">
        <v>1.0949899999999999</v>
      </c>
      <c r="I42" s="214">
        <f t="shared" si="1"/>
        <v>369786882.54907</v>
      </c>
      <c r="J42" s="214">
        <f t="shared" si="2"/>
        <v>395794913.39457941</v>
      </c>
      <c r="K42" s="123">
        <f t="shared" si="4"/>
        <v>-2.5426371265059311E-3</v>
      </c>
    </row>
    <row r="43" spans="2:11">
      <c r="B43" s="212" t="s">
        <v>72</v>
      </c>
      <c r="C43" s="217">
        <v>30623454.804619972</v>
      </c>
      <c r="D43" s="217">
        <v>405110186.60152614</v>
      </c>
      <c r="E43" s="218">
        <f t="shared" si="0"/>
        <v>435733641.40614611</v>
      </c>
      <c r="F43" s="219">
        <f t="shared" si="3"/>
        <v>1.116834032302938E-2</v>
      </c>
      <c r="G43" s="103"/>
      <c r="H43" s="225">
        <v>1.098479</v>
      </c>
      <c r="I43" s="214">
        <f t="shared" si="1"/>
        <v>368791926.47426683</v>
      </c>
      <c r="J43" s="214">
        <f t="shared" si="2"/>
        <v>399415381.2788868</v>
      </c>
      <c r="K43" s="123">
        <f t="shared" si="4"/>
        <v>9.1473330297653366E-3</v>
      </c>
    </row>
    <row r="44" spans="2:11">
      <c r="B44" s="212" t="s">
        <v>73</v>
      </c>
      <c r="C44" s="217">
        <v>27861254.83013102</v>
      </c>
      <c r="D44" s="217">
        <v>405110186.60152614</v>
      </c>
      <c r="E44" s="218">
        <f t="shared" si="0"/>
        <v>432971441.43165714</v>
      </c>
      <c r="F44" s="219">
        <f t="shared" si="3"/>
        <v>-6.3391937459204017E-3</v>
      </c>
      <c r="G44" s="103"/>
      <c r="H44" s="226">
        <v>1.0996870000000001</v>
      </c>
      <c r="I44" s="214">
        <f t="shared" si="1"/>
        <v>368386810.61204332</v>
      </c>
      <c r="J44" s="214">
        <f t="shared" si="2"/>
        <v>396248065.44217432</v>
      </c>
      <c r="K44" s="123">
        <f t="shared" si="4"/>
        <v>-7.9298794817842522E-3</v>
      </c>
    </row>
    <row r="45" spans="2:11">
      <c r="B45" s="212" t="s">
        <v>74</v>
      </c>
      <c r="C45" s="217">
        <v>30252264.49969741</v>
      </c>
      <c r="D45" s="217">
        <v>405554897.34992939</v>
      </c>
      <c r="E45" s="218">
        <f t="shared" si="0"/>
        <v>435807161.84962678</v>
      </c>
      <c r="F45" s="219">
        <f t="shared" si="3"/>
        <v>6.5494398628074268E-3</v>
      </c>
      <c r="G45" s="103"/>
      <c r="H45" s="225">
        <v>1.1046670000000001</v>
      </c>
      <c r="I45" s="214">
        <f t="shared" si="1"/>
        <v>367128643.60927713</v>
      </c>
      <c r="J45" s="214">
        <f t="shared" si="2"/>
        <v>397380908.10897452</v>
      </c>
      <c r="K45" s="123">
        <f t="shared" si="4"/>
        <v>2.8589228960298474E-3</v>
      </c>
    </row>
    <row r="46" spans="2:11">
      <c r="B46" s="212" t="s">
        <v>75</v>
      </c>
      <c r="C46" s="217">
        <v>28210177.338417321</v>
      </c>
      <c r="D46" s="217">
        <v>403643973.89013433</v>
      </c>
      <c r="E46" s="218">
        <f t="shared" si="0"/>
        <v>431854151.22855163</v>
      </c>
      <c r="F46" s="219">
        <f t="shared" si="3"/>
        <v>-9.070549929234839E-3</v>
      </c>
      <c r="G46" s="103"/>
      <c r="H46" s="226">
        <v>1.110309</v>
      </c>
      <c r="I46" s="214">
        <f t="shared" si="1"/>
        <v>363542017.48354226</v>
      </c>
      <c r="J46" s="214">
        <f t="shared" si="2"/>
        <v>391752194.82195961</v>
      </c>
      <c r="K46" s="123">
        <f t="shared" si="4"/>
        <v>-1.4164528723335956E-2</v>
      </c>
    </row>
    <row r="47" spans="2:11">
      <c r="B47" s="212" t="s">
        <v>76</v>
      </c>
      <c r="C47" s="217">
        <v>13819033.344720379</v>
      </c>
      <c r="D47" s="217">
        <v>404219157.8328222</v>
      </c>
      <c r="E47" s="218">
        <f t="shared" si="0"/>
        <v>418038191.17754257</v>
      </c>
      <c r="F47" s="219">
        <f t="shared" si="3"/>
        <v>-3.1992189982902763E-2</v>
      </c>
      <c r="G47" s="103"/>
      <c r="H47" s="225">
        <v>1.103936</v>
      </c>
      <c r="I47" s="214">
        <f t="shared" si="1"/>
        <v>366161768.2844134</v>
      </c>
      <c r="J47" s="214">
        <f t="shared" si="2"/>
        <v>379980801.62913376</v>
      </c>
      <c r="K47" s="123">
        <f t="shared" si="4"/>
        <v>-3.0048059330402999E-2</v>
      </c>
    </row>
    <row r="48" spans="2:11">
      <c r="B48" s="212" t="s">
        <v>77</v>
      </c>
      <c r="C48" s="217">
        <v>29628455.586395584</v>
      </c>
      <c r="D48" s="217">
        <v>405064648.86821544</v>
      </c>
      <c r="E48" s="218">
        <f t="shared" si="0"/>
        <v>434693104.454611</v>
      </c>
      <c r="F48" s="219">
        <f t="shared" si="3"/>
        <v>3.9840650037630265E-2</v>
      </c>
      <c r="G48" s="103"/>
      <c r="H48" s="226">
        <v>1.096792</v>
      </c>
      <c r="I48" s="214">
        <f t="shared" si="1"/>
        <v>369317654.45792407</v>
      </c>
      <c r="J48" s="214">
        <f t="shared" si="2"/>
        <v>398946110.04431963</v>
      </c>
      <c r="K48" s="123">
        <f t="shared" si="4"/>
        <v>4.9911227972239125E-2</v>
      </c>
    </row>
    <row r="49" spans="2:11">
      <c r="B49" s="212" t="s">
        <v>78</v>
      </c>
      <c r="C49" s="217">
        <v>29082270.635796823</v>
      </c>
      <c r="D49" s="217">
        <v>404116619.24629641</v>
      </c>
      <c r="E49" s="218">
        <f t="shared" si="0"/>
        <v>433198889.88209325</v>
      </c>
      <c r="F49" s="219">
        <f t="shared" si="3"/>
        <v>-3.4374011393450976E-3</v>
      </c>
      <c r="G49" s="103"/>
      <c r="H49" s="225">
        <v>1.101261</v>
      </c>
      <c r="I49" s="214">
        <f t="shared" si="1"/>
        <v>366958077.3733896</v>
      </c>
      <c r="J49" s="214">
        <f t="shared" si="2"/>
        <v>396040348.00918645</v>
      </c>
      <c r="K49" s="123">
        <f t="shared" si="4"/>
        <v>-7.2835953578049839E-3</v>
      </c>
    </row>
    <row r="50" spans="2:11">
      <c r="B50" s="212" t="s">
        <v>79</v>
      </c>
      <c r="C50" s="217">
        <v>23954188.832186718</v>
      </c>
      <c r="D50" s="217">
        <v>404681372.49009538</v>
      </c>
      <c r="E50" s="218">
        <f t="shared" si="0"/>
        <v>428635561.32228208</v>
      </c>
      <c r="F50" s="219">
        <f t="shared" si="3"/>
        <v>-1.053402644003365E-2</v>
      </c>
      <c r="G50" s="103"/>
      <c r="H50" s="226">
        <v>1.1022320000000001</v>
      </c>
      <c r="I50" s="214">
        <f t="shared" si="1"/>
        <v>367147181.80028826</v>
      </c>
      <c r="J50" s="214">
        <f t="shared" si="2"/>
        <v>391101370.63247496</v>
      </c>
      <c r="K50" s="123">
        <f t="shared" si="4"/>
        <v>-1.2470894446837799E-2</v>
      </c>
    </row>
    <row r="51" spans="2:11">
      <c r="B51" s="212" t="s">
        <v>80</v>
      </c>
      <c r="C51" s="217">
        <v>29624903.895531077</v>
      </c>
      <c r="D51" s="217">
        <v>403371423.21851945</v>
      </c>
      <c r="E51" s="218">
        <f t="shared" si="0"/>
        <v>432996327.11405051</v>
      </c>
      <c r="F51" s="219">
        <f t="shared" si="3"/>
        <v>1.0173597772233478E-2</v>
      </c>
      <c r="G51" s="103"/>
      <c r="H51" s="225">
        <v>1.103083</v>
      </c>
      <c r="I51" s="214">
        <f t="shared" si="1"/>
        <v>365676402.6084342</v>
      </c>
      <c r="J51" s="214">
        <f t="shared" si="2"/>
        <v>395301306.50396526</v>
      </c>
      <c r="K51" s="123">
        <f t="shared" si="4"/>
        <v>1.0738739843070055E-2</v>
      </c>
    </row>
    <row r="52" spans="2:11">
      <c r="B52" s="212" t="s">
        <v>81</v>
      </c>
      <c r="C52" s="217">
        <v>26281871.724634603</v>
      </c>
      <c r="D52" s="217">
        <v>403261576.8376413</v>
      </c>
      <c r="E52" s="218">
        <f t="shared" si="0"/>
        <v>429543448.56227589</v>
      </c>
      <c r="F52" s="219">
        <f t="shared" si="3"/>
        <v>-7.9743830040968078E-3</v>
      </c>
      <c r="G52" s="103"/>
      <c r="H52" s="226">
        <v>1.1040570000000001</v>
      </c>
      <c r="I52" s="214">
        <f t="shared" si="1"/>
        <v>365254309.18661016</v>
      </c>
      <c r="J52" s="214">
        <f t="shared" si="2"/>
        <v>391536180.91124475</v>
      </c>
      <c r="K52" s="123">
        <f t="shared" si="4"/>
        <v>-9.5246980740316678E-3</v>
      </c>
    </row>
    <row r="53" spans="2:11">
      <c r="B53" s="212" t="s">
        <v>82</v>
      </c>
      <c r="C53" s="217">
        <v>29775197.727792926</v>
      </c>
      <c r="D53" s="217">
        <v>401649343.74545693</v>
      </c>
      <c r="E53" s="218">
        <f t="shared" si="0"/>
        <v>431424541.47324985</v>
      </c>
      <c r="F53" s="219">
        <f t="shared" si="3"/>
        <v>4.379284371045955E-3</v>
      </c>
      <c r="G53" s="103"/>
      <c r="H53" s="225">
        <v>1.110063</v>
      </c>
      <c r="I53" s="214">
        <f t="shared" si="1"/>
        <v>361825719.57218367</v>
      </c>
      <c r="J53" s="214">
        <f t="shared" si="2"/>
        <v>391600917.29997659</v>
      </c>
      <c r="K53" s="123">
        <f t="shared" si="4"/>
        <v>1.6533948045660551E-4</v>
      </c>
    </row>
    <row r="54" spans="2:11">
      <c r="B54" s="212" t="s">
        <v>83</v>
      </c>
      <c r="C54" s="217">
        <v>25670373.667052418</v>
      </c>
      <c r="D54" s="217">
        <v>402588004.38537991</v>
      </c>
      <c r="E54" s="218">
        <f t="shared" si="0"/>
        <v>428258378.0524323</v>
      </c>
      <c r="F54" s="219">
        <f t="shared" si="3"/>
        <v>-7.3388579379503049E-3</v>
      </c>
      <c r="G54" s="103"/>
      <c r="H54" s="226">
        <v>1.1055219999999999</v>
      </c>
      <c r="I54" s="214">
        <f t="shared" si="1"/>
        <v>364161006.6424548</v>
      </c>
      <c r="J54" s="214">
        <f t="shared" si="2"/>
        <v>389831380.30950725</v>
      </c>
      <c r="K54" s="123">
        <f t="shared" si="4"/>
        <v>-4.518725345869945E-3</v>
      </c>
    </row>
    <row r="55" spans="2:11">
      <c r="B55" s="212" t="s">
        <v>84</v>
      </c>
      <c r="C55" s="217">
        <v>25515094.161418922</v>
      </c>
      <c r="D55" s="217">
        <v>402696059.645118</v>
      </c>
      <c r="E55" s="218">
        <f t="shared" si="0"/>
        <v>428211153.80653691</v>
      </c>
      <c r="F55" s="219">
        <f t="shared" si="3"/>
        <v>-1.1027045427614013E-4</v>
      </c>
      <c r="G55" s="103"/>
      <c r="H55" s="225">
        <v>1.0999289999999999</v>
      </c>
      <c r="I55" s="214">
        <f t="shared" si="1"/>
        <v>366110957.74828923</v>
      </c>
      <c r="J55" s="214">
        <f t="shared" si="2"/>
        <v>391626051.90970814</v>
      </c>
      <c r="K55" s="123">
        <f t="shared" si="4"/>
        <v>4.6037125045603755E-3</v>
      </c>
    </row>
    <row r="56" spans="2:11">
      <c r="B56" s="212" t="s">
        <v>85</v>
      </c>
      <c r="C56" s="217">
        <v>31158282.565705102</v>
      </c>
      <c r="D56" s="217">
        <v>402971685.3331297</v>
      </c>
      <c r="E56" s="218">
        <f t="shared" si="0"/>
        <v>434129967.89883482</v>
      </c>
      <c r="F56" s="219">
        <f t="shared" si="3"/>
        <v>1.3822185713013857E-2</v>
      </c>
      <c r="G56" s="103"/>
      <c r="H56" s="226">
        <v>1.102597</v>
      </c>
      <c r="I56" s="214">
        <f t="shared" si="1"/>
        <v>365475042.40727091</v>
      </c>
      <c r="J56" s="214">
        <f t="shared" si="2"/>
        <v>396633324.97297603</v>
      </c>
      <c r="K56" s="123">
        <f t="shared" si="4"/>
        <v>1.2785852827845945E-2</v>
      </c>
    </row>
    <row r="57" spans="2:11">
      <c r="B57" s="212" t="s">
        <v>86</v>
      </c>
      <c r="C57" s="217">
        <v>34209654.142170534</v>
      </c>
      <c r="D57" s="217">
        <v>402682462.4477061</v>
      </c>
      <c r="E57" s="218">
        <f t="shared" si="0"/>
        <v>436892116.58987665</v>
      </c>
      <c r="F57" s="219">
        <f t="shared" si="3"/>
        <v>6.3624925604892635E-3</v>
      </c>
      <c r="G57" s="103"/>
      <c r="H57" s="225">
        <v>1.1017459999999999</v>
      </c>
      <c r="I57" s="214">
        <f t="shared" si="1"/>
        <v>365494825.89245266</v>
      </c>
      <c r="J57" s="214">
        <f t="shared" si="2"/>
        <v>399704480.03462321</v>
      </c>
      <c r="K57" s="123">
        <f t="shared" si="4"/>
        <v>7.7430585588249556E-3</v>
      </c>
    </row>
    <row r="58" spans="2:11">
      <c r="B58" s="212" t="s">
        <v>87</v>
      </c>
      <c r="C58" s="217">
        <v>29091419.270925894</v>
      </c>
      <c r="D58" s="217">
        <v>402574118.10708648</v>
      </c>
      <c r="E58" s="218">
        <f t="shared" si="0"/>
        <v>431665537.37801236</v>
      </c>
      <c r="F58" s="219">
        <f t="shared" si="3"/>
        <v>-1.1963088857404713E-2</v>
      </c>
      <c r="G58" s="103"/>
      <c r="H58" s="226">
        <v>1.1010789999999999</v>
      </c>
      <c r="I58" s="214">
        <f t="shared" si="1"/>
        <v>365617833.15010685</v>
      </c>
      <c r="J58" s="214">
        <f t="shared" si="2"/>
        <v>394709252.42103273</v>
      </c>
      <c r="K58" s="123">
        <f t="shared" si="4"/>
        <v>-1.2497302039641389E-2</v>
      </c>
    </row>
    <row r="59" spans="2:11">
      <c r="B59" s="212" t="s">
        <v>88</v>
      </c>
      <c r="C59" s="217">
        <v>28076881.056575797</v>
      </c>
      <c r="D59" s="217">
        <v>402401941.2446093</v>
      </c>
      <c r="E59" s="218">
        <f t="shared" si="0"/>
        <v>430478822.30118507</v>
      </c>
      <c r="F59" s="219">
        <f t="shared" si="3"/>
        <v>-2.7491540882219612E-3</v>
      </c>
      <c r="G59" s="103"/>
      <c r="H59" s="225">
        <v>1.0943909999999999</v>
      </c>
      <c r="I59" s="214">
        <f t="shared" si="1"/>
        <v>367694856.08398581</v>
      </c>
      <c r="J59" s="214">
        <f t="shared" si="2"/>
        <v>395771737.14056158</v>
      </c>
      <c r="K59" s="123">
        <f t="shared" si="4"/>
        <v>2.6918160975752947E-3</v>
      </c>
    </row>
    <row r="60" spans="2:11">
      <c r="B60" s="212" t="s">
        <v>89</v>
      </c>
      <c r="C60" s="217">
        <v>30951014.396321341</v>
      </c>
      <c r="D60" s="217">
        <v>401228912.97260296</v>
      </c>
      <c r="E60" s="218">
        <f t="shared" si="0"/>
        <v>432179927.36892432</v>
      </c>
      <c r="F60" s="219">
        <f t="shared" si="3"/>
        <v>3.951657966925648E-3</v>
      </c>
      <c r="G60" s="103"/>
      <c r="H60" s="226">
        <v>1.0965510000000001</v>
      </c>
      <c r="I60" s="214">
        <f t="shared" si="1"/>
        <v>365900822.64536983</v>
      </c>
      <c r="J60" s="214">
        <f t="shared" si="2"/>
        <v>396851837.04169118</v>
      </c>
      <c r="K60" s="123">
        <f t="shared" si="4"/>
        <v>2.7290981133045733E-3</v>
      </c>
    </row>
    <row r="61" spans="2:11">
      <c r="B61" s="212" t="s">
        <v>90</v>
      </c>
      <c r="C61" s="217">
        <v>27601752.550731439</v>
      </c>
      <c r="D61" s="217">
        <v>400824214.72963881</v>
      </c>
      <c r="E61" s="218">
        <f t="shared" si="0"/>
        <v>428425967.28037024</v>
      </c>
      <c r="F61" s="219">
        <f t="shared" si="3"/>
        <v>-8.6861046772992445E-3</v>
      </c>
      <c r="G61" s="103"/>
      <c r="H61" s="225">
        <v>1.0969120000000001</v>
      </c>
      <c r="I61" s="214">
        <f t="shared" si="1"/>
        <v>365411459.37836289</v>
      </c>
      <c r="J61" s="214">
        <f t="shared" si="2"/>
        <v>393013211.92909431</v>
      </c>
      <c r="K61" s="123">
        <f t="shared" si="4"/>
        <v>-9.6726907986912636E-3</v>
      </c>
    </row>
    <row r="62" spans="2:11">
      <c r="B62" s="212" t="s">
        <v>91</v>
      </c>
      <c r="C62" s="217">
        <v>27136977.556647599</v>
      </c>
      <c r="D62" s="217">
        <v>402316405.72132635</v>
      </c>
      <c r="E62" s="218">
        <f t="shared" si="0"/>
        <v>429453383.27797395</v>
      </c>
      <c r="F62" s="219">
        <f t="shared" si="3"/>
        <v>2.3981179388488094E-3</v>
      </c>
      <c r="G62" s="103"/>
      <c r="H62" s="226">
        <v>1.093494</v>
      </c>
      <c r="I62" s="214">
        <f t="shared" si="1"/>
        <v>367918256.26965153</v>
      </c>
      <c r="J62" s="214">
        <f t="shared" si="2"/>
        <v>395055233.82629913</v>
      </c>
      <c r="K62" s="123">
        <f t="shared" si="4"/>
        <v>5.1958097977968798E-3</v>
      </c>
    </row>
    <row r="63" spans="2:11">
      <c r="B63" s="212" t="s">
        <v>92</v>
      </c>
      <c r="C63" s="217">
        <v>24433278.901605148</v>
      </c>
      <c r="D63" s="217">
        <v>402408227.79129285</v>
      </c>
      <c r="E63" s="218">
        <f t="shared" si="0"/>
        <v>426841506.69289798</v>
      </c>
      <c r="F63" s="219">
        <f t="shared" si="3"/>
        <v>-6.0818628674893516E-3</v>
      </c>
      <c r="G63" s="103"/>
      <c r="H63" s="225">
        <v>1.087429</v>
      </c>
      <c r="I63" s="214">
        <f t="shared" si="1"/>
        <v>370054714.18482757</v>
      </c>
      <c r="J63" s="214">
        <f t="shared" si="2"/>
        <v>394487993.0864327</v>
      </c>
      <c r="K63" s="123">
        <f t="shared" si="4"/>
        <v>-1.43585172729499E-3</v>
      </c>
    </row>
    <row r="64" spans="2:11">
      <c r="B64" s="212" t="s">
        <v>93</v>
      </c>
      <c r="C64" s="217">
        <v>33175745.991307903</v>
      </c>
      <c r="D64" s="217">
        <v>401312283.45653069</v>
      </c>
      <c r="E64" s="218">
        <f t="shared" si="0"/>
        <v>434488029.4478386</v>
      </c>
      <c r="F64" s="219">
        <f t="shared" si="3"/>
        <v>1.7914196803831661E-2</v>
      </c>
      <c r="G64" s="103"/>
      <c r="H64" s="226">
        <v>1.091167</v>
      </c>
      <c r="I64" s="214">
        <f t="shared" si="1"/>
        <v>367782643.22191811</v>
      </c>
      <c r="J64" s="214">
        <f t="shared" si="2"/>
        <v>400958389.21322602</v>
      </c>
      <c r="K64" s="123">
        <f t="shared" si="4"/>
        <v>1.6402010302442038E-2</v>
      </c>
    </row>
    <row r="65" spans="2:11">
      <c r="B65" s="212" t="s">
        <v>94</v>
      </c>
      <c r="C65" s="217">
        <v>31735779.434059191</v>
      </c>
      <c r="D65" s="217">
        <v>402056979.01518101</v>
      </c>
      <c r="E65" s="218">
        <f t="shared" si="0"/>
        <v>433792758.44924021</v>
      </c>
      <c r="F65" s="219">
        <f t="shared" si="3"/>
        <v>-1.600207488988703E-3</v>
      </c>
      <c r="G65" s="103"/>
      <c r="H65" s="225">
        <v>1.096311</v>
      </c>
      <c r="I65" s="214">
        <f t="shared" si="1"/>
        <v>366736244.5648917</v>
      </c>
      <c r="J65" s="214">
        <f t="shared" si="2"/>
        <v>398472023.9989509</v>
      </c>
      <c r="K65" s="123">
        <f t="shared" si="4"/>
        <v>-6.2010554739955204E-3</v>
      </c>
    </row>
    <row r="66" spans="2:11">
      <c r="B66" s="212" t="s">
        <v>95</v>
      </c>
      <c r="C66" s="217">
        <v>25548718.299099326</v>
      </c>
      <c r="D66" s="217">
        <v>402886259.20643348</v>
      </c>
      <c r="E66" s="218">
        <f t="shared" si="0"/>
        <v>428434977.5055328</v>
      </c>
      <c r="F66" s="219">
        <f t="shared" si="3"/>
        <v>-1.2351015177986979E-2</v>
      </c>
      <c r="G66" s="103"/>
      <c r="H66" s="226">
        <v>1.097153</v>
      </c>
      <c r="I66" s="214">
        <f t="shared" si="1"/>
        <v>367210643.55329973</v>
      </c>
      <c r="J66" s="214">
        <f t="shared" si="2"/>
        <v>392759361.85239905</v>
      </c>
      <c r="K66" s="123">
        <f t="shared" si="4"/>
        <v>-1.4336419629215613E-2</v>
      </c>
    </row>
    <row r="67" spans="2:11">
      <c r="B67" s="212" t="s">
        <v>96</v>
      </c>
      <c r="C67" s="217">
        <v>24765861.658049114</v>
      </c>
      <c r="D67" s="217">
        <v>402821110.95804918</v>
      </c>
      <c r="E67" s="218">
        <f t="shared" si="0"/>
        <v>427586972.61609828</v>
      </c>
      <c r="F67" s="219">
        <f t="shared" si="3"/>
        <v>-1.9793082590311428E-3</v>
      </c>
      <c r="G67" s="103"/>
      <c r="H67" s="225">
        <v>1.10114</v>
      </c>
      <c r="I67" s="214">
        <f t="shared" si="1"/>
        <v>365821885.46238369</v>
      </c>
      <c r="J67" s="214">
        <f t="shared" si="2"/>
        <v>390587747.12043279</v>
      </c>
      <c r="K67" s="123">
        <f t="shared" si="4"/>
        <v>-5.5291227730998038E-3</v>
      </c>
    </row>
    <row r="68" spans="2:11">
      <c r="B68" s="212" t="s">
        <v>97</v>
      </c>
      <c r="C68" s="217">
        <v>29921796.791728571</v>
      </c>
      <c r="D68" s="217">
        <v>401889882.19644803</v>
      </c>
      <c r="E68" s="218">
        <f t="shared" si="0"/>
        <v>431811678.98817658</v>
      </c>
      <c r="F68" s="219">
        <f t="shared" si="3"/>
        <v>9.8803439829571182E-3</v>
      </c>
      <c r="G68" s="103"/>
      <c r="H68" s="226">
        <v>1.1050329999999999</v>
      </c>
      <c r="I68" s="214">
        <f t="shared" si="1"/>
        <v>363690389.51456475</v>
      </c>
      <c r="J68" s="214">
        <f t="shared" si="2"/>
        <v>393612186.30629331</v>
      </c>
      <c r="K68" s="123">
        <f t="shared" si="4"/>
        <v>7.7433027742366267E-3</v>
      </c>
    </row>
    <row r="69" spans="2:11">
      <c r="B69" s="212" t="s">
        <v>98</v>
      </c>
      <c r="C69" s="217">
        <v>32720218.525802404</v>
      </c>
      <c r="D69" s="217">
        <v>402305115.70057863</v>
      </c>
      <c r="E69" s="218">
        <f t="shared" si="0"/>
        <v>435025334.22638106</v>
      </c>
      <c r="F69" s="219">
        <f t="shared" si="3"/>
        <v>7.4422610470721295E-3</v>
      </c>
      <c r="G69" s="103"/>
      <c r="H69" s="225">
        <v>1.097996</v>
      </c>
      <c r="I69" s="214">
        <f t="shared" si="1"/>
        <v>366399436.5194214</v>
      </c>
      <c r="J69" s="214">
        <f t="shared" si="2"/>
        <v>399119655.04522383</v>
      </c>
      <c r="K69" s="123">
        <f t="shared" si="4"/>
        <v>1.3992119478345666E-2</v>
      </c>
    </row>
    <row r="70" spans="2:11">
      <c r="B70" s="212" t="s">
        <v>99</v>
      </c>
      <c r="C70" s="217">
        <v>20858084.1816907</v>
      </c>
      <c r="D70" s="217">
        <v>403223931.51249087</v>
      </c>
      <c r="E70" s="218">
        <f t="shared" si="0"/>
        <v>424082015.69418156</v>
      </c>
      <c r="F70" s="219">
        <f t="shared" si="3"/>
        <v>-2.5155589045544491E-2</v>
      </c>
      <c r="G70" s="103"/>
      <c r="H70" s="226">
        <v>1.0978760000000001</v>
      </c>
      <c r="I70" s="214">
        <f t="shared" si="1"/>
        <v>367276387.78194517</v>
      </c>
      <c r="J70" s="214">
        <f t="shared" si="2"/>
        <v>388134471.96363586</v>
      </c>
      <c r="K70" s="123">
        <f t="shared" si="4"/>
        <v>-2.7523533212974072E-2</v>
      </c>
    </row>
    <row r="71" spans="2:11">
      <c r="B71" s="212" t="s">
        <v>100</v>
      </c>
      <c r="C71" s="217">
        <v>27965374.368675258</v>
      </c>
      <c r="D71" s="217">
        <v>401982369.3855496</v>
      </c>
      <c r="E71" s="218">
        <f t="shared" si="0"/>
        <v>429947743.75422484</v>
      </c>
      <c r="F71" s="219">
        <f t="shared" si="3"/>
        <v>1.3831588803504546E-2</v>
      </c>
      <c r="G71" s="103"/>
      <c r="H71" s="225">
        <v>1.1034360000000001</v>
      </c>
      <c r="I71" s="214">
        <f t="shared" si="1"/>
        <v>364300575.09955227</v>
      </c>
      <c r="J71" s="214">
        <f t="shared" si="2"/>
        <v>392265949.46822751</v>
      </c>
      <c r="K71" s="123">
        <f t="shared" si="4"/>
        <v>1.0644448774904891E-2</v>
      </c>
    </row>
    <row r="72" spans="2:11">
      <c r="B72" s="212" t="s">
        <v>101</v>
      </c>
      <c r="C72" s="217">
        <v>30744489.606874645</v>
      </c>
      <c r="D72" s="217">
        <v>402727565.41332656</v>
      </c>
      <c r="E72" s="218">
        <f t="shared" si="0"/>
        <v>433472055.02020121</v>
      </c>
      <c r="F72" s="219">
        <f t="shared" si="3"/>
        <v>8.1970688698183025E-3</v>
      </c>
      <c r="G72" s="103"/>
      <c r="H72" s="226">
        <v>1.103448</v>
      </c>
      <c r="I72" s="214">
        <f t="shared" si="1"/>
        <v>364971947.39881402</v>
      </c>
      <c r="J72" s="214">
        <f t="shared" si="2"/>
        <v>395716437.00568867</v>
      </c>
      <c r="K72" s="123">
        <f t="shared" si="4"/>
        <v>8.7962963447090203E-3</v>
      </c>
    </row>
    <row r="73" spans="2:11">
      <c r="B73" s="212" t="s">
        <v>102</v>
      </c>
      <c r="C73" s="217">
        <v>34958722.192433015</v>
      </c>
      <c r="D73" s="217">
        <v>402731847.48994207</v>
      </c>
      <c r="E73" s="218">
        <f t="shared" si="0"/>
        <v>437690569.68237507</v>
      </c>
      <c r="F73" s="219">
        <f t="shared" si="3"/>
        <v>9.7319183862434322E-3</v>
      </c>
      <c r="G73" s="103"/>
      <c r="H73" s="225">
        <v>1.1029610000000001</v>
      </c>
      <c r="I73" s="214">
        <f t="shared" si="1"/>
        <v>365136978.99557829</v>
      </c>
      <c r="J73" s="214">
        <f t="shared" si="2"/>
        <v>400095701.18801129</v>
      </c>
      <c r="K73" s="123">
        <f t="shared" si="4"/>
        <v>1.1066672427002766E-2</v>
      </c>
    </row>
    <row r="74" spans="2:11">
      <c r="B74" s="212" t="s">
        <v>103</v>
      </c>
      <c r="C74" s="217">
        <v>30562031.681911338</v>
      </c>
      <c r="D74" s="217">
        <v>403310701.69853175</v>
      </c>
      <c r="E74" s="218">
        <f t="shared" si="0"/>
        <v>433872733.3804431</v>
      </c>
      <c r="F74" s="219">
        <f t="shared" si="3"/>
        <v>-8.7226834809407405E-3</v>
      </c>
      <c r="G74" s="103"/>
      <c r="H74" s="226">
        <v>1.109324</v>
      </c>
      <c r="I74" s="214">
        <f t="shared" si="1"/>
        <v>363564388.49112773</v>
      </c>
      <c r="J74" s="214">
        <f t="shared" si="2"/>
        <v>394126420.17303908</v>
      </c>
      <c r="K74" s="123">
        <f t="shared" si="4"/>
        <v>-1.4919632970930463E-2</v>
      </c>
    </row>
    <row r="75" spans="2:11">
      <c r="B75" s="212" t="s">
        <v>104</v>
      </c>
      <c r="C75" s="217">
        <v>26801426.181271773</v>
      </c>
      <c r="D75" s="217">
        <v>403058952.18278921</v>
      </c>
      <c r="E75" s="218">
        <f t="shared" si="0"/>
        <v>429860378.364061</v>
      </c>
      <c r="F75" s="219">
        <f t="shared" si="3"/>
        <v>-9.24776946714434E-3</v>
      </c>
      <c r="G75" s="103"/>
      <c r="H75" s="225">
        <v>1.1105560000000001</v>
      </c>
      <c r="I75" s="214">
        <f t="shared" si="1"/>
        <v>362934378.98024881</v>
      </c>
      <c r="J75" s="214">
        <f t="shared" si="2"/>
        <v>389735805.1615206</v>
      </c>
      <c r="K75" s="123">
        <f t="shared" si="4"/>
        <v>-1.1140118466533622E-2</v>
      </c>
    </row>
    <row r="76" spans="2:11">
      <c r="B76" s="212" t="s">
        <v>105</v>
      </c>
      <c r="C76" s="217">
        <v>26976689.486349195</v>
      </c>
      <c r="D76" s="217">
        <v>403056062.48406464</v>
      </c>
      <c r="E76" s="218">
        <f t="shared" si="0"/>
        <v>430032751.9704138</v>
      </c>
      <c r="F76" s="219">
        <f t="shared" si="3"/>
        <v>4.0099905697021931E-4</v>
      </c>
      <c r="G76" s="103"/>
      <c r="H76" s="226">
        <v>1.1100779999999999</v>
      </c>
      <c r="I76" s="214">
        <f t="shared" si="1"/>
        <v>363088055.50967109</v>
      </c>
      <c r="J76" s="214">
        <f t="shared" si="2"/>
        <v>390064744.99602032</v>
      </c>
      <c r="K76" s="123">
        <f t="shared" si="4"/>
        <v>8.4400722269628581E-4</v>
      </c>
    </row>
    <row r="77" spans="2:11">
      <c r="B77" s="212" t="s">
        <v>106</v>
      </c>
      <c r="C77" s="217">
        <v>24152235.341099367</v>
      </c>
      <c r="D77" s="217">
        <v>402298772.64775658</v>
      </c>
      <c r="E77" s="218">
        <f t="shared" si="0"/>
        <v>426451007.98885596</v>
      </c>
      <c r="F77" s="219">
        <f t="shared" si="3"/>
        <v>-8.3290027681526269E-3</v>
      </c>
      <c r="G77" s="103"/>
      <c r="H77" s="225">
        <v>1.110063</v>
      </c>
      <c r="I77" s="214">
        <f t="shared" si="1"/>
        <v>362410757.45048398</v>
      </c>
      <c r="J77" s="214">
        <f t="shared" si="2"/>
        <v>386562992.79158336</v>
      </c>
      <c r="K77" s="123">
        <f t="shared" si="4"/>
        <v>-8.9773614492452136E-3</v>
      </c>
    </row>
    <row r="78" spans="2:11">
      <c r="B78" s="212" t="s">
        <v>107</v>
      </c>
      <c r="C78" s="217">
        <v>30741367.151095502</v>
      </c>
      <c r="D78" s="217">
        <v>403212616.05129492</v>
      </c>
      <c r="E78" s="218">
        <f t="shared" si="0"/>
        <v>433953983.20239043</v>
      </c>
      <c r="F78" s="219">
        <f t="shared" si="3"/>
        <v>1.7593991039952073E-2</v>
      </c>
      <c r="G78" s="103"/>
      <c r="H78" s="226">
        <v>1.1109880000000001</v>
      </c>
      <c r="I78" s="214">
        <f t="shared" si="1"/>
        <v>362931567.2638182</v>
      </c>
      <c r="J78" s="214">
        <f t="shared" si="2"/>
        <v>393672934.41491371</v>
      </c>
      <c r="K78" s="123">
        <f t="shared" si="4"/>
        <v>1.8392711552612795E-2</v>
      </c>
    </row>
    <row r="79" spans="2:11">
      <c r="B79" s="212" t="s">
        <v>108</v>
      </c>
      <c r="C79" s="217">
        <v>36137103.853307799</v>
      </c>
      <c r="D79" s="217">
        <v>402204331.42714262</v>
      </c>
      <c r="E79" s="218">
        <f t="shared" si="0"/>
        <v>438341435.2804504</v>
      </c>
      <c r="F79" s="219">
        <f t="shared" si="3"/>
        <v>1.0110408586833319E-2</v>
      </c>
      <c r="G79" s="103"/>
      <c r="H79" s="225">
        <v>1.1178809999999999</v>
      </c>
      <c r="I79" s="214">
        <f t="shared" si="1"/>
        <v>359791723.29357296</v>
      </c>
      <c r="J79" s="214">
        <f t="shared" si="2"/>
        <v>395928827.14688075</v>
      </c>
      <c r="K79" s="123">
        <f t="shared" si="4"/>
        <v>5.7303729435191908E-3</v>
      </c>
    </row>
    <row r="80" spans="2:11">
      <c r="B80" s="212" t="s">
        <v>109</v>
      </c>
      <c r="C80" s="217">
        <v>32156874.161993988</v>
      </c>
      <c r="D80" s="217">
        <v>403042644.61461008</v>
      </c>
      <c r="E80" s="218">
        <f t="shared" si="0"/>
        <v>435199518.77660406</v>
      </c>
      <c r="F80" s="219">
        <f t="shared" si="3"/>
        <v>-7.1677378658856483E-3</v>
      </c>
      <c r="G80" s="103"/>
      <c r="H80" s="226">
        <v>1.113772</v>
      </c>
      <c r="I80" s="214">
        <f t="shared" si="1"/>
        <v>361871769.63921708</v>
      </c>
      <c r="J80" s="214">
        <f t="shared" si="2"/>
        <v>394028643.80121106</v>
      </c>
      <c r="K80" s="123">
        <f t="shared" si="4"/>
        <v>-4.7993053684993736E-3</v>
      </c>
    </row>
    <row r="81" spans="2:11">
      <c r="B81" s="212" t="s">
        <v>110</v>
      </c>
      <c r="C81" s="217">
        <v>26833704.009639334</v>
      </c>
      <c r="D81" s="217">
        <v>403376897.31434256</v>
      </c>
      <c r="E81" s="218">
        <f t="shared" si="0"/>
        <v>430210601.32398188</v>
      </c>
      <c r="F81" s="219">
        <f t="shared" si="3"/>
        <v>-1.1463517851873051E-2</v>
      </c>
      <c r="G81" s="103"/>
      <c r="H81" s="225">
        <v>1.1198840000000001</v>
      </c>
      <c r="I81" s="214">
        <f t="shared" si="1"/>
        <v>360195249.96726674</v>
      </c>
      <c r="J81" s="214">
        <f t="shared" si="2"/>
        <v>387028953.97690606</v>
      </c>
      <c r="K81" s="123">
        <f t="shared" si="4"/>
        <v>-1.7764418740675025E-2</v>
      </c>
    </row>
    <row r="82" spans="2:11">
      <c r="B82" s="212" t="s">
        <v>111</v>
      </c>
      <c r="C82" s="217">
        <v>21774647.933528353</v>
      </c>
      <c r="D82" s="217">
        <v>403381550.26528585</v>
      </c>
      <c r="E82" s="218">
        <f t="shared" si="0"/>
        <v>425156198.19881421</v>
      </c>
      <c r="F82" s="219">
        <f t="shared" si="3"/>
        <v>-1.1748671719415182E-2</v>
      </c>
      <c r="G82" s="103"/>
      <c r="H82" s="226">
        <v>1.117756</v>
      </c>
      <c r="I82" s="214">
        <f t="shared" si="1"/>
        <v>360885157.64199507</v>
      </c>
      <c r="J82" s="214">
        <f t="shared" si="2"/>
        <v>382659805.57552344</v>
      </c>
      <c r="K82" s="123">
        <f t="shared" si="4"/>
        <v>-1.1288944551790081E-2</v>
      </c>
    </row>
    <row r="83" spans="2:11">
      <c r="B83" s="212" t="s">
        <v>112</v>
      </c>
      <c r="C83" s="217">
        <v>18534185.774666592</v>
      </c>
      <c r="D83" s="217">
        <v>404226159.85746312</v>
      </c>
      <c r="E83" s="218">
        <f t="shared" ref="E83:E146" si="5">C83+D83</f>
        <v>422760345.63212973</v>
      </c>
      <c r="F83" s="219">
        <f t="shared" si="3"/>
        <v>-5.6352290683625572E-3</v>
      </c>
      <c r="G83" s="103"/>
      <c r="H83" s="225">
        <v>1.120511</v>
      </c>
      <c r="I83" s="214">
        <f t="shared" ref="I83:I146" si="6">D83/H83</f>
        <v>360751621.23126245</v>
      </c>
      <c r="J83" s="214">
        <f t="shared" ref="J83:J146" si="7">C83+I83</f>
        <v>379285807.00592905</v>
      </c>
      <c r="K83" s="123">
        <f t="shared" si="4"/>
        <v>-8.817227522811999E-3</v>
      </c>
    </row>
    <row r="84" spans="2:11">
      <c r="B84" s="212" t="s">
        <v>113</v>
      </c>
      <c r="C84" s="217">
        <v>33558748.824839763</v>
      </c>
      <c r="D84" s="217">
        <v>403459561.97727776</v>
      </c>
      <c r="E84" s="218">
        <f t="shared" si="5"/>
        <v>437018310.80211753</v>
      </c>
      <c r="F84" s="219">
        <f t="shared" ref="F84:F147" si="8">(E84/E83)-1</f>
        <v>3.3725881145897585E-2</v>
      </c>
      <c r="G84" s="103"/>
      <c r="H84" s="226">
        <v>1.119132</v>
      </c>
      <c r="I84" s="214">
        <f t="shared" si="6"/>
        <v>360511147.90505296</v>
      </c>
      <c r="J84" s="214">
        <f t="shared" si="7"/>
        <v>394069896.72989273</v>
      </c>
      <c r="K84" s="123">
        <f t="shared" ref="K84:K147" si="9">(J84/J83)-1</f>
        <v>3.8978758105052247E-2</v>
      </c>
    </row>
    <row r="85" spans="2:11">
      <c r="B85" s="212" t="s">
        <v>114</v>
      </c>
      <c r="C85" s="217">
        <v>31092780.847117443</v>
      </c>
      <c r="D85" s="217">
        <v>403525485.08179891</v>
      </c>
      <c r="E85" s="218">
        <f t="shared" si="5"/>
        <v>434618265.92891634</v>
      </c>
      <c r="F85" s="219">
        <f t="shared" si="8"/>
        <v>-5.4918634159655255E-3</v>
      </c>
      <c r="G85" s="103"/>
      <c r="H85" s="225">
        <v>1.125176</v>
      </c>
      <c r="I85" s="214">
        <f t="shared" si="6"/>
        <v>358633213.89880246</v>
      </c>
      <c r="J85" s="214">
        <f t="shared" si="7"/>
        <v>389725994.74591988</v>
      </c>
      <c r="K85" s="123">
        <f t="shared" si="9"/>
        <v>-1.1023176395913103E-2</v>
      </c>
    </row>
    <row r="86" spans="2:11">
      <c r="B86" s="212" t="s">
        <v>115</v>
      </c>
      <c r="C86" s="217">
        <v>30781216.91753016</v>
      </c>
      <c r="D86" s="217">
        <v>403625949.058869</v>
      </c>
      <c r="E86" s="218">
        <f t="shared" si="5"/>
        <v>434407165.97639918</v>
      </c>
      <c r="F86" s="219">
        <f t="shared" si="8"/>
        <v>-4.8571348483472665E-4</v>
      </c>
      <c r="G86" s="103"/>
      <c r="H86" s="226">
        <v>1.1309020000000001</v>
      </c>
      <c r="I86" s="214">
        <f t="shared" si="6"/>
        <v>356906212.08457404</v>
      </c>
      <c r="J86" s="214">
        <f t="shared" si="7"/>
        <v>387687429.00210422</v>
      </c>
      <c r="K86" s="123">
        <f t="shared" si="9"/>
        <v>-5.2307666701696398E-3</v>
      </c>
    </row>
    <row r="87" spans="2:11">
      <c r="B87" s="212" t="s">
        <v>116</v>
      </c>
      <c r="C87" s="217">
        <v>34310340.026887216</v>
      </c>
      <c r="D87" s="217">
        <v>403459561.97727776</v>
      </c>
      <c r="E87" s="218">
        <f t="shared" si="5"/>
        <v>437769902.00416499</v>
      </c>
      <c r="F87" s="219">
        <f t="shared" si="8"/>
        <v>7.7409773390997305E-3</v>
      </c>
      <c r="G87" s="103"/>
      <c r="H87" s="225">
        <v>1.133273</v>
      </c>
      <c r="I87" s="214">
        <f t="shared" si="6"/>
        <v>356012683.59634244</v>
      </c>
      <c r="J87" s="214">
        <f t="shared" si="7"/>
        <v>390323023.62322968</v>
      </c>
      <c r="K87" s="123">
        <f t="shared" si="9"/>
        <v>6.7982462777020913E-3</v>
      </c>
    </row>
    <row r="88" spans="2:11">
      <c r="B88" s="212" t="s">
        <v>117</v>
      </c>
      <c r="C88" s="217">
        <v>18998647.045233358</v>
      </c>
      <c r="D88" s="217">
        <v>403727378.88300842</v>
      </c>
      <c r="E88" s="218">
        <f t="shared" si="5"/>
        <v>422726025.92824179</v>
      </c>
      <c r="F88" s="219">
        <f t="shared" si="8"/>
        <v>-3.4364802164448705E-2</v>
      </c>
      <c r="G88" s="103"/>
      <c r="H88" s="226">
        <v>1.141357</v>
      </c>
      <c r="I88" s="214">
        <f t="shared" si="6"/>
        <v>353725765.80597347</v>
      </c>
      <c r="J88" s="214">
        <f t="shared" si="7"/>
        <v>372724412.85120684</v>
      </c>
      <c r="K88" s="123">
        <f t="shared" si="9"/>
        <v>-4.5087298742106485E-2</v>
      </c>
    </row>
    <row r="89" spans="2:11">
      <c r="B89" s="212" t="s">
        <v>118</v>
      </c>
      <c r="C89" s="217">
        <v>38867136.156503156</v>
      </c>
      <c r="D89" s="217">
        <v>403631663.68168235</v>
      </c>
      <c r="E89" s="218">
        <f t="shared" si="5"/>
        <v>442498799.83818549</v>
      </c>
      <c r="F89" s="219">
        <f t="shared" si="8"/>
        <v>4.6774441830321978E-2</v>
      </c>
      <c r="G89" s="103"/>
      <c r="H89" s="225">
        <v>1.139926</v>
      </c>
      <c r="I89" s="214">
        <f t="shared" si="6"/>
        <v>354085847.39858758</v>
      </c>
      <c r="J89" s="214">
        <f t="shared" si="7"/>
        <v>392952983.55509073</v>
      </c>
      <c r="K89" s="123">
        <f t="shared" si="9"/>
        <v>5.4272191480946086E-2</v>
      </c>
    </row>
    <row r="90" spans="2:11">
      <c r="B90" s="212" t="s">
        <v>119</v>
      </c>
      <c r="C90" s="217">
        <v>24797070.761265568</v>
      </c>
      <c r="D90" s="217">
        <v>402051794.53561413</v>
      </c>
      <c r="E90" s="218">
        <f t="shared" si="5"/>
        <v>426848865.29687971</v>
      </c>
      <c r="F90" s="219">
        <f t="shared" si="8"/>
        <v>-3.5367179633094326E-2</v>
      </c>
      <c r="G90" s="103"/>
      <c r="H90" s="226">
        <v>1.136558</v>
      </c>
      <c r="I90" s="214">
        <f t="shared" si="6"/>
        <v>353745074.63377512</v>
      </c>
      <c r="J90" s="214">
        <f t="shared" si="7"/>
        <v>378542145.39504069</v>
      </c>
      <c r="K90" s="123">
        <f t="shared" si="9"/>
        <v>-3.6673186775866951E-2</v>
      </c>
    </row>
    <row r="91" spans="2:11">
      <c r="B91" s="212" t="s">
        <v>120</v>
      </c>
      <c r="C91" s="217">
        <v>18388180.025883168</v>
      </c>
      <c r="D91" s="217">
        <v>402896815.20397204</v>
      </c>
      <c r="E91" s="218">
        <f t="shared" si="5"/>
        <v>421284995.22985518</v>
      </c>
      <c r="F91" s="219">
        <f t="shared" si="8"/>
        <v>-1.3034754264029225E-2</v>
      </c>
      <c r="G91" s="103"/>
      <c r="H91" s="225">
        <v>1.13167</v>
      </c>
      <c r="I91" s="214">
        <f t="shared" si="6"/>
        <v>356019701.15313834</v>
      </c>
      <c r="J91" s="214">
        <f t="shared" si="7"/>
        <v>374407881.17902148</v>
      </c>
      <c r="K91" s="123">
        <f t="shared" si="9"/>
        <v>-1.0921542729950828E-2</v>
      </c>
    </row>
    <row r="92" spans="2:11">
      <c r="B92" s="212" t="s">
        <v>121</v>
      </c>
      <c r="C92" s="217">
        <v>37663197.333482981</v>
      </c>
      <c r="D92" s="217">
        <v>402976432.09952235</v>
      </c>
      <c r="E92" s="218">
        <f t="shared" si="5"/>
        <v>440639629.43300533</v>
      </c>
      <c r="F92" s="219">
        <f t="shared" si="8"/>
        <v>4.5941902565483472E-2</v>
      </c>
      <c r="G92" s="103"/>
      <c r="H92" s="226">
        <v>1.129497</v>
      </c>
      <c r="I92" s="214">
        <f t="shared" si="6"/>
        <v>356775123.88215494</v>
      </c>
      <c r="J92" s="214">
        <f t="shared" si="7"/>
        <v>394438321.21563792</v>
      </c>
      <c r="K92" s="123">
        <f t="shared" si="9"/>
        <v>5.3498980773428073E-2</v>
      </c>
    </row>
    <row r="93" spans="2:11">
      <c r="B93" s="212" t="s">
        <v>122</v>
      </c>
      <c r="C93" s="217">
        <v>23632821.136404809</v>
      </c>
      <c r="D93" s="217">
        <v>403727378.88300836</v>
      </c>
      <c r="E93" s="218">
        <f t="shared" si="5"/>
        <v>427360200.01941317</v>
      </c>
      <c r="F93" s="219">
        <f t="shared" si="8"/>
        <v>-3.0136711558784501E-2</v>
      </c>
      <c r="G93" s="103"/>
      <c r="H93" s="225">
        <v>1.1263160000000001</v>
      </c>
      <c r="I93" s="214">
        <f t="shared" si="6"/>
        <v>358449474.99903077</v>
      </c>
      <c r="J93" s="214">
        <f t="shared" si="7"/>
        <v>382082296.13543558</v>
      </c>
      <c r="K93" s="123">
        <f t="shared" si="9"/>
        <v>-3.1325620295010181E-2</v>
      </c>
    </row>
    <row r="94" spans="2:11">
      <c r="B94" s="212" t="s">
        <v>123</v>
      </c>
      <c r="C94" s="217">
        <v>24414757.249611445</v>
      </c>
      <c r="D94" s="217">
        <v>402964801.06167197</v>
      </c>
      <c r="E94" s="218">
        <f t="shared" si="5"/>
        <v>427379558.31128341</v>
      </c>
      <c r="F94" s="219">
        <f t="shared" si="8"/>
        <v>4.5297367114116582E-5</v>
      </c>
      <c r="G94" s="103"/>
      <c r="H94" s="226">
        <v>1.1350739999999999</v>
      </c>
      <c r="I94" s="214">
        <f t="shared" si="6"/>
        <v>355011920.86302036</v>
      </c>
      <c r="J94" s="214">
        <f t="shared" si="7"/>
        <v>379426678.1126318</v>
      </c>
      <c r="K94" s="123">
        <f t="shared" si="9"/>
        <v>-6.9503822858687503E-3</v>
      </c>
    </row>
    <row r="95" spans="2:11">
      <c r="B95" s="212" t="s">
        <v>124</v>
      </c>
      <c r="C95" s="217">
        <v>25433145.591730241</v>
      </c>
      <c r="D95" s="217">
        <v>403625949.058869</v>
      </c>
      <c r="E95" s="218">
        <f t="shared" si="5"/>
        <v>429059094.65059924</v>
      </c>
      <c r="F95" s="219">
        <f t="shared" si="8"/>
        <v>3.9298471502760002E-3</v>
      </c>
      <c r="G95" s="103"/>
      <c r="H95" s="225">
        <v>1.1323749999999999</v>
      </c>
      <c r="I95" s="214">
        <f t="shared" si="6"/>
        <v>356441946.4036817</v>
      </c>
      <c r="J95" s="214">
        <f t="shared" si="7"/>
        <v>381875091.99541193</v>
      </c>
      <c r="K95" s="123">
        <f t="shared" si="9"/>
        <v>6.4529302340023964E-3</v>
      </c>
    </row>
    <row r="96" spans="2:11">
      <c r="B96" s="212" t="s">
        <v>125</v>
      </c>
      <c r="C96" s="217">
        <v>29394885.709098991</v>
      </c>
      <c r="D96" s="217">
        <v>403454383.72632498</v>
      </c>
      <c r="E96" s="218">
        <f t="shared" si="5"/>
        <v>432849269.43542397</v>
      </c>
      <c r="F96" s="219">
        <f t="shared" si="8"/>
        <v>8.8336894196618942E-3</v>
      </c>
      <c r="G96" s="103"/>
      <c r="H96" s="226">
        <v>1.135267</v>
      </c>
      <c r="I96" s="214">
        <f t="shared" si="6"/>
        <v>355382816.31221992</v>
      </c>
      <c r="J96" s="214">
        <f t="shared" si="7"/>
        <v>384777702.02131891</v>
      </c>
      <c r="K96" s="123">
        <f t="shared" si="9"/>
        <v>7.6009409535982009E-3</v>
      </c>
    </row>
    <row r="97" spans="2:11">
      <c r="B97" s="212" t="s">
        <v>126</v>
      </c>
      <c r="C97" s="217">
        <v>29617837.538685009</v>
      </c>
      <c r="D97" s="217">
        <v>404299342.94076574</v>
      </c>
      <c r="E97" s="218">
        <f t="shared" si="5"/>
        <v>433917180.47945076</v>
      </c>
      <c r="F97" s="219">
        <f t="shared" si="8"/>
        <v>2.467166100152296E-3</v>
      </c>
      <c r="G97" s="103"/>
      <c r="H97" s="225">
        <v>1.1266970000000001</v>
      </c>
      <c r="I97" s="214">
        <f t="shared" si="6"/>
        <v>358835909.69068497</v>
      </c>
      <c r="J97" s="214">
        <f t="shared" si="7"/>
        <v>388453747.22937</v>
      </c>
      <c r="K97" s="123">
        <f t="shared" si="9"/>
        <v>9.5536856443085849E-3</v>
      </c>
    </row>
    <row r="98" spans="2:11">
      <c r="B98" s="212" t="s">
        <v>127</v>
      </c>
      <c r="C98" s="217">
        <v>27607619.761302758</v>
      </c>
      <c r="D98" s="217">
        <v>404299342.94076574</v>
      </c>
      <c r="E98" s="218">
        <f t="shared" si="5"/>
        <v>431906962.70206851</v>
      </c>
      <c r="F98" s="219">
        <f t="shared" si="8"/>
        <v>-4.632722251654342E-3</v>
      </c>
      <c r="G98" s="103"/>
      <c r="H98" s="226">
        <v>1.1265700000000001</v>
      </c>
      <c r="I98" s="214">
        <f t="shared" si="6"/>
        <v>358876361.82462317</v>
      </c>
      <c r="J98" s="214">
        <f t="shared" si="7"/>
        <v>386483981.58592594</v>
      </c>
      <c r="K98" s="123">
        <f t="shared" si="9"/>
        <v>-5.0707855375146105E-3</v>
      </c>
    </row>
    <row r="99" spans="2:11">
      <c r="B99" s="212" t="s">
        <v>128</v>
      </c>
      <c r="C99" s="217">
        <v>29577739.118735097</v>
      </c>
      <c r="D99" s="217">
        <v>404299342.94076574</v>
      </c>
      <c r="E99" s="218">
        <f t="shared" si="5"/>
        <v>433877082.05950081</v>
      </c>
      <c r="F99" s="219">
        <f t="shared" si="8"/>
        <v>4.5614438468575269E-3</v>
      </c>
      <c r="G99" s="103"/>
      <c r="H99" s="225">
        <v>1.118881</v>
      </c>
      <c r="I99" s="214">
        <f t="shared" si="6"/>
        <v>361342576.14595807</v>
      </c>
      <c r="J99" s="214">
        <f t="shared" si="7"/>
        <v>390920315.26469314</v>
      </c>
      <c r="K99" s="123">
        <f t="shared" si="9"/>
        <v>1.1478699998284103E-2</v>
      </c>
    </row>
    <row r="100" spans="2:11">
      <c r="B100" s="212" t="s">
        <v>129</v>
      </c>
      <c r="C100" s="217">
        <v>32630923.601374906</v>
      </c>
      <c r="D100" s="217">
        <v>403553121.82644397</v>
      </c>
      <c r="E100" s="218">
        <f t="shared" si="5"/>
        <v>436184045.42781889</v>
      </c>
      <c r="F100" s="219">
        <f t="shared" si="8"/>
        <v>5.3170897097571945E-3</v>
      </c>
      <c r="G100" s="103"/>
      <c r="H100" s="226">
        <v>1.130007</v>
      </c>
      <c r="I100" s="214">
        <f t="shared" si="6"/>
        <v>357124444.20826066</v>
      </c>
      <c r="J100" s="214">
        <f t="shared" si="7"/>
        <v>389755367.80963558</v>
      </c>
      <c r="K100" s="123">
        <f t="shared" si="9"/>
        <v>-2.9800125743497663E-3</v>
      </c>
    </row>
    <row r="101" spans="2:11">
      <c r="B101" s="212" t="s">
        <v>130</v>
      </c>
      <c r="C101" s="217">
        <v>31733447.577058699</v>
      </c>
      <c r="D101" s="217">
        <v>403721649.9731397</v>
      </c>
      <c r="E101" s="218">
        <f t="shared" si="5"/>
        <v>435455097.55019838</v>
      </c>
      <c r="F101" s="219">
        <f t="shared" si="8"/>
        <v>-1.6711933534973022E-3</v>
      </c>
      <c r="G101" s="103"/>
      <c r="H101" s="225">
        <v>1.1293690000000001</v>
      </c>
      <c r="I101" s="214">
        <f t="shared" si="6"/>
        <v>357475413.23795825</v>
      </c>
      <c r="J101" s="214">
        <f t="shared" si="7"/>
        <v>389208860.81501693</v>
      </c>
      <c r="K101" s="123">
        <f t="shared" si="9"/>
        <v>-1.4021795201690779E-3</v>
      </c>
    </row>
    <row r="102" spans="2:11">
      <c r="B102" s="212" t="s">
        <v>131</v>
      </c>
      <c r="C102" s="217">
        <v>29584689.492431235</v>
      </c>
      <c r="D102" s="217">
        <v>403812548.53258932</v>
      </c>
      <c r="E102" s="218">
        <f t="shared" si="5"/>
        <v>433397238.02502054</v>
      </c>
      <c r="F102" s="219">
        <f t="shared" si="8"/>
        <v>-4.7257674482513723E-3</v>
      </c>
      <c r="G102" s="103"/>
      <c r="H102" s="226">
        <v>1.133723</v>
      </c>
      <c r="I102" s="214">
        <f t="shared" si="6"/>
        <v>356182725.87976897</v>
      </c>
      <c r="J102" s="214">
        <f t="shared" si="7"/>
        <v>385767415.37220019</v>
      </c>
      <c r="K102" s="123">
        <f t="shared" si="9"/>
        <v>-8.8421559458081722E-3</v>
      </c>
    </row>
    <row r="103" spans="2:11">
      <c r="B103" s="212" t="s">
        <v>132</v>
      </c>
      <c r="C103" s="217">
        <v>30775032.911631253</v>
      </c>
      <c r="D103" s="217">
        <v>404484143.24883282</v>
      </c>
      <c r="E103" s="218">
        <f t="shared" si="5"/>
        <v>435259176.16046405</v>
      </c>
      <c r="F103" s="219">
        <f t="shared" si="8"/>
        <v>4.2961467496385186E-3</v>
      </c>
      <c r="G103" s="103"/>
      <c r="H103" s="225">
        <v>1.128987</v>
      </c>
      <c r="I103" s="214">
        <f t="shared" si="6"/>
        <v>358271745.59922552</v>
      </c>
      <c r="J103" s="214">
        <f t="shared" si="7"/>
        <v>389046778.51085675</v>
      </c>
      <c r="K103" s="123">
        <f t="shared" si="9"/>
        <v>8.5008816400227172E-3</v>
      </c>
    </row>
    <row r="104" spans="2:11">
      <c r="B104" s="212" t="s">
        <v>133</v>
      </c>
      <c r="C104" s="217">
        <v>30546707.631627742</v>
      </c>
      <c r="D104" s="217">
        <v>404586534.49311978</v>
      </c>
      <c r="E104" s="218">
        <f t="shared" si="5"/>
        <v>435133242.12474751</v>
      </c>
      <c r="F104" s="219">
        <f t="shared" si="8"/>
        <v>-2.8933114478468802E-4</v>
      </c>
      <c r="G104" s="103"/>
      <c r="H104" s="226">
        <v>1.12619</v>
      </c>
      <c r="I104" s="214">
        <f t="shared" si="6"/>
        <v>359252465.83002847</v>
      </c>
      <c r="J104" s="214">
        <f t="shared" si="7"/>
        <v>389799173.46165621</v>
      </c>
      <c r="K104" s="123">
        <f t="shared" si="9"/>
        <v>1.9339446882953304E-3</v>
      </c>
    </row>
    <row r="105" spans="2:11">
      <c r="B105" s="212" t="s">
        <v>134</v>
      </c>
      <c r="C105" s="217">
        <v>34495269.546722502</v>
      </c>
      <c r="D105" s="217">
        <v>404569312.89841378</v>
      </c>
      <c r="E105" s="218">
        <f t="shared" si="5"/>
        <v>439064582.44513631</v>
      </c>
      <c r="F105" s="219">
        <f t="shared" si="8"/>
        <v>9.0347965629840044E-3</v>
      </c>
      <c r="G105" s="103"/>
      <c r="H105" s="225">
        <v>1.1266970000000001</v>
      </c>
      <c r="I105" s="214">
        <f t="shared" si="6"/>
        <v>359075521.54520136</v>
      </c>
      <c r="J105" s="214">
        <f t="shared" si="7"/>
        <v>393570791.09192383</v>
      </c>
      <c r="K105" s="123">
        <f t="shared" si="9"/>
        <v>9.6757968899043867E-3</v>
      </c>
    </row>
    <row r="106" spans="2:11">
      <c r="B106" s="212" t="s">
        <v>135</v>
      </c>
      <c r="C106" s="217">
        <v>30316322.961296435</v>
      </c>
      <c r="D106" s="217">
        <v>404489696.00286341</v>
      </c>
      <c r="E106" s="218">
        <f t="shared" si="5"/>
        <v>434806018.96415985</v>
      </c>
      <c r="F106" s="219">
        <f t="shared" si="8"/>
        <v>-9.699173313549192E-3</v>
      </c>
      <c r="G106" s="103"/>
      <c r="H106" s="226">
        <v>1.131926</v>
      </c>
      <c r="I106" s="214">
        <f t="shared" si="6"/>
        <v>357346413.10727328</v>
      </c>
      <c r="J106" s="214">
        <f t="shared" si="7"/>
        <v>387662736.06856972</v>
      </c>
      <c r="K106" s="123">
        <f t="shared" si="9"/>
        <v>-1.5011416388301502E-2</v>
      </c>
    </row>
    <row r="107" spans="2:11">
      <c r="B107" s="212" t="s">
        <v>136</v>
      </c>
      <c r="C107" s="217">
        <v>30028131.988796461</v>
      </c>
      <c r="D107" s="217">
        <v>404216326.34310222</v>
      </c>
      <c r="E107" s="218">
        <f t="shared" si="5"/>
        <v>434244458.33189869</v>
      </c>
      <c r="F107" s="219">
        <f t="shared" si="8"/>
        <v>-1.2915199140963729E-3</v>
      </c>
      <c r="G107" s="103"/>
      <c r="H107" s="225">
        <v>1.1334660000000001</v>
      </c>
      <c r="I107" s="214">
        <f t="shared" si="6"/>
        <v>356619718.93563831</v>
      </c>
      <c r="J107" s="214">
        <f t="shared" si="7"/>
        <v>386647850.92443478</v>
      </c>
      <c r="K107" s="123">
        <f t="shared" si="9"/>
        <v>-2.6179589878234655E-3</v>
      </c>
    </row>
    <row r="108" spans="2:11">
      <c r="B108" s="212" t="s">
        <v>137</v>
      </c>
      <c r="C108" s="217">
        <v>28697544.983708259</v>
      </c>
      <c r="D108" s="217">
        <v>404309886.19226837</v>
      </c>
      <c r="E108" s="218">
        <f t="shared" si="5"/>
        <v>433007431.17597663</v>
      </c>
      <c r="F108" s="219">
        <f t="shared" si="8"/>
        <v>-2.8486884108410715E-3</v>
      </c>
      <c r="G108" s="103"/>
      <c r="H108" s="226">
        <v>1.136428</v>
      </c>
      <c r="I108" s="214">
        <f t="shared" si="6"/>
        <v>355772548.8920269</v>
      </c>
      <c r="J108" s="214">
        <f t="shared" si="7"/>
        <v>384470093.87573516</v>
      </c>
      <c r="K108" s="123">
        <f t="shared" si="9"/>
        <v>-5.6324043790566547E-3</v>
      </c>
    </row>
    <row r="109" spans="2:11">
      <c r="B109" s="212" t="s">
        <v>138</v>
      </c>
      <c r="C109" s="217">
        <v>28965496.862667661</v>
      </c>
      <c r="D109" s="217">
        <v>403721649.9731397</v>
      </c>
      <c r="E109" s="218">
        <f t="shared" si="5"/>
        <v>432687146.83580738</v>
      </c>
      <c r="F109" s="219">
        <f t="shared" si="8"/>
        <v>-7.3967400351404589E-4</v>
      </c>
      <c r="G109" s="103"/>
      <c r="H109" s="225">
        <v>1.144754</v>
      </c>
      <c r="I109" s="214">
        <f t="shared" si="6"/>
        <v>352671097.87180448</v>
      </c>
      <c r="J109" s="214">
        <f t="shared" si="7"/>
        <v>381636594.73447216</v>
      </c>
      <c r="K109" s="123">
        <f t="shared" si="9"/>
        <v>-7.3698817837800634E-3</v>
      </c>
    </row>
    <row r="110" spans="2:11">
      <c r="B110" s="212" t="s">
        <v>139</v>
      </c>
      <c r="C110" s="217">
        <v>30432860.237383872</v>
      </c>
      <c r="D110" s="217">
        <v>403631663.68168235</v>
      </c>
      <c r="E110" s="218">
        <f t="shared" si="5"/>
        <v>434064523.91906619</v>
      </c>
      <c r="F110" s="219">
        <f t="shared" si="8"/>
        <v>3.1833094496367398E-3</v>
      </c>
      <c r="G110" s="103"/>
      <c r="H110" s="226">
        <v>1.1471180000000001</v>
      </c>
      <c r="I110" s="214">
        <f t="shared" si="6"/>
        <v>351865861.82213366</v>
      </c>
      <c r="J110" s="214">
        <f t="shared" si="7"/>
        <v>382298722.0595175</v>
      </c>
      <c r="K110" s="123">
        <f t="shared" si="9"/>
        <v>1.7349681193599142E-3</v>
      </c>
    </row>
    <row r="111" spans="2:11">
      <c r="B111" s="212" t="s">
        <v>140</v>
      </c>
      <c r="C111" s="217">
        <v>30235910.712030932</v>
      </c>
      <c r="D111" s="217">
        <v>403715747.84515786</v>
      </c>
      <c r="E111" s="218">
        <f t="shared" si="5"/>
        <v>433951658.55718881</v>
      </c>
      <c r="F111" s="219">
        <f t="shared" si="8"/>
        <v>-2.6001977968237444E-4</v>
      </c>
      <c r="G111" s="103"/>
      <c r="H111" s="225">
        <v>1.1425959999999999</v>
      </c>
      <c r="I111" s="214">
        <f t="shared" si="6"/>
        <v>353332015.73010749</v>
      </c>
      <c r="J111" s="214">
        <f t="shared" si="7"/>
        <v>383567926.44213843</v>
      </c>
      <c r="K111" s="123">
        <f t="shared" si="9"/>
        <v>3.3199283946947489E-3</v>
      </c>
    </row>
    <row r="112" spans="2:11">
      <c r="B112" s="212" t="s">
        <v>141</v>
      </c>
      <c r="C112" s="217">
        <v>24534953.158342108</v>
      </c>
      <c r="D112" s="217">
        <v>404216326.34310222</v>
      </c>
      <c r="E112" s="218">
        <f t="shared" si="5"/>
        <v>428751279.50144434</v>
      </c>
      <c r="F112" s="219">
        <f t="shared" si="8"/>
        <v>-1.1983775043134526E-2</v>
      </c>
      <c r="G112" s="103"/>
      <c r="H112" s="226">
        <v>1.1569389999999999</v>
      </c>
      <c r="I112" s="214">
        <f t="shared" si="6"/>
        <v>349384303.18547672</v>
      </c>
      <c r="J112" s="214">
        <f t="shared" si="7"/>
        <v>373919256.34381884</v>
      </c>
      <c r="K112" s="123">
        <f t="shared" si="9"/>
        <v>-2.5155049296790244E-2</v>
      </c>
    </row>
    <row r="113" spans="2:11">
      <c r="B113" s="212" t="s">
        <v>142</v>
      </c>
      <c r="C113" s="217">
        <v>28825489.684431799</v>
      </c>
      <c r="D113" s="217">
        <v>404472512.21098232</v>
      </c>
      <c r="E113" s="218">
        <f t="shared" si="5"/>
        <v>433298001.89541411</v>
      </c>
      <c r="F113" s="219">
        <f t="shared" si="8"/>
        <v>1.0604568689000171E-2</v>
      </c>
      <c r="G113" s="103"/>
      <c r="H113" s="225">
        <v>1.1589499999999999</v>
      </c>
      <c r="I113" s="214">
        <f t="shared" si="6"/>
        <v>348999104.54375285</v>
      </c>
      <c r="J113" s="214">
        <f t="shared" si="7"/>
        <v>377824594.22818464</v>
      </c>
      <c r="K113" s="123">
        <f t="shared" si="9"/>
        <v>1.0444334754385665E-2</v>
      </c>
    </row>
    <row r="114" spans="2:11">
      <c r="B114" s="212" t="s">
        <v>143</v>
      </c>
      <c r="C114" s="217">
        <v>31759225.751887478</v>
      </c>
      <c r="D114" s="217">
        <v>405151077.86173642</v>
      </c>
      <c r="E114" s="218">
        <f t="shared" si="5"/>
        <v>436910303.61362392</v>
      </c>
      <c r="F114" s="219">
        <f t="shared" si="8"/>
        <v>8.3367606183462062E-3</v>
      </c>
      <c r="G114" s="103"/>
      <c r="H114" s="226">
        <v>1.1488309999999999</v>
      </c>
      <c r="I114" s="214">
        <f t="shared" si="6"/>
        <v>352663775.49155313</v>
      </c>
      <c r="J114" s="214">
        <f t="shared" si="7"/>
        <v>384423001.24344063</v>
      </c>
      <c r="K114" s="123">
        <f t="shared" si="9"/>
        <v>1.7464207243403918E-2</v>
      </c>
    </row>
    <row r="115" spans="2:11">
      <c r="B115" s="212" t="s">
        <v>144</v>
      </c>
      <c r="C115" s="217">
        <v>31080481.149440225</v>
      </c>
      <c r="D115" s="217">
        <v>405161987.25563717</v>
      </c>
      <c r="E115" s="218">
        <f t="shared" si="5"/>
        <v>436242468.4050774</v>
      </c>
      <c r="F115" s="219">
        <f t="shared" si="8"/>
        <v>-1.5285407623096825E-3</v>
      </c>
      <c r="G115" s="103"/>
      <c r="H115" s="225">
        <v>1.1564700000000001</v>
      </c>
      <c r="I115" s="214">
        <f t="shared" si="6"/>
        <v>350343707.36433899</v>
      </c>
      <c r="J115" s="214">
        <f t="shared" si="7"/>
        <v>381424188.51377922</v>
      </c>
      <c r="K115" s="123">
        <f t="shared" si="9"/>
        <v>-7.8008150395828535E-3</v>
      </c>
    </row>
    <row r="116" spans="2:11">
      <c r="B116" s="212" t="s">
        <v>145</v>
      </c>
      <c r="C116" s="217">
        <v>25755528.616599873</v>
      </c>
      <c r="D116" s="217">
        <v>405257719.43377113</v>
      </c>
      <c r="E116" s="218">
        <f t="shared" si="5"/>
        <v>431013248.05037099</v>
      </c>
      <c r="F116" s="219">
        <f t="shared" si="8"/>
        <v>-1.1986958477070542E-2</v>
      </c>
      <c r="G116" s="103"/>
      <c r="H116" s="226">
        <v>1.154002</v>
      </c>
      <c r="I116" s="214">
        <f t="shared" si="6"/>
        <v>351175924.68104142</v>
      </c>
      <c r="J116" s="214">
        <f t="shared" si="7"/>
        <v>376931453.29764128</v>
      </c>
      <c r="K116" s="123">
        <f t="shared" si="9"/>
        <v>-1.1778841907336579E-2</v>
      </c>
    </row>
    <row r="117" spans="2:11">
      <c r="B117" s="212" t="s">
        <v>146</v>
      </c>
      <c r="C117" s="217">
        <v>24267098.210174013</v>
      </c>
      <c r="D117" s="217">
        <v>405252345.81709296</v>
      </c>
      <c r="E117" s="218">
        <f t="shared" si="5"/>
        <v>429519444.02726698</v>
      </c>
      <c r="F117" s="219">
        <f t="shared" si="8"/>
        <v>-3.4657960743922356E-3</v>
      </c>
      <c r="G117" s="103"/>
      <c r="H117" s="225">
        <v>1.1514770000000001</v>
      </c>
      <c r="I117" s="214">
        <f t="shared" si="6"/>
        <v>351941329.10782665</v>
      </c>
      <c r="J117" s="214">
        <f t="shared" si="7"/>
        <v>376208427.31800067</v>
      </c>
      <c r="K117" s="123">
        <f t="shared" si="9"/>
        <v>-1.918189562890249E-3</v>
      </c>
    </row>
    <row r="118" spans="2:11">
      <c r="B118" s="212" t="s">
        <v>147</v>
      </c>
      <c r="C118" s="217">
        <v>17499875.799489312</v>
      </c>
      <c r="D118" s="217">
        <v>405167176.16751206</v>
      </c>
      <c r="E118" s="218">
        <f t="shared" si="5"/>
        <v>422667051.96700138</v>
      </c>
      <c r="F118" s="219">
        <f t="shared" si="8"/>
        <v>-1.5953624813852652E-2</v>
      </c>
      <c r="G118" s="103"/>
      <c r="H118" s="226">
        <v>1.154935</v>
      </c>
      <c r="I118" s="214">
        <f t="shared" si="6"/>
        <v>350813834.68984145</v>
      </c>
      <c r="J118" s="214">
        <f t="shared" si="7"/>
        <v>368313710.48933077</v>
      </c>
      <c r="K118" s="123">
        <f t="shared" si="9"/>
        <v>-2.0984954762846564E-2</v>
      </c>
    </row>
    <row r="119" spans="2:11">
      <c r="B119" s="212" t="s">
        <v>148</v>
      </c>
      <c r="C119" s="217">
        <v>27797922.595884286</v>
      </c>
      <c r="D119" s="217">
        <v>404495069.61954159</v>
      </c>
      <c r="E119" s="218">
        <f t="shared" si="5"/>
        <v>432292992.21542585</v>
      </c>
      <c r="F119" s="219">
        <f t="shared" si="8"/>
        <v>2.277428582054708E-2</v>
      </c>
      <c r="G119" s="103"/>
      <c r="H119" s="225">
        <v>1.154401</v>
      </c>
      <c r="I119" s="214">
        <f t="shared" si="6"/>
        <v>350393900.92311215</v>
      </c>
      <c r="J119" s="214">
        <f t="shared" si="7"/>
        <v>378191823.51899642</v>
      </c>
      <c r="K119" s="123">
        <f t="shared" si="9"/>
        <v>2.6819835233778955E-2</v>
      </c>
    </row>
    <row r="120" spans="2:11">
      <c r="B120" s="212" t="s">
        <v>149</v>
      </c>
      <c r="C120" s="217">
        <v>18417562.301793229</v>
      </c>
      <c r="D120" s="217">
        <v>405167176.16751206</v>
      </c>
      <c r="E120" s="218">
        <f t="shared" si="5"/>
        <v>423584738.46930528</v>
      </c>
      <c r="F120" s="219">
        <f t="shared" si="8"/>
        <v>-2.0144332438729373E-2</v>
      </c>
      <c r="G120" s="103"/>
      <c r="H120" s="226">
        <v>1.154401</v>
      </c>
      <c r="I120" s="214">
        <f t="shared" si="6"/>
        <v>350976113.29816246</v>
      </c>
      <c r="J120" s="214">
        <f t="shared" si="7"/>
        <v>369393675.59995568</v>
      </c>
      <c r="K120" s="123">
        <f t="shared" si="9"/>
        <v>-2.3263717965068098E-2</v>
      </c>
    </row>
    <row r="121" spans="2:11">
      <c r="B121" s="212" t="s">
        <v>150</v>
      </c>
      <c r="C121" s="217">
        <v>29522790.469725024</v>
      </c>
      <c r="D121" s="217">
        <v>404409534.09625864</v>
      </c>
      <c r="E121" s="218">
        <f t="shared" si="5"/>
        <v>433932324.56598365</v>
      </c>
      <c r="F121" s="219">
        <f t="shared" si="8"/>
        <v>2.4428609335811036E-2</v>
      </c>
      <c r="G121" s="103"/>
      <c r="H121" s="225">
        <v>1.1533359999999999</v>
      </c>
      <c r="I121" s="214">
        <f t="shared" si="6"/>
        <v>350643293.9717989</v>
      </c>
      <c r="J121" s="214">
        <f t="shared" si="7"/>
        <v>380166084.44152391</v>
      </c>
      <c r="K121" s="123">
        <f t="shared" si="9"/>
        <v>2.9162407353271691E-2</v>
      </c>
    </row>
    <row r="122" spans="2:11">
      <c r="B122" s="212" t="s">
        <v>151</v>
      </c>
      <c r="C122" s="217">
        <v>22590973.497064203</v>
      </c>
      <c r="D122" s="217">
        <v>405151077.86173642</v>
      </c>
      <c r="E122" s="218">
        <f t="shared" si="5"/>
        <v>427742051.35880065</v>
      </c>
      <c r="F122" s="219">
        <f t="shared" si="8"/>
        <v>-1.4265526803919237E-2</v>
      </c>
      <c r="G122" s="103"/>
      <c r="H122" s="226">
        <v>1.155602</v>
      </c>
      <c r="I122" s="214">
        <f t="shared" si="6"/>
        <v>350597418.3687259</v>
      </c>
      <c r="J122" s="214">
        <f t="shared" si="7"/>
        <v>373188391.86579013</v>
      </c>
      <c r="K122" s="123">
        <f t="shared" si="9"/>
        <v>-1.835432686212457E-2</v>
      </c>
    </row>
    <row r="123" spans="2:11">
      <c r="B123" s="212" t="s">
        <v>152</v>
      </c>
      <c r="C123" s="217">
        <v>29231534.669031132</v>
      </c>
      <c r="D123" s="217">
        <v>404740751.86393058</v>
      </c>
      <c r="E123" s="218">
        <f t="shared" si="5"/>
        <v>433972286.53296173</v>
      </c>
      <c r="F123" s="219">
        <f t="shared" si="8"/>
        <v>1.4565402570005936E-2</v>
      </c>
      <c r="G123" s="103"/>
      <c r="H123" s="225">
        <v>1.1559360000000001</v>
      </c>
      <c r="I123" s="214">
        <f t="shared" si="6"/>
        <v>350141142.6445154</v>
      </c>
      <c r="J123" s="214">
        <f t="shared" si="7"/>
        <v>379372677.31354654</v>
      </c>
      <c r="K123" s="123">
        <f t="shared" si="9"/>
        <v>1.6571483954357369E-2</v>
      </c>
    </row>
    <row r="124" spans="2:11">
      <c r="B124" s="212" t="s">
        <v>153</v>
      </c>
      <c r="C124" s="217">
        <v>26394894.833487637</v>
      </c>
      <c r="D124" s="217">
        <v>404733925.31925321</v>
      </c>
      <c r="E124" s="218">
        <f t="shared" si="5"/>
        <v>431128820.15274084</v>
      </c>
      <c r="F124" s="219">
        <f t="shared" si="8"/>
        <v>-6.5521842487629156E-3</v>
      </c>
      <c r="G124" s="103"/>
      <c r="H124" s="226">
        <v>1.1556690000000001</v>
      </c>
      <c r="I124" s="214">
        <f t="shared" si="6"/>
        <v>350216130.50038826</v>
      </c>
      <c r="J124" s="214">
        <f t="shared" si="7"/>
        <v>376611025.33387589</v>
      </c>
      <c r="K124" s="123">
        <f t="shared" si="9"/>
        <v>-7.2795226035431426E-3</v>
      </c>
    </row>
    <row r="125" spans="2:11">
      <c r="B125" s="212" t="s">
        <v>154</v>
      </c>
      <c r="C125" s="217">
        <v>27506568.307259995</v>
      </c>
      <c r="D125" s="217">
        <v>404827025.28417385</v>
      </c>
      <c r="E125" s="218">
        <f t="shared" si="5"/>
        <v>432333593.59143382</v>
      </c>
      <c r="F125" s="219">
        <f t="shared" si="8"/>
        <v>2.7944627739480143E-3</v>
      </c>
      <c r="G125" s="103"/>
      <c r="H125" s="225">
        <v>1.155869</v>
      </c>
      <c r="I125" s="214">
        <f t="shared" si="6"/>
        <v>350236078.03667527</v>
      </c>
      <c r="J125" s="214">
        <f t="shared" si="7"/>
        <v>377742646.34393525</v>
      </c>
      <c r="K125" s="123">
        <f t="shared" si="9"/>
        <v>3.0047474288787956E-3</v>
      </c>
    </row>
    <row r="126" spans="2:11">
      <c r="B126" s="212" t="s">
        <v>155</v>
      </c>
      <c r="C126" s="217">
        <v>30184112.43055407</v>
      </c>
      <c r="D126" s="217">
        <v>404921073.4690721</v>
      </c>
      <c r="E126" s="218">
        <f t="shared" si="5"/>
        <v>435105185.8996262</v>
      </c>
      <c r="F126" s="219">
        <f t="shared" si="8"/>
        <v>6.4107724897537466E-3</v>
      </c>
      <c r="G126" s="103"/>
      <c r="H126" s="226">
        <v>1.157073</v>
      </c>
      <c r="I126" s="214">
        <f t="shared" si="6"/>
        <v>349952918.67416501</v>
      </c>
      <c r="J126" s="214">
        <f t="shared" si="7"/>
        <v>380137031.1047191</v>
      </c>
      <c r="K126" s="123">
        <f t="shared" si="9"/>
        <v>6.3386667720959355E-3</v>
      </c>
    </row>
    <row r="127" spans="2:11">
      <c r="B127" s="212" t="s">
        <v>156</v>
      </c>
      <c r="C127" s="217">
        <v>4830816.1203762218</v>
      </c>
      <c r="D127" s="217">
        <v>405016081.61369252</v>
      </c>
      <c r="E127" s="218">
        <f t="shared" si="5"/>
        <v>409846897.73406875</v>
      </c>
      <c r="F127" s="219">
        <f t="shared" si="8"/>
        <v>-5.8050993148549224E-2</v>
      </c>
      <c r="G127" s="103"/>
      <c r="H127" s="225">
        <v>1.160026</v>
      </c>
      <c r="I127" s="214">
        <f t="shared" si="6"/>
        <v>349143968.8538813</v>
      </c>
      <c r="J127" s="214">
        <f t="shared" si="7"/>
        <v>353974784.97425753</v>
      </c>
      <c r="K127" s="123">
        <f t="shared" si="9"/>
        <v>-6.8823197925314661E-2</v>
      </c>
    </row>
    <row r="128" spans="2:11">
      <c r="B128" s="212" t="s">
        <v>157</v>
      </c>
      <c r="C128" s="217">
        <v>32578749.315914687</v>
      </c>
      <c r="D128" s="217">
        <v>404834053.85985279</v>
      </c>
      <c r="E128" s="218">
        <f t="shared" si="5"/>
        <v>437412803.17576748</v>
      </c>
      <c r="F128" s="219">
        <f t="shared" si="8"/>
        <v>6.7259031589852469E-2</v>
      </c>
      <c r="G128" s="103"/>
      <c r="H128" s="226">
        <v>1.158547</v>
      </c>
      <c r="I128" s="214">
        <f t="shared" si="6"/>
        <v>349432568.43257356</v>
      </c>
      <c r="J128" s="214">
        <f t="shared" si="7"/>
        <v>382011317.74848825</v>
      </c>
      <c r="K128" s="123">
        <f t="shared" si="9"/>
        <v>7.9204886800820162E-2</v>
      </c>
    </row>
    <row r="129" spans="2:11">
      <c r="B129" s="212" t="s">
        <v>158</v>
      </c>
      <c r="C129" s="217">
        <v>27785422.665889043</v>
      </c>
      <c r="D129" s="217">
        <v>404648389.79597032</v>
      </c>
      <c r="E129" s="218">
        <f t="shared" si="5"/>
        <v>432433812.46185935</v>
      </c>
      <c r="F129" s="219">
        <f t="shared" si="8"/>
        <v>-1.1382818879006162E-2</v>
      </c>
      <c r="G129" s="103"/>
      <c r="H129" s="225">
        <v>1.166385</v>
      </c>
      <c r="I129" s="214">
        <f t="shared" si="6"/>
        <v>346925234.63176423</v>
      </c>
      <c r="J129" s="214">
        <f t="shared" si="7"/>
        <v>374710657.29765326</v>
      </c>
      <c r="K129" s="123">
        <f t="shared" si="9"/>
        <v>-1.9111110356268668E-2</v>
      </c>
    </row>
    <row r="130" spans="2:11">
      <c r="B130" s="212" t="s">
        <v>159</v>
      </c>
      <c r="C130" s="217">
        <v>33654432.576107532</v>
      </c>
      <c r="D130" s="217">
        <v>402559559.99740422</v>
      </c>
      <c r="E130" s="218">
        <f t="shared" si="5"/>
        <v>436213992.57351172</v>
      </c>
      <c r="F130" s="219">
        <f t="shared" si="8"/>
        <v>8.7416386108469801E-3</v>
      </c>
      <c r="G130" s="103"/>
      <c r="H130" s="226">
        <v>1.165365</v>
      </c>
      <c r="I130" s="214">
        <f t="shared" si="6"/>
        <v>345436459.81937355</v>
      </c>
      <c r="J130" s="214">
        <f t="shared" si="7"/>
        <v>379090892.39548111</v>
      </c>
      <c r="K130" s="123">
        <f t="shared" si="9"/>
        <v>1.1689646431241929E-2</v>
      </c>
    </row>
    <row r="131" spans="2:11">
      <c r="B131" s="212" t="s">
        <v>160</v>
      </c>
      <c r="C131" s="217">
        <v>27387435.365931757</v>
      </c>
      <c r="D131" s="217">
        <v>402255644.50731832</v>
      </c>
      <c r="E131" s="218">
        <f t="shared" si="5"/>
        <v>429643079.87325007</v>
      </c>
      <c r="F131" s="219">
        <f t="shared" si="8"/>
        <v>-1.5063507388874742E-2</v>
      </c>
      <c r="G131" s="103"/>
      <c r="H131" s="225">
        <v>1.1637379999999999</v>
      </c>
      <c r="I131" s="214">
        <f t="shared" si="6"/>
        <v>345658253.4104054</v>
      </c>
      <c r="J131" s="214">
        <f t="shared" si="7"/>
        <v>373045688.77633715</v>
      </c>
      <c r="K131" s="123">
        <f t="shared" si="9"/>
        <v>-1.5946580992606374E-2</v>
      </c>
    </row>
    <row r="132" spans="2:11">
      <c r="B132" s="212" t="s">
        <v>161</v>
      </c>
      <c r="C132" s="217">
        <v>36198663.530137151</v>
      </c>
      <c r="D132" s="217">
        <v>402322051.58655167</v>
      </c>
      <c r="E132" s="218">
        <f t="shared" si="5"/>
        <v>438520715.11668885</v>
      </c>
      <c r="F132" s="219">
        <f t="shared" si="8"/>
        <v>2.0662814459988077E-2</v>
      </c>
      <c r="G132" s="103"/>
      <c r="H132" s="226">
        <v>1.165705</v>
      </c>
      <c r="I132" s="214">
        <f t="shared" si="6"/>
        <v>345131960.13275373</v>
      </c>
      <c r="J132" s="214">
        <f t="shared" si="7"/>
        <v>381330623.66289091</v>
      </c>
      <c r="K132" s="123">
        <f t="shared" si="9"/>
        <v>2.2208901311069784E-2</v>
      </c>
    </row>
    <row r="133" spans="2:11">
      <c r="B133" s="212" t="s">
        <v>162</v>
      </c>
      <c r="C133" s="217">
        <v>24634037.400908068</v>
      </c>
      <c r="D133" s="217">
        <v>401955427.39078647</v>
      </c>
      <c r="E133" s="218">
        <f t="shared" si="5"/>
        <v>426589464.79169452</v>
      </c>
      <c r="F133" s="219">
        <f t="shared" si="8"/>
        <v>-2.7207951446078127E-2</v>
      </c>
      <c r="G133" s="103"/>
      <c r="H133" s="225">
        <v>1.1680200000000001</v>
      </c>
      <c r="I133" s="214">
        <f t="shared" si="6"/>
        <v>344134028.0053308</v>
      </c>
      <c r="J133" s="214">
        <f t="shared" si="7"/>
        <v>368768065.40623885</v>
      </c>
      <c r="K133" s="123">
        <f t="shared" si="9"/>
        <v>-3.2944005744888094E-2</v>
      </c>
    </row>
    <row r="134" spans="2:11">
      <c r="B134" s="212" t="s">
        <v>163</v>
      </c>
      <c r="C134" s="217">
        <v>19359111.896030266</v>
      </c>
      <c r="D134" s="217">
        <v>401945002.05370903</v>
      </c>
      <c r="E134" s="218">
        <f t="shared" si="5"/>
        <v>421304113.94973928</v>
      </c>
      <c r="F134" s="219">
        <f t="shared" si="8"/>
        <v>-1.2389782866616517E-2</v>
      </c>
      <c r="G134" s="103"/>
      <c r="H134" s="226">
        <v>1.1644159999999999</v>
      </c>
      <c r="I134" s="214">
        <f t="shared" si="6"/>
        <v>345190208.70007718</v>
      </c>
      <c r="J134" s="214">
        <f t="shared" si="7"/>
        <v>364549320.59610742</v>
      </c>
      <c r="K134" s="123">
        <f t="shared" si="9"/>
        <v>-1.1440103430550574E-2</v>
      </c>
    </row>
    <row r="135" spans="2:11">
      <c r="B135" s="212" t="s">
        <v>164</v>
      </c>
      <c r="C135" s="217">
        <v>29924143.510462929</v>
      </c>
      <c r="D135" s="217">
        <v>401902938.34614134</v>
      </c>
      <c r="E135" s="218">
        <f t="shared" si="5"/>
        <v>431827081.85660428</v>
      </c>
      <c r="F135" s="219">
        <f t="shared" si="8"/>
        <v>2.4977130672216408E-2</v>
      </c>
      <c r="G135" s="103"/>
      <c r="H135" s="225">
        <v>1.171578</v>
      </c>
      <c r="I135" s="214">
        <f t="shared" si="6"/>
        <v>343044115.15591908</v>
      </c>
      <c r="J135" s="214">
        <f t="shared" si="7"/>
        <v>372968258.66638201</v>
      </c>
      <c r="K135" s="123">
        <f t="shared" si="9"/>
        <v>2.3094098917830985E-2</v>
      </c>
    </row>
    <row r="136" spans="2:11">
      <c r="B136" s="212" t="s">
        <v>165</v>
      </c>
      <c r="C136" s="217">
        <v>28572136.984582424</v>
      </c>
      <c r="D136" s="217">
        <v>402612971.87358886</v>
      </c>
      <c r="E136" s="218">
        <f t="shared" si="5"/>
        <v>431185108.85817128</v>
      </c>
      <c r="F136" s="219">
        <f t="shared" si="8"/>
        <v>-1.4866436715198494E-3</v>
      </c>
      <c r="G136" s="103"/>
      <c r="H136" s="226">
        <v>1.1755720000000001</v>
      </c>
      <c r="I136" s="214">
        <f t="shared" si="6"/>
        <v>342482614.31336308</v>
      </c>
      <c r="J136" s="214">
        <f t="shared" si="7"/>
        <v>371054751.2979455</v>
      </c>
      <c r="K136" s="123">
        <f t="shared" si="9"/>
        <v>-5.1304831549972008E-3</v>
      </c>
    </row>
    <row r="137" spans="2:11">
      <c r="B137" s="212" t="s">
        <v>166</v>
      </c>
      <c r="C137" s="217">
        <v>27309780.43773742</v>
      </c>
      <c r="D137" s="217">
        <v>402684513.13279259</v>
      </c>
      <c r="E137" s="218">
        <f t="shared" si="5"/>
        <v>429994293.57053</v>
      </c>
      <c r="F137" s="219">
        <f t="shared" si="8"/>
        <v>-2.7617263750010501E-3</v>
      </c>
      <c r="G137" s="103"/>
      <c r="H137" s="225">
        <v>1.183082</v>
      </c>
      <c r="I137" s="214">
        <f t="shared" si="6"/>
        <v>340369064.13316458</v>
      </c>
      <c r="J137" s="214">
        <f t="shared" si="7"/>
        <v>367678844.57090199</v>
      </c>
      <c r="K137" s="123">
        <f t="shared" si="9"/>
        <v>-9.0981363673006133E-3</v>
      </c>
    </row>
    <row r="138" spans="2:11">
      <c r="B138" s="212" t="s">
        <v>167</v>
      </c>
      <c r="C138" s="217">
        <v>25519863.496130813</v>
      </c>
      <c r="D138" s="217">
        <v>401782105.43365669</v>
      </c>
      <c r="E138" s="218">
        <f t="shared" si="5"/>
        <v>427301968.92978752</v>
      </c>
      <c r="F138" s="219">
        <f t="shared" si="8"/>
        <v>-6.2613031870407676E-3</v>
      </c>
      <c r="G138" s="103"/>
      <c r="H138" s="226">
        <v>1.1854659999999999</v>
      </c>
      <c r="I138" s="214">
        <f t="shared" si="6"/>
        <v>338923347.8089264</v>
      </c>
      <c r="J138" s="214">
        <f t="shared" si="7"/>
        <v>364443211.30505723</v>
      </c>
      <c r="K138" s="123">
        <f t="shared" si="9"/>
        <v>-8.800161645473259E-3</v>
      </c>
    </row>
    <row r="139" spans="2:11">
      <c r="B139" s="212" t="s">
        <v>168</v>
      </c>
      <c r="C139" s="217">
        <v>28951219.031274583</v>
      </c>
      <c r="D139" s="217">
        <v>402612971.87358886</v>
      </c>
      <c r="E139" s="218">
        <f t="shared" si="5"/>
        <v>431564190.90486342</v>
      </c>
      <c r="F139" s="219">
        <f t="shared" si="8"/>
        <v>9.9747304833417427E-3</v>
      </c>
      <c r="G139" s="103"/>
      <c r="H139" s="225">
        <v>1.187719</v>
      </c>
      <c r="I139" s="214">
        <f t="shared" si="6"/>
        <v>338979987.58425927</v>
      </c>
      <c r="J139" s="214">
        <f t="shared" si="7"/>
        <v>367931206.61553383</v>
      </c>
      <c r="K139" s="123">
        <f t="shared" si="9"/>
        <v>9.5707512234519676E-3</v>
      </c>
    </row>
    <row r="140" spans="2:11">
      <c r="B140" s="212" t="s">
        <v>169</v>
      </c>
      <c r="C140" s="217">
        <v>32445040.840078846</v>
      </c>
      <c r="D140" s="217">
        <v>402694938.46986997</v>
      </c>
      <c r="E140" s="218">
        <f t="shared" si="5"/>
        <v>435139979.3099488</v>
      </c>
      <c r="F140" s="219">
        <f t="shared" si="8"/>
        <v>8.2856466788590044E-3</v>
      </c>
      <c r="G140" s="103"/>
      <c r="H140" s="226">
        <v>1.1798709999999999</v>
      </c>
      <c r="I140" s="214">
        <f t="shared" si="6"/>
        <v>341304209.07867897</v>
      </c>
      <c r="J140" s="214">
        <f t="shared" si="7"/>
        <v>373749249.9187578</v>
      </c>
      <c r="K140" s="123">
        <f t="shared" si="9"/>
        <v>1.5812856312847234E-2</v>
      </c>
    </row>
    <row r="141" spans="2:11">
      <c r="B141" s="212" t="s">
        <v>170</v>
      </c>
      <c r="C141" s="217">
        <v>32885353.121448211</v>
      </c>
      <c r="D141" s="217">
        <v>403533101.2959494</v>
      </c>
      <c r="E141" s="218">
        <f t="shared" si="5"/>
        <v>436418454.41739762</v>
      </c>
      <c r="F141" s="219">
        <f t="shared" si="8"/>
        <v>2.9380777870060548E-3</v>
      </c>
      <c r="G141" s="103"/>
      <c r="H141" s="225">
        <v>1.1779949999999999</v>
      </c>
      <c r="I141" s="214">
        <f t="shared" si="6"/>
        <v>342559264.93401879</v>
      </c>
      <c r="J141" s="214">
        <f t="shared" si="7"/>
        <v>375444618.05546701</v>
      </c>
      <c r="K141" s="123">
        <f t="shared" si="9"/>
        <v>4.5361111415680444E-3</v>
      </c>
    </row>
    <row r="142" spans="2:11">
      <c r="B142" s="212" t="s">
        <v>171</v>
      </c>
      <c r="C142" s="217">
        <v>36056422.051257409</v>
      </c>
      <c r="D142" s="217">
        <v>401955427.39078653</v>
      </c>
      <c r="E142" s="218">
        <f t="shared" si="5"/>
        <v>438011849.44204396</v>
      </c>
      <c r="F142" s="219">
        <f t="shared" si="8"/>
        <v>3.6510716000162091E-3</v>
      </c>
      <c r="G142" s="103"/>
      <c r="H142" s="226">
        <v>1.1822429999999999</v>
      </c>
      <c r="I142" s="214">
        <f t="shared" si="6"/>
        <v>339993916.13296634</v>
      </c>
      <c r="J142" s="214">
        <f t="shared" si="7"/>
        <v>376050338.18422377</v>
      </c>
      <c r="K142" s="123">
        <f t="shared" si="9"/>
        <v>1.6133408221270518E-3</v>
      </c>
    </row>
    <row r="143" spans="2:11">
      <c r="B143" s="212" t="s">
        <v>172</v>
      </c>
      <c r="C143" s="217">
        <v>37365694.011621505</v>
      </c>
      <c r="D143" s="217">
        <v>402798433.83322287</v>
      </c>
      <c r="E143" s="218">
        <f t="shared" si="5"/>
        <v>440164127.84484434</v>
      </c>
      <c r="F143" s="219">
        <f t="shared" si="8"/>
        <v>4.9137446978706478E-3</v>
      </c>
      <c r="G143" s="103"/>
      <c r="H143" s="225">
        <v>1.179454</v>
      </c>
      <c r="I143" s="214">
        <f t="shared" si="6"/>
        <v>341512626.88771486</v>
      </c>
      <c r="J143" s="214">
        <f t="shared" si="7"/>
        <v>378878320.89933634</v>
      </c>
      <c r="K143" s="123">
        <f t="shared" si="9"/>
        <v>7.5202238316487424E-3</v>
      </c>
    </row>
    <row r="144" spans="2:11">
      <c r="B144" s="212" t="s">
        <v>173</v>
      </c>
      <c r="C144" s="217">
        <v>24785073.394465394</v>
      </c>
      <c r="D144" s="217">
        <v>403743700.52237415</v>
      </c>
      <c r="E144" s="218">
        <f t="shared" si="5"/>
        <v>428528773.91683954</v>
      </c>
      <c r="F144" s="219">
        <f t="shared" si="8"/>
        <v>-2.6434125799788544E-2</v>
      </c>
      <c r="G144" s="103"/>
      <c r="H144" s="226">
        <v>1.1759170000000001</v>
      </c>
      <c r="I144" s="214">
        <f t="shared" si="6"/>
        <v>343343705.82479388</v>
      </c>
      <c r="J144" s="214">
        <f t="shared" si="7"/>
        <v>368128779.21925926</v>
      </c>
      <c r="K144" s="123">
        <f t="shared" si="9"/>
        <v>-2.8372015729380085E-2</v>
      </c>
    </row>
    <row r="145" spans="2:11">
      <c r="B145" s="212" t="s">
        <v>174</v>
      </c>
      <c r="C145" s="217">
        <v>23634146.693776611</v>
      </c>
      <c r="D145" s="217">
        <v>403094776.38040137</v>
      </c>
      <c r="E145" s="218">
        <f t="shared" si="5"/>
        <v>426728923.07417798</v>
      </c>
      <c r="F145" s="219">
        <f t="shared" si="8"/>
        <v>-4.2000699887910775E-3</v>
      </c>
      <c r="G145" s="103"/>
      <c r="H145" s="225">
        <v>1.178898</v>
      </c>
      <c r="I145" s="214">
        <f t="shared" si="6"/>
        <v>341925065.93479788</v>
      </c>
      <c r="J145" s="214">
        <f t="shared" si="7"/>
        <v>365559212.62857449</v>
      </c>
      <c r="K145" s="123">
        <f t="shared" si="9"/>
        <v>-6.9800752772831709E-3</v>
      </c>
    </row>
    <row r="146" spans="2:11">
      <c r="B146" s="212" t="s">
        <v>175</v>
      </c>
      <c r="C146" s="217">
        <v>31361288.549552538</v>
      </c>
      <c r="D146" s="217">
        <v>403970457.84056449</v>
      </c>
      <c r="E146" s="218">
        <f t="shared" si="5"/>
        <v>435331746.39011705</v>
      </c>
      <c r="F146" s="219">
        <f t="shared" si="8"/>
        <v>2.0159925542341695E-2</v>
      </c>
      <c r="G146" s="103"/>
      <c r="H146" s="226">
        <v>1.1822429999999999</v>
      </c>
      <c r="I146" s="214">
        <f t="shared" si="6"/>
        <v>341698329.22721004</v>
      </c>
      <c r="J146" s="214">
        <f t="shared" si="7"/>
        <v>373059617.7767626</v>
      </c>
      <c r="K146" s="123">
        <f t="shared" si="9"/>
        <v>2.0517620371966583E-2</v>
      </c>
    </row>
    <row r="147" spans="2:11">
      <c r="B147" s="212" t="s">
        <v>176</v>
      </c>
      <c r="C147" s="217">
        <v>38096742.646156959</v>
      </c>
      <c r="D147" s="217">
        <v>403094776.38040137</v>
      </c>
      <c r="E147" s="218">
        <f t="shared" ref="E147:E210" si="10">C147+D147</f>
        <v>441191519.02655834</v>
      </c>
      <c r="F147" s="219">
        <f t="shared" si="8"/>
        <v>1.3460476257548537E-2</v>
      </c>
      <c r="G147" s="103"/>
      <c r="H147" s="225">
        <v>1.181265</v>
      </c>
      <c r="I147" s="214">
        <f t="shared" ref="I147:I210" si="11">D147/H147</f>
        <v>341239921.93148988</v>
      </c>
      <c r="J147" s="214">
        <f t="shared" ref="J147:J210" si="12">C147+I147</f>
        <v>379336664.57764685</v>
      </c>
      <c r="K147" s="123">
        <f t="shared" si="9"/>
        <v>1.6825854372263915E-2</v>
      </c>
    </row>
    <row r="148" spans="2:11">
      <c r="B148" s="212" t="s">
        <v>177</v>
      </c>
      <c r="C148" s="217">
        <v>37374049.100592971</v>
      </c>
      <c r="D148" s="217">
        <v>403072444.88305199</v>
      </c>
      <c r="E148" s="218">
        <f t="shared" si="10"/>
        <v>440446493.98364496</v>
      </c>
      <c r="F148" s="219">
        <f t="shared" ref="F148:F211" si="13">(E148/E147)-1</f>
        <v>-1.6886658305608204E-3</v>
      </c>
      <c r="G148" s="103"/>
      <c r="H148" s="226">
        <v>1.183082</v>
      </c>
      <c r="I148" s="214">
        <f t="shared" si="11"/>
        <v>340696963.42523342</v>
      </c>
      <c r="J148" s="214">
        <f t="shared" si="12"/>
        <v>378071012.52582639</v>
      </c>
      <c r="K148" s="123">
        <f t="shared" ref="K148:K211" si="14">(J148/J147)-1</f>
        <v>-3.3364875320702758E-3</v>
      </c>
    </row>
    <row r="149" spans="2:11">
      <c r="B149" s="212" t="s">
        <v>178</v>
      </c>
      <c r="C149" s="217">
        <v>24984787.279138923</v>
      </c>
      <c r="D149" s="217">
        <v>403026304.881163</v>
      </c>
      <c r="E149" s="218">
        <f t="shared" si="10"/>
        <v>428011092.16030192</v>
      </c>
      <c r="F149" s="219">
        <f t="shared" si="13"/>
        <v>-2.8233626543079704E-2</v>
      </c>
      <c r="G149" s="103"/>
      <c r="H149" s="225">
        <v>1.179454</v>
      </c>
      <c r="I149" s="214">
        <f t="shared" si="11"/>
        <v>341705827.34143341</v>
      </c>
      <c r="J149" s="214">
        <f t="shared" si="12"/>
        <v>366690614.62057233</v>
      </c>
      <c r="K149" s="123">
        <f t="shared" si="14"/>
        <v>-3.0101217835304617E-2</v>
      </c>
    </row>
    <row r="150" spans="2:11">
      <c r="B150" s="212" t="s">
        <v>179</v>
      </c>
      <c r="C150" s="217">
        <v>28522607.523318529</v>
      </c>
      <c r="D150" s="217">
        <v>403231066.44532323</v>
      </c>
      <c r="E150" s="218">
        <f t="shared" si="10"/>
        <v>431753673.96864176</v>
      </c>
      <c r="F150" s="219">
        <f t="shared" si="13"/>
        <v>8.7441234044891569E-3</v>
      </c>
      <c r="G150" s="103"/>
      <c r="H150" s="226">
        <v>1.1710290000000001</v>
      </c>
      <c r="I150" s="214">
        <f t="shared" si="11"/>
        <v>344339095.31303084</v>
      </c>
      <c r="J150" s="214">
        <f t="shared" si="12"/>
        <v>372861702.83634937</v>
      </c>
      <c r="K150" s="123">
        <f t="shared" si="14"/>
        <v>1.6829141433473804E-2</v>
      </c>
    </row>
    <row r="151" spans="2:11">
      <c r="B151" s="212" t="s">
        <v>180</v>
      </c>
      <c r="C151" s="217">
        <v>24284876.631095819</v>
      </c>
      <c r="D151" s="217">
        <v>404074249.52592671</v>
      </c>
      <c r="E151" s="218">
        <f t="shared" si="10"/>
        <v>428359126.15702254</v>
      </c>
      <c r="F151" s="219">
        <f t="shared" si="13"/>
        <v>-7.862232602254049E-3</v>
      </c>
      <c r="G151" s="103"/>
      <c r="H151" s="225">
        <v>1.17862</v>
      </c>
      <c r="I151" s="214">
        <f t="shared" si="11"/>
        <v>342836749.35596436</v>
      </c>
      <c r="J151" s="214">
        <f t="shared" si="12"/>
        <v>367121625.98706019</v>
      </c>
      <c r="K151" s="123">
        <f t="shared" si="14"/>
        <v>-1.539465385054184E-2</v>
      </c>
    </row>
    <row r="152" spans="2:11">
      <c r="B152" s="212" t="s">
        <v>181</v>
      </c>
      <c r="C152" s="217">
        <v>27713662.637437444</v>
      </c>
      <c r="D152" s="217">
        <v>403243150.05591583</v>
      </c>
      <c r="E152" s="218">
        <f t="shared" si="10"/>
        <v>430956812.6933533</v>
      </c>
      <c r="F152" s="219">
        <f t="shared" si="13"/>
        <v>6.0642726574675621E-3</v>
      </c>
      <c r="G152" s="103"/>
      <c r="H152" s="226">
        <v>1.1795929999999999</v>
      </c>
      <c r="I152" s="214">
        <f t="shared" si="11"/>
        <v>341849392.16824436</v>
      </c>
      <c r="J152" s="214">
        <f t="shared" si="12"/>
        <v>369563054.80568182</v>
      </c>
      <c r="K152" s="123">
        <f t="shared" si="14"/>
        <v>6.6501906883242867E-3</v>
      </c>
    </row>
    <row r="153" spans="2:11">
      <c r="B153" s="212" t="s">
        <v>182</v>
      </c>
      <c r="C153" s="217">
        <v>25388312.398800328</v>
      </c>
      <c r="D153" s="217">
        <v>404400296.27131462</v>
      </c>
      <c r="E153" s="218">
        <f t="shared" si="10"/>
        <v>429788608.67011493</v>
      </c>
      <c r="F153" s="219">
        <f t="shared" si="13"/>
        <v>-2.7107217912102355E-3</v>
      </c>
      <c r="G153" s="103"/>
      <c r="H153" s="225">
        <v>1.1798709999999999</v>
      </c>
      <c r="I153" s="214">
        <f t="shared" si="11"/>
        <v>342749585.56597686</v>
      </c>
      <c r="J153" s="214">
        <f t="shared" si="12"/>
        <v>368137897.96477717</v>
      </c>
      <c r="K153" s="123">
        <f t="shared" si="14"/>
        <v>-3.8563293120682518E-3</v>
      </c>
    </row>
    <row r="154" spans="2:11">
      <c r="B154" s="212" t="s">
        <v>183</v>
      </c>
      <c r="C154" s="217">
        <v>30570261.224607531</v>
      </c>
      <c r="D154" s="217">
        <v>403667959.18523502</v>
      </c>
      <c r="E154" s="218">
        <f t="shared" si="10"/>
        <v>434238220.40984255</v>
      </c>
      <c r="F154" s="219">
        <f t="shared" si="13"/>
        <v>1.0353023905161018E-2</v>
      </c>
      <c r="G154" s="103"/>
      <c r="H154" s="226">
        <v>1.187578</v>
      </c>
      <c r="I154" s="214">
        <f t="shared" si="11"/>
        <v>339908586.37094575</v>
      </c>
      <c r="J154" s="214">
        <f t="shared" si="12"/>
        <v>370478847.59555328</v>
      </c>
      <c r="K154" s="123">
        <f t="shared" si="14"/>
        <v>6.3588933487095378E-3</v>
      </c>
    </row>
    <row r="155" spans="2:11">
      <c r="B155" s="212" t="s">
        <v>184</v>
      </c>
      <c r="C155" s="217">
        <v>32862710.655356105</v>
      </c>
      <c r="D155" s="217">
        <v>404122846.98698497</v>
      </c>
      <c r="E155" s="218">
        <f t="shared" si="10"/>
        <v>436985557.64234108</v>
      </c>
      <c r="F155" s="219">
        <f t="shared" si="13"/>
        <v>6.3267973738136973E-3</v>
      </c>
      <c r="G155" s="103"/>
      <c r="H155" s="225">
        <v>1.1787589999999999</v>
      </c>
      <c r="I155" s="214">
        <f t="shared" si="11"/>
        <v>342837549.47956705</v>
      </c>
      <c r="J155" s="214">
        <f t="shared" si="12"/>
        <v>375700260.13492316</v>
      </c>
      <c r="K155" s="123">
        <f t="shared" si="14"/>
        <v>1.4093685977640602E-2</v>
      </c>
    </row>
    <row r="156" spans="2:11">
      <c r="B156" s="212" t="s">
        <v>185</v>
      </c>
      <c r="C156" s="217">
        <v>37950250.33632008</v>
      </c>
      <c r="D156" s="217">
        <v>404234924.04623789</v>
      </c>
      <c r="E156" s="218">
        <f t="shared" si="10"/>
        <v>442185174.38255799</v>
      </c>
      <c r="F156" s="219">
        <f t="shared" si="13"/>
        <v>1.1898829719385384E-2</v>
      </c>
      <c r="G156" s="103"/>
      <c r="H156" s="226">
        <v>1.1798709999999999</v>
      </c>
      <c r="I156" s="214">
        <f t="shared" si="11"/>
        <v>342609424.28980619</v>
      </c>
      <c r="J156" s="214">
        <f t="shared" si="12"/>
        <v>380559674.62612629</v>
      </c>
      <c r="K156" s="123">
        <f t="shared" si="14"/>
        <v>1.2934285670864298E-2</v>
      </c>
    </row>
    <row r="157" spans="2:11">
      <c r="B157" s="212" t="s">
        <v>186</v>
      </c>
      <c r="C157" s="217">
        <v>27961625.674801536</v>
      </c>
      <c r="D157" s="217">
        <v>404222836.8526957</v>
      </c>
      <c r="E157" s="218">
        <f t="shared" si="10"/>
        <v>432184462.52749723</v>
      </c>
      <c r="F157" s="219">
        <f t="shared" si="13"/>
        <v>-2.2616569786685359E-2</v>
      </c>
      <c r="G157" s="103"/>
      <c r="H157" s="225">
        <v>1.176609</v>
      </c>
      <c r="I157" s="214">
        <f t="shared" si="11"/>
        <v>343548992.78579009</v>
      </c>
      <c r="J157" s="214">
        <f t="shared" si="12"/>
        <v>371510618.46059161</v>
      </c>
      <c r="K157" s="123">
        <f t="shared" si="14"/>
        <v>-2.3778284376621772E-2</v>
      </c>
    </row>
    <row r="158" spans="2:11">
      <c r="B158" s="212" t="s">
        <v>187</v>
      </c>
      <c r="C158" s="217">
        <v>26577071.985667739</v>
      </c>
      <c r="D158" s="217">
        <v>403389486.13776994</v>
      </c>
      <c r="E158" s="218">
        <f t="shared" si="10"/>
        <v>429966558.1234377</v>
      </c>
      <c r="F158" s="219">
        <f t="shared" si="13"/>
        <v>-5.1318466913150562E-3</v>
      </c>
      <c r="G158" s="103"/>
      <c r="H158" s="226">
        <v>1.175019</v>
      </c>
      <c r="I158" s="214">
        <f t="shared" si="11"/>
        <v>343304649.65908629</v>
      </c>
      <c r="J158" s="214">
        <f t="shared" si="12"/>
        <v>369881721.64475405</v>
      </c>
      <c r="K158" s="123">
        <f t="shared" si="14"/>
        <v>-4.384522904317345E-3</v>
      </c>
    </row>
    <row r="159" spans="2:11">
      <c r="B159" s="212" t="s">
        <v>188</v>
      </c>
      <c r="C159" s="217">
        <v>31502742.366875615</v>
      </c>
      <c r="D159" s="217">
        <v>404234924.04623789</v>
      </c>
      <c r="E159" s="218">
        <f t="shared" si="10"/>
        <v>435737666.41311347</v>
      </c>
      <c r="F159" s="219">
        <f t="shared" si="13"/>
        <v>1.342222593976472E-2</v>
      </c>
      <c r="G159" s="103"/>
      <c r="H159" s="225">
        <v>1.17862</v>
      </c>
      <c r="I159" s="214">
        <f t="shared" si="11"/>
        <v>342973073.63377333</v>
      </c>
      <c r="J159" s="214">
        <f t="shared" si="12"/>
        <v>374475816.00064892</v>
      </c>
      <c r="K159" s="123">
        <f t="shared" si="14"/>
        <v>1.2420441690025319E-2</v>
      </c>
    </row>
    <row r="160" spans="2:11">
      <c r="B160" s="212" t="s">
        <v>189</v>
      </c>
      <c r="C160" s="217">
        <v>30527597.376208335</v>
      </c>
      <c r="D160" s="217">
        <v>404222836.8526957</v>
      </c>
      <c r="E160" s="218">
        <f t="shared" si="10"/>
        <v>434750434.22890401</v>
      </c>
      <c r="F160" s="219">
        <f t="shared" si="13"/>
        <v>-2.2656572068605607E-3</v>
      </c>
      <c r="G160" s="103"/>
      <c r="H160" s="226">
        <v>1.1784809999999999</v>
      </c>
      <c r="I160" s="214">
        <f t="shared" si="11"/>
        <v>343003270.18653309</v>
      </c>
      <c r="J160" s="214">
        <f t="shared" si="12"/>
        <v>373530867.5627414</v>
      </c>
      <c r="K160" s="123">
        <f t="shared" si="14"/>
        <v>-2.5233897558444296E-3</v>
      </c>
    </row>
    <row r="161" spans="2:11">
      <c r="B161" s="212" t="s">
        <v>190</v>
      </c>
      <c r="C161" s="217">
        <v>28654216.417943425</v>
      </c>
      <c r="D161" s="217">
        <v>403313036.01566154</v>
      </c>
      <c r="E161" s="218">
        <f t="shared" si="10"/>
        <v>431967252.43360496</v>
      </c>
      <c r="F161" s="219">
        <f t="shared" si="13"/>
        <v>-6.4017918699390552E-3</v>
      </c>
      <c r="G161" s="103"/>
      <c r="H161" s="225">
        <v>1.187648</v>
      </c>
      <c r="I161" s="214">
        <f t="shared" si="11"/>
        <v>339589706.72763437</v>
      </c>
      <c r="J161" s="214">
        <f t="shared" si="12"/>
        <v>368243923.14557779</v>
      </c>
      <c r="K161" s="123">
        <f t="shared" si="14"/>
        <v>-1.4153969260052079E-2</v>
      </c>
    </row>
    <row r="162" spans="2:11">
      <c r="B162" s="212" t="s">
        <v>191</v>
      </c>
      <c r="C162" s="217">
        <v>18023843.698980149</v>
      </c>
      <c r="D162" s="217">
        <v>404258702.9008975</v>
      </c>
      <c r="E162" s="218">
        <f t="shared" si="10"/>
        <v>422282546.59987766</v>
      </c>
      <c r="F162" s="219">
        <f t="shared" si="13"/>
        <v>-2.2420000079093727E-2</v>
      </c>
      <c r="G162" s="103"/>
      <c r="H162" s="226">
        <v>1.1865920000000001</v>
      </c>
      <c r="I162" s="214">
        <f t="shared" si="11"/>
        <v>340688882.86866713</v>
      </c>
      <c r="J162" s="214">
        <f t="shared" si="12"/>
        <v>358712726.56764728</v>
      </c>
      <c r="K162" s="123">
        <f t="shared" si="14"/>
        <v>-2.5882834661639653E-2</v>
      </c>
    </row>
    <row r="163" spans="2:11">
      <c r="B163" s="212" t="s">
        <v>192</v>
      </c>
      <c r="C163" s="217">
        <v>23666206.036287017</v>
      </c>
      <c r="D163" s="217">
        <v>404372420.24832672</v>
      </c>
      <c r="E163" s="218">
        <f t="shared" si="10"/>
        <v>428038626.28461373</v>
      </c>
      <c r="F163" s="219">
        <f t="shared" si="13"/>
        <v>1.363087281509201E-2</v>
      </c>
      <c r="G163" s="103"/>
      <c r="H163" s="225">
        <v>1.1811259999999999</v>
      </c>
      <c r="I163" s="214">
        <f t="shared" si="11"/>
        <v>342361797.34281248</v>
      </c>
      <c r="J163" s="214">
        <f t="shared" si="12"/>
        <v>366028003.37909949</v>
      </c>
      <c r="K163" s="123">
        <f t="shared" si="14"/>
        <v>2.0393134309587113E-2</v>
      </c>
    </row>
    <row r="164" spans="2:11">
      <c r="B164" s="212" t="s">
        <v>193</v>
      </c>
      <c r="C164" s="217">
        <v>30441895.620137457</v>
      </c>
      <c r="D164" s="217">
        <v>404463299.18886441</v>
      </c>
      <c r="E164" s="218">
        <f t="shared" si="10"/>
        <v>434905194.80900186</v>
      </c>
      <c r="F164" s="219">
        <f t="shared" si="13"/>
        <v>1.6041936644807242E-2</v>
      </c>
      <c r="G164" s="103"/>
      <c r="H164" s="226">
        <v>1.178342</v>
      </c>
      <c r="I164" s="214">
        <f t="shared" si="11"/>
        <v>343247800.03501904</v>
      </c>
      <c r="J164" s="214">
        <f t="shared" si="12"/>
        <v>373689695.65515649</v>
      </c>
      <c r="K164" s="123">
        <f t="shared" si="14"/>
        <v>2.0931983906492757E-2</v>
      </c>
    </row>
    <row r="165" spans="2:11">
      <c r="B165" s="212" t="s">
        <v>194</v>
      </c>
      <c r="C165" s="217">
        <v>25290965.539552618</v>
      </c>
      <c r="D165" s="217">
        <v>404360478.96733129</v>
      </c>
      <c r="E165" s="218">
        <f t="shared" si="10"/>
        <v>429651444.50688392</v>
      </c>
      <c r="F165" s="219">
        <f t="shared" si="13"/>
        <v>-1.2080219700353889E-2</v>
      </c>
      <c r="G165" s="103"/>
      <c r="H165" s="225">
        <v>1.1734340000000001</v>
      </c>
      <c r="I165" s="214">
        <f t="shared" si="11"/>
        <v>344595843.4537701</v>
      </c>
      <c r="J165" s="214">
        <f t="shared" si="12"/>
        <v>369886808.99332273</v>
      </c>
      <c r="K165" s="123">
        <f t="shared" si="14"/>
        <v>-1.0176589576992523E-2</v>
      </c>
    </row>
    <row r="166" spans="2:11">
      <c r="B166" s="212" t="s">
        <v>195</v>
      </c>
      <c r="C166" s="217">
        <v>24717661.260305401</v>
      </c>
      <c r="D166" s="217">
        <v>403477640.82491875</v>
      </c>
      <c r="E166" s="218">
        <f t="shared" si="10"/>
        <v>428195302.08522415</v>
      </c>
      <c r="F166" s="219">
        <f t="shared" si="13"/>
        <v>-3.3891249296996717E-3</v>
      </c>
      <c r="G166" s="103"/>
      <c r="H166" s="226">
        <v>1.1719889999999999</v>
      </c>
      <c r="I166" s="214">
        <f t="shared" si="11"/>
        <v>344267429.83502299</v>
      </c>
      <c r="J166" s="214">
        <f t="shared" si="12"/>
        <v>368985091.09532839</v>
      </c>
      <c r="K166" s="123">
        <f t="shared" si="14"/>
        <v>-2.4378211822380091E-3</v>
      </c>
    </row>
    <row r="167" spans="2:11">
      <c r="B167" s="212" t="s">
        <v>196</v>
      </c>
      <c r="C167" s="217">
        <v>30766443.886138003</v>
      </c>
      <c r="D167" s="217">
        <v>402601875.45085466</v>
      </c>
      <c r="E167" s="218">
        <f t="shared" si="10"/>
        <v>433368319.33699268</v>
      </c>
      <c r="F167" s="219">
        <f t="shared" si="13"/>
        <v>1.20809761960885E-2</v>
      </c>
      <c r="G167" s="103"/>
      <c r="H167" s="225">
        <v>1.1665209999999999</v>
      </c>
      <c r="I167" s="214">
        <f t="shared" si="11"/>
        <v>345130413.81240004</v>
      </c>
      <c r="J167" s="214">
        <f t="shared" si="12"/>
        <v>375896857.69853806</v>
      </c>
      <c r="K167" s="123">
        <f t="shared" si="14"/>
        <v>1.8731831637674556E-2</v>
      </c>
    </row>
    <row r="168" spans="2:11">
      <c r="B168" s="212" t="s">
        <v>197</v>
      </c>
      <c r="C168" s="217">
        <v>30313981.301053595</v>
      </c>
      <c r="D168" s="217">
        <v>403243150.05591583</v>
      </c>
      <c r="E168" s="218">
        <f t="shared" si="10"/>
        <v>433557131.35696942</v>
      </c>
      <c r="F168" s="219">
        <f t="shared" si="13"/>
        <v>4.3568487024070457E-4</v>
      </c>
      <c r="G168" s="103"/>
      <c r="H168" s="226">
        <v>1.1580109999999999</v>
      </c>
      <c r="I168" s="214">
        <f t="shared" si="11"/>
        <v>348220483.27340227</v>
      </c>
      <c r="J168" s="214">
        <f t="shared" si="12"/>
        <v>378534464.57445586</v>
      </c>
      <c r="K168" s="123">
        <f t="shared" si="14"/>
        <v>7.0168367250176278E-3</v>
      </c>
    </row>
    <row r="169" spans="2:11">
      <c r="B169" s="212" t="s">
        <v>198</v>
      </c>
      <c r="C169" s="217">
        <v>32751574.075051416</v>
      </c>
      <c r="D169" s="217">
        <v>403278559.36266392</v>
      </c>
      <c r="E169" s="218">
        <f t="shared" si="10"/>
        <v>436030133.43771535</v>
      </c>
      <c r="F169" s="219">
        <f t="shared" si="13"/>
        <v>5.7039820173314659E-3</v>
      </c>
      <c r="G169" s="103"/>
      <c r="H169" s="225">
        <v>1.1516090000000001</v>
      </c>
      <c r="I169" s="214">
        <f t="shared" si="11"/>
        <v>350187050.78083265</v>
      </c>
      <c r="J169" s="214">
        <f t="shared" si="12"/>
        <v>382938624.85588408</v>
      </c>
      <c r="K169" s="123">
        <f t="shared" si="14"/>
        <v>1.1634766959408349E-2</v>
      </c>
    </row>
    <row r="170" spans="2:11">
      <c r="B170" s="212" t="s">
        <v>199</v>
      </c>
      <c r="C170" s="217">
        <v>23179816.833769005</v>
      </c>
      <c r="D170" s="217">
        <v>403218864.60607684</v>
      </c>
      <c r="E170" s="218">
        <f t="shared" si="10"/>
        <v>426398681.43984586</v>
      </c>
      <c r="F170" s="219">
        <f t="shared" si="13"/>
        <v>-2.2088959590783164E-2</v>
      </c>
      <c r="G170" s="103"/>
      <c r="H170" s="226">
        <v>1.1480399999999999</v>
      </c>
      <c r="I170" s="214">
        <f t="shared" si="11"/>
        <v>351223707.01898617</v>
      </c>
      <c r="J170" s="214">
        <f t="shared" si="12"/>
        <v>374403523.85275519</v>
      </c>
      <c r="K170" s="123">
        <f t="shared" si="14"/>
        <v>-2.2288430701763229E-2</v>
      </c>
    </row>
    <row r="171" spans="2:11">
      <c r="B171" s="212" t="s">
        <v>200</v>
      </c>
      <c r="C171" s="217">
        <v>32347819.66831487</v>
      </c>
      <c r="D171" s="217">
        <v>402382591.76896101</v>
      </c>
      <c r="E171" s="218">
        <f t="shared" si="10"/>
        <v>434730411.43727589</v>
      </c>
      <c r="F171" s="219">
        <f t="shared" si="13"/>
        <v>1.9539764919759506E-2</v>
      </c>
      <c r="G171" s="103"/>
      <c r="H171" s="225">
        <v>1.158145</v>
      </c>
      <c r="I171" s="214">
        <f t="shared" si="11"/>
        <v>347437144.54490674</v>
      </c>
      <c r="J171" s="214">
        <f t="shared" si="12"/>
        <v>379784964.21322161</v>
      </c>
      <c r="K171" s="123">
        <f t="shared" si="14"/>
        <v>1.4373369954132187E-2</v>
      </c>
    </row>
    <row r="172" spans="2:11">
      <c r="B172" s="212" t="s">
        <v>201</v>
      </c>
      <c r="C172" s="217">
        <v>24525525.065608442</v>
      </c>
      <c r="D172" s="217">
        <v>403316601.96860623</v>
      </c>
      <c r="E172" s="218">
        <f t="shared" si="10"/>
        <v>427842127.03421468</v>
      </c>
      <c r="F172" s="219">
        <f t="shared" si="13"/>
        <v>-1.5844956372588759E-2</v>
      </c>
      <c r="G172" s="103"/>
      <c r="H172" s="226">
        <v>1.1554679999999999</v>
      </c>
      <c r="I172" s="214">
        <f t="shared" si="11"/>
        <v>349050429.75539458</v>
      </c>
      <c r="J172" s="214">
        <f t="shared" si="12"/>
        <v>373575954.82100302</v>
      </c>
      <c r="K172" s="123">
        <f t="shared" si="14"/>
        <v>-1.6348749890826908E-2</v>
      </c>
    </row>
    <row r="173" spans="2:11">
      <c r="B173" s="212" t="s">
        <v>202</v>
      </c>
      <c r="C173" s="217">
        <v>23153942.643387049</v>
      </c>
      <c r="D173" s="217">
        <v>403515051.61038673</v>
      </c>
      <c r="E173" s="218">
        <f t="shared" si="10"/>
        <v>426668994.25377381</v>
      </c>
      <c r="F173" s="219">
        <f t="shared" si="13"/>
        <v>-2.7419758511696424E-3</v>
      </c>
      <c r="G173" s="103"/>
      <c r="H173" s="225">
        <v>1.151742</v>
      </c>
      <c r="I173" s="214">
        <f t="shared" si="11"/>
        <v>350351946.53870982</v>
      </c>
      <c r="J173" s="214">
        <f t="shared" si="12"/>
        <v>373505889.18209684</v>
      </c>
      <c r="K173" s="123">
        <f t="shared" si="14"/>
        <v>-1.8755393114033847E-4</v>
      </c>
    </row>
    <row r="174" spans="2:11">
      <c r="B174" s="212" t="s">
        <v>203</v>
      </c>
      <c r="C174" s="217">
        <v>26633457.031750407</v>
      </c>
      <c r="D174" s="217">
        <v>404160522.94616997</v>
      </c>
      <c r="E174" s="218">
        <f t="shared" si="10"/>
        <v>430793979.97792035</v>
      </c>
      <c r="F174" s="219">
        <f t="shared" si="13"/>
        <v>9.66788254994011E-3</v>
      </c>
      <c r="G174" s="103"/>
      <c r="H174" s="226">
        <v>1.1562699999999999</v>
      </c>
      <c r="I174" s="214">
        <f t="shared" si="11"/>
        <v>349538189.99556333</v>
      </c>
      <c r="J174" s="214">
        <f t="shared" si="12"/>
        <v>376171647.02731371</v>
      </c>
      <c r="K174" s="123">
        <f t="shared" si="14"/>
        <v>7.1371239983775148E-3</v>
      </c>
    </row>
    <row r="175" spans="2:11">
      <c r="B175" s="212" t="s">
        <v>204</v>
      </c>
      <c r="C175" s="217">
        <v>26440681.592824385</v>
      </c>
      <c r="D175" s="217">
        <v>403988346.08369279</v>
      </c>
      <c r="E175" s="218">
        <f t="shared" si="10"/>
        <v>430429027.67651719</v>
      </c>
      <c r="F175" s="219">
        <f t="shared" si="13"/>
        <v>-8.4716202724532952E-4</v>
      </c>
      <c r="G175" s="103"/>
      <c r="H175" s="225">
        <v>1.1562030000000001</v>
      </c>
      <c r="I175" s="214">
        <f t="shared" si="11"/>
        <v>349409529.36784697</v>
      </c>
      <c r="J175" s="214">
        <f t="shared" si="12"/>
        <v>375850210.96067137</v>
      </c>
      <c r="K175" s="123">
        <f t="shared" si="14"/>
        <v>-8.5449307299600985E-4</v>
      </c>
    </row>
    <row r="176" spans="2:11">
      <c r="B176" s="212" t="s">
        <v>205</v>
      </c>
      <c r="C176" s="217">
        <v>30803008.932618078</v>
      </c>
      <c r="D176" s="217">
        <v>404898648.22210312</v>
      </c>
      <c r="E176" s="218">
        <f t="shared" si="10"/>
        <v>435701657.1547212</v>
      </c>
      <c r="F176" s="219">
        <f t="shared" si="13"/>
        <v>1.2249707011318334E-2</v>
      </c>
      <c r="G176" s="103"/>
      <c r="H176" s="226">
        <v>1.155735</v>
      </c>
      <c r="I176" s="214">
        <f t="shared" si="11"/>
        <v>350338657.41030872</v>
      </c>
      <c r="J176" s="214">
        <f t="shared" si="12"/>
        <v>381141666.3429268</v>
      </c>
      <c r="K176" s="123">
        <f t="shared" si="14"/>
        <v>1.4078628208643362E-2</v>
      </c>
    </row>
    <row r="177" spans="2:11">
      <c r="B177" s="212" t="s">
        <v>206</v>
      </c>
      <c r="C177" s="217">
        <v>19868122.920476314</v>
      </c>
      <c r="D177" s="217">
        <v>404727209.25658619</v>
      </c>
      <c r="E177" s="218">
        <f t="shared" si="10"/>
        <v>424595332.17706251</v>
      </c>
      <c r="F177" s="219">
        <f t="shared" si="13"/>
        <v>-2.5490664988943923E-2</v>
      </c>
      <c r="G177" s="103"/>
      <c r="H177" s="225">
        <v>1.172952</v>
      </c>
      <c r="I177" s="214">
        <f t="shared" si="11"/>
        <v>345050103.71829897</v>
      </c>
      <c r="J177" s="214">
        <f t="shared" si="12"/>
        <v>364918226.63877529</v>
      </c>
      <c r="K177" s="123">
        <f t="shared" si="14"/>
        <v>-4.2565379586588459E-2</v>
      </c>
    </row>
    <row r="178" spans="2:11">
      <c r="B178" s="212" t="s">
        <v>207</v>
      </c>
      <c r="C178" s="217">
        <v>26281791.543706492</v>
      </c>
      <c r="D178" s="217">
        <v>404074249.52592671</v>
      </c>
      <c r="E178" s="218">
        <f t="shared" si="10"/>
        <v>430356041.06963319</v>
      </c>
      <c r="F178" s="219">
        <f t="shared" si="13"/>
        <v>1.3567527610426788E-2</v>
      </c>
      <c r="G178" s="103"/>
      <c r="H178" s="226">
        <v>1.177926</v>
      </c>
      <c r="I178" s="214">
        <f t="shared" si="11"/>
        <v>343038738.87317771</v>
      </c>
      <c r="J178" s="214">
        <f t="shared" si="12"/>
        <v>369320530.41688418</v>
      </c>
      <c r="K178" s="123">
        <f t="shared" si="14"/>
        <v>1.2063808976213952E-2</v>
      </c>
    </row>
    <row r="179" spans="2:11">
      <c r="B179" s="212" t="s">
        <v>208</v>
      </c>
      <c r="C179" s="217">
        <v>28962888.235639583</v>
      </c>
      <c r="D179" s="217">
        <v>404727209.25658619</v>
      </c>
      <c r="E179" s="218">
        <f t="shared" si="10"/>
        <v>433690097.49222577</v>
      </c>
      <c r="F179" s="219">
        <f t="shared" si="13"/>
        <v>7.7472048825104611E-3</v>
      </c>
      <c r="G179" s="103"/>
      <c r="H179" s="225">
        <v>1.1638729999999999</v>
      </c>
      <c r="I179" s="214">
        <f t="shared" si="11"/>
        <v>347741728.91422534</v>
      </c>
      <c r="J179" s="214">
        <f t="shared" si="12"/>
        <v>376704617.14986491</v>
      </c>
      <c r="K179" s="123">
        <f t="shared" si="14"/>
        <v>1.9993707700586505E-2</v>
      </c>
    </row>
    <row r="180" spans="2:11">
      <c r="B180" s="212" t="s">
        <v>209</v>
      </c>
      <c r="C180" s="217">
        <v>35939430.954142913</v>
      </c>
      <c r="D180" s="217">
        <v>403855227.24374527</v>
      </c>
      <c r="E180" s="218">
        <f t="shared" si="10"/>
        <v>439794658.1978882</v>
      </c>
      <c r="F180" s="219">
        <f t="shared" si="13"/>
        <v>1.4075859100683985E-2</v>
      </c>
      <c r="G180" s="103"/>
      <c r="H180" s="226">
        <v>1.144034</v>
      </c>
      <c r="I180" s="214">
        <f t="shared" si="11"/>
        <v>353009811.98438621</v>
      </c>
      <c r="J180" s="214">
        <f t="shared" si="12"/>
        <v>388949242.93852913</v>
      </c>
      <c r="K180" s="123">
        <f t="shared" si="14"/>
        <v>3.250458112594079E-2</v>
      </c>
    </row>
    <row r="181" spans="2:11">
      <c r="B181" s="212" t="s">
        <v>210</v>
      </c>
      <c r="C181" s="217">
        <v>27794963.395782493</v>
      </c>
      <c r="D181" s="217">
        <v>403783214.71234596</v>
      </c>
      <c r="E181" s="218">
        <f t="shared" si="10"/>
        <v>431578178.10812843</v>
      </c>
      <c r="F181" s="219">
        <f t="shared" si="13"/>
        <v>-1.8682537262793897E-2</v>
      </c>
      <c r="G181" s="103"/>
      <c r="H181" s="225">
        <v>1.1360410000000001</v>
      </c>
      <c r="I181" s="214">
        <f t="shared" si="11"/>
        <v>355430142.67297214</v>
      </c>
      <c r="J181" s="214">
        <f t="shared" si="12"/>
        <v>383225106.06875461</v>
      </c>
      <c r="K181" s="123">
        <f t="shared" si="14"/>
        <v>-1.4716925083921972E-2</v>
      </c>
    </row>
    <row r="182" spans="2:11">
      <c r="B182" s="212" t="s">
        <v>211</v>
      </c>
      <c r="C182" s="217">
        <v>31066329.150178552</v>
      </c>
      <c r="D182" s="217">
        <v>403839972.40817833</v>
      </c>
      <c r="E182" s="218">
        <f t="shared" si="10"/>
        <v>434906301.55835688</v>
      </c>
      <c r="F182" s="219">
        <f t="shared" si="13"/>
        <v>7.7115193006691563E-3</v>
      </c>
      <c r="G182" s="103"/>
      <c r="H182" s="226">
        <v>1.1287320000000001</v>
      </c>
      <c r="I182" s="214">
        <f t="shared" si="11"/>
        <v>357781982.26698482</v>
      </c>
      <c r="J182" s="214">
        <f t="shared" si="12"/>
        <v>388848311.41716337</v>
      </c>
      <c r="K182" s="123">
        <f t="shared" si="14"/>
        <v>1.467337410665337E-2</v>
      </c>
    </row>
    <row r="183" spans="2:11">
      <c r="B183" s="212" t="s">
        <v>212</v>
      </c>
      <c r="C183" s="217">
        <v>28973224.083376169</v>
      </c>
      <c r="D183" s="217">
        <v>403192022.58427441</v>
      </c>
      <c r="E183" s="218">
        <f t="shared" si="10"/>
        <v>432165246.66765058</v>
      </c>
      <c r="F183" s="219">
        <f t="shared" si="13"/>
        <v>-6.3026331899183052E-3</v>
      </c>
      <c r="G183" s="103"/>
      <c r="H183" s="225">
        <v>1.1281589999999999</v>
      </c>
      <c r="I183" s="214">
        <f t="shared" si="11"/>
        <v>357389359.64192498</v>
      </c>
      <c r="J183" s="214">
        <f t="shared" si="12"/>
        <v>386362583.72530115</v>
      </c>
      <c r="K183" s="123">
        <f t="shared" si="14"/>
        <v>-6.3925382183169788E-3</v>
      </c>
    </row>
    <row r="184" spans="2:11">
      <c r="B184" s="212" t="s">
        <v>213</v>
      </c>
      <c r="C184" s="217">
        <v>31352780.369483203</v>
      </c>
      <c r="D184" s="217">
        <v>403937218.61205137</v>
      </c>
      <c r="E184" s="218">
        <f t="shared" si="10"/>
        <v>435289998.9815346</v>
      </c>
      <c r="F184" s="219">
        <f t="shared" si="13"/>
        <v>7.2304571873338386E-3</v>
      </c>
      <c r="G184" s="103"/>
      <c r="H184" s="226">
        <v>1.132439</v>
      </c>
      <c r="I184" s="214">
        <f t="shared" si="11"/>
        <v>356696668.52876967</v>
      </c>
      <c r="J184" s="214">
        <f t="shared" si="12"/>
        <v>388049448.89825284</v>
      </c>
      <c r="K184" s="123">
        <f t="shared" si="14"/>
        <v>4.3660158721554598E-3</v>
      </c>
    </row>
    <row r="185" spans="2:11">
      <c r="B185" s="212" t="s">
        <v>214</v>
      </c>
      <c r="C185" s="217">
        <v>24053863.415723708</v>
      </c>
      <c r="D185" s="217">
        <v>404000309.13747191</v>
      </c>
      <c r="E185" s="218">
        <f t="shared" si="10"/>
        <v>428054172.5531956</v>
      </c>
      <c r="F185" s="219">
        <f t="shared" si="13"/>
        <v>-1.6623001781040148E-2</v>
      </c>
      <c r="G185" s="103"/>
      <c r="H185" s="225">
        <v>1.136558</v>
      </c>
      <c r="I185" s="214">
        <f t="shared" si="11"/>
        <v>355459474.25249916</v>
      </c>
      <c r="J185" s="214">
        <f t="shared" si="12"/>
        <v>379513337.66822284</v>
      </c>
      <c r="K185" s="123">
        <f t="shared" si="14"/>
        <v>-2.199748319258199E-2</v>
      </c>
    </row>
    <row r="186" spans="2:11">
      <c r="B186" s="212" t="s">
        <v>215</v>
      </c>
      <c r="C186" s="217">
        <v>23231899.968356039</v>
      </c>
      <c r="D186" s="217">
        <v>404000309.13747191</v>
      </c>
      <c r="E186" s="218">
        <f t="shared" si="10"/>
        <v>427232209.10582793</v>
      </c>
      <c r="F186" s="219">
        <f t="shared" si="13"/>
        <v>-1.9202322978536523E-3</v>
      </c>
      <c r="G186" s="103"/>
      <c r="H186" s="226">
        <v>1.1314139999999999</v>
      </c>
      <c r="I186" s="214">
        <f t="shared" si="11"/>
        <v>357075578.99890929</v>
      </c>
      <c r="J186" s="214">
        <f t="shared" si="12"/>
        <v>380307478.96726531</v>
      </c>
      <c r="K186" s="123">
        <f t="shared" si="14"/>
        <v>2.092525400877232E-3</v>
      </c>
    </row>
    <row r="187" spans="2:11">
      <c r="B187" s="212" t="s">
        <v>216</v>
      </c>
      <c r="C187" s="217">
        <v>29471743.047989119</v>
      </c>
      <c r="D187" s="217">
        <v>403255113.10969496</v>
      </c>
      <c r="E187" s="218">
        <f t="shared" si="10"/>
        <v>432726856.15768409</v>
      </c>
      <c r="F187" s="219">
        <f t="shared" si="13"/>
        <v>1.2861031857490657E-2</v>
      </c>
      <c r="G187" s="103"/>
      <c r="H187" s="225">
        <v>1.1206370000000001</v>
      </c>
      <c r="I187" s="214">
        <f t="shared" si="11"/>
        <v>359844546.5478071</v>
      </c>
      <c r="J187" s="214">
        <f t="shared" si="12"/>
        <v>389316289.59579623</v>
      </c>
      <c r="K187" s="123">
        <f t="shared" si="14"/>
        <v>2.3688228937791544E-2</v>
      </c>
    </row>
    <row r="188" spans="2:11">
      <c r="B188" s="212" t="s">
        <v>217</v>
      </c>
      <c r="C188" s="217">
        <v>29174521.560706373</v>
      </c>
      <c r="D188" s="217">
        <v>403134058.79865158</v>
      </c>
      <c r="E188" s="218">
        <f t="shared" si="10"/>
        <v>432308580.35935795</v>
      </c>
      <c r="F188" s="219">
        <f t="shared" si="13"/>
        <v>-9.6660466614006957E-4</v>
      </c>
      <c r="G188" s="103"/>
      <c r="H188" s="226">
        <v>1.1243540000000001</v>
      </c>
      <c r="I188" s="214">
        <f t="shared" si="11"/>
        <v>358547271.40976202</v>
      </c>
      <c r="J188" s="214">
        <f t="shared" si="12"/>
        <v>387721792.9704684</v>
      </c>
      <c r="K188" s="123">
        <f t="shared" si="14"/>
        <v>-4.0956329543345715E-3</v>
      </c>
    </row>
    <row r="189" spans="2:11">
      <c r="B189" s="212" t="s">
        <v>218</v>
      </c>
      <c r="C189" s="217">
        <v>22041212.480078693</v>
      </c>
      <c r="D189" s="217">
        <v>403072444.88305199</v>
      </c>
      <c r="E189" s="218">
        <f t="shared" si="10"/>
        <v>425113657.36313069</v>
      </c>
      <c r="F189" s="219">
        <f t="shared" si="13"/>
        <v>-1.664302612325308E-2</v>
      </c>
      <c r="G189" s="103"/>
      <c r="H189" s="225">
        <v>1.125429</v>
      </c>
      <c r="I189" s="214">
        <f t="shared" si="11"/>
        <v>358150043.12404603</v>
      </c>
      <c r="J189" s="214">
        <f t="shared" si="12"/>
        <v>380191255.60412472</v>
      </c>
      <c r="K189" s="123">
        <f t="shared" si="14"/>
        <v>-1.9422527964316094E-2</v>
      </c>
    </row>
    <row r="190" spans="2:11">
      <c r="B190" s="212" t="s">
        <v>219</v>
      </c>
      <c r="C190" s="217">
        <v>29171306.321607422</v>
      </c>
      <c r="D190" s="217">
        <v>403988346.08369279</v>
      </c>
      <c r="E190" s="218">
        <f t="shared" si="10"/>
        <v>433159652.4053002</v>
      </c>
      <c r="F190" s="219">
        <f t="shared" si="13"/>
        <v>1.8926691492521686E-2</v>
      </c>
      <c r="G190" s="103"/>
      <c r="H190" s="226">
        <v>1.13103</v>
      </c>
      <c r="I190" s="214">
        <f t="shared" si="11"/>
        <v>357186233.86089915</v>
      </c>
      <c r="J190" s="214">
        <f t="shared" si="12"/>
        <v>386357540.18250656</v>
      </c>
      <c r="K190" s="123">
        <f t="shared" si="14"/>
        <v>1.6218901638291428E-2</v>
      </c>
    </row>
    <row r="191" spans="2:11">
      <c r="B191" s="212" t="s">
        <v>220</v>
      </c>
      <c r="C191" s="217">
        <v>30301524.220012978</v>
      </c>
      <c r="D191" s="217">
        <v>403134058.79865158</v>
      </c>
      <c r="E191" s="218">
        <f t="shared" si="10"/>
        <v>433435583.01866454</v>
      </c>
      <c r="F191" s="219">
        <f t="shared" si="13"/>
        <v>6.3701827220552509E-4</v>
      </c>
      <c r="G191" s="103"/>
      <c r="H191" s="225">
        <v>1.128223</v>
      </c>
      <c r="I191" s="214">
        <f t="shared" si="11"/>
        <v>357317710.06144315</v>
      </c>
      <c r="J191" s="214">
        <f t="shared" si="12"/>
        <v>387619234.28145611</v>
      </c>
      <c r="K191" s="123">
        <f t="shared" si="14"/>
        <v>3.2656127232655319E-3</v>
      </c>
    </row>
    <row r="192" spans="2:11">
      <c r="B192" s="212" t="s">
        <v>221</v>
      </c>
      <c r="C192" s="217">
        <v>26618805.038597323</v>
      </c>
      <c r="D192" s="217">
        <v>403891092.82351935</v>
      </c>
      <c r="E192" s="218">
        <f t="shared" si="10"/>
        <v>430509897.86211669</v>
      </c>
      <c r="F192" s="219">
        <f t="shared" si="13"/>
        <v>-6.7499883977496511E-3</v>
      </c>
      <c r="G192" s="103"/>
      <c r="H192" s="226">
        <v>1.116071</v>
      </c>
      <c r="I192" s="214">
        <f t="shared" si="11"/>
        <v>361886558.13431168</v>
      </c>
      <c r="J192" s="214">
        <f t="shared" si="12"/>
        <v>388505363.17290902</v>
      </c>
      <c r="K192" s="123">
        <f t="shared" si="14"/>
        <v>2.2860808058082771E-3</v>
      </c>
    </row>
    <row r="193" spans="2:11">
      <c r="B193" s="212" t="s">
        <v>222</v>
      </c>
      <c r="C193" s="217">
        <v>12412819.6305684</v>
      </c>
      <c r="D193" s="217">
        <v>403988346.08369279</v>
      </c>
      <c r="E193" s="218">
        <f t="shared" si="10"/>
        <v>416401165.71426117</v>
      </c>
      <c r="F193" s="219">
        <f t="shared" si="13"/>
        <v>-3.2772143492910466E-2</v>
      </c>
      <c r="G193" s="103"/>
      <c r="H193" s="225">
        <v>1.117194</v>
      </c>
      <c r="I193" s="214">
        <f t="shared" si="11"/>
        <v>361609842.23303455</v>
      </c>
      <c r="J193" s="214">
        <f t="shared" si="12"/>
        <v>374022661.86360294</v>
      </c>
      <c r="K193" s="123">
        <f t="shared" si="14"/>
        <v>-3.7277995832609379E-2</v>
      </c>
    </row>
    <row r="194" spans="2:11">
      <c r="B194" s="212" t="s">
        <v>223</v>
      </c>
      <c r="C194" s="217">
        <v>28087598.653218046</v>
      </c>
      <c r="D194" s="217">
        <v>403817640.91082895</v>
      </c>
      <c r="E194" s="218">
        <f t="shared" si="10"/>
        <v>431905239.56404698</v>
      </c>
      <c r="F194" s="219">
        <f t="shared" si="13"/>
        <v>3.7233502512394212E-2</v>
      </c>
      <c r="G194" s="103"/>
      <c r="H194" s="226">
        <v>1.1182559999999999</v>
      </c>
      <c r="I194" s="214">
        <f t="shared" si="11"/>
        <v>361113770.82781488</v>
      </c>
      <c r="J194" s="214">
        <f t="shared" si="12"/>
        <v>389201369.48103291</v>
      </c>
      <c r="K194" s="123">
        <f t="shared" si="14"/>
        <v>4.0582320712335029E-2</v>
      </c>
    </row>
    <row r="195" spans="2:11">
      <c r="B195" s="212" t="s">
        <v>224</v>
      </c>
      <c r="C195" s="217">
        <v>27070520.015999138</v>
      </c>
      <c r="D195" s="217">
        <v>403783214.71234596</v>
      </c>
      <c r="E195" s="218">
        <f t="shared" si="10"/>
        <v>430853734.7283451</v>
      </c>
      <c r="F195" s="219">
        <f t="shared" si="13"/>
        <v>-2.4345730020854939E-3</v>
      </c>
      <c r="G195" s="103"/>
      <c r="H195" s="225">
        <v>1.118881</v>
      </c>
      <c r="I195" s="214">
        <f t="shared" si="11"/>
        <v>360881286.49279588</v>
      </c>
      <c r="J195" s="214">
        <f t="shared" si="12"/>
        <v>387951806.50879502</v>
      </c>
      <c r="K195" s="123">
        <f t="shared" si="14"/>
        <v>-3.2105821567485204E-3</v>
      </c>
    </row>
    <row r="196" spans="2:11">
      <c r="B196" s="212" t="s">
        <v>225</v>
      </c>
      <c r="C196" s="217">
        <v>33424481.438998446</v>
      </c>
      <c r="D196" s="217">
        <v>403522449.16441357</v>
      </c>
      <c r="E196" s="218">
        <f t="shared" si="10"/>
        <v>436946930.60341203</v>
      </c>
      <c r="F196" s="219">
        <f t="shared" si="13"/>
        <v>1.4142144732501194E-2</v>
      </c>
      <c r="G196" s="103"/>
      <c r="H196" s="226">
        <v>1.111791</v>
      </c>
      <c r="I196" s="214">
        <f t="shared" si="11"/>
        <v>362948116.29561096</v>
      </c>
      <c r="J196" s="214">
        <f t="shared" si="12"/>
        <v>396372597.73460943</v>
      </c>
      <c r="K196" s="123">
        <f t="shared" si="14"/>
        <v>2.1705766243476754E-2</v>
      </c>
    </row>
    <row r="197" spans="2:11">
      <c r="B197" s="212" t="s">
        <v>226</v>
      </c>
      <c r="C197" s="217">
        <v>28103049.217417672</v>
      </c>
      <c r="D197" s="217">
        <v>403794810.84320843</v>
      </c>
      <c r="E197" s="218">
        <f t="shared" si="10"/>
        <v>431897860.06062609</v>
      </c>
      <c r="F197" s="219">
        <f t="shared" si="13"/>
        <v>-1.1555340452473972E-2</v>
      </c>
      <c r="G197" s="103"/>
      <c r="H197" s="225">
        <v>1.11402</v>
      </c>
      <c r="I197" s="214">
        <f t="shared" si="11"/>
        <v>362466392.74268723</v>
      </c>
      <c r="J197" s="214">
        <f t="shared" si="12"/>
        <v>390569441.96010488</v>
      </c>
      <c r="K197" s="123">
        <f t="shared" si="14"/>
        <v>-1.4640658329237111E-2</v>
      </c>
    </row>
    <row r="198" spans="2:11">
      <c r="B198" s="212" t="s">
        <v>227</v>
      </c>
      <c r="C198" s="217">
        <v>17595420.96130158</v>
      </c>
      <c r="D198" s="217">
        <v>403783214.71234596</v>
      </c>
      <c r="E198" s="218">
        <f t="shared" si="10"/>
        <v>421378635.67364752</v>
      </c>
      <c r="F198" s="219">
        <f t="shared" si="13"/>
        <v>-2.4355815019555749E-2</v>
      </c>
      <c r="G198" s="103"/>
      <c r="H198" s="226">
        <v>1.114765</v>
      </c>
      <c r="I198" s="214">
        <f t="shared" si="11"/>
        <v>362213753.31334043</v>
      </c>
      <c r="J198" s="214">
        <f t="shared" si="12"/>
        <v>379809174.27464199</v>
      </c>
      <c r="K198" s="123">
        <f t="shared" si="14"/>
        <v>-2.7550203701194875E-2</v>
      </c>
    </row>
    <row r="199" spans="2:11">
      <c r="B199" s="212" t="s">
        <v>228</v>
      </c>
      <c r="C199" s="217">
        <v>10945256.387688026</v>
      </c>
      <c r="D199" s="217">
        <v>403014475.65643883</v>
      </c>
      <c r="E199" s="218">
        <f t="shared" si="10"/>
        <v>413959732.04412687</v>
      </c>
      <c r="F199" s="219">
        <f t="shared" si="13"/>
        <v>-1.7606264298758889E-2</v>
      </c>
      <c r="G199" s="103"/>
      <c r="H199" s="225">
        <v>1.113648</v>
      </c>
      <c r="I199" s="214">
        <f t="shared" si="11"/>
        <v>361886768.22159141</v>
      </c>
      <c r="J199" s="214">
        <f t="shared" si="12"/>
        <v>372832024.60927945</v>
      </c>
      <c r="K199" s="123">
        <f t="shared" si="14"/>
        <v>-1.8370145162205365E-2</v>
      </c>
    </row>
    <row r="200" spans="2:11">
      <c r="B200" s="212" t="s">
        <v>229</v>
      </c>
      <c r="C200" s="217">
        <v>30788019.076441366</v>
      </c>
      <c r="D200" s="217">
        <v>402710871.36674511</v>
      </c>
      <c r="E200" s="218">
        <f t="shared" si="10"/>
        <v>433498890.44318646</v>
      </c>
      <c r="F200" s="219">
        <f t="shared" si="13"/>
        <v>4.7200625777235716E-2</v>
      </c>
      <c r="G200" s="103"/>
      <c r="H200" s="226">
        <v>1.111049</v>
      </c>
      <c r="I200" s="214">
        <f t="shared" si="11"/>
        <v>362460045.74662787</v>
      </c>
      <c r="J200" s="214">
        <f t="shared" si="12"/>
        <v>393248064.82306921</v>
      </c>
      <c r="K200" s="123">
        <f t="shared" si="14"/>
        <v>5.4759352379091908E-2</v>
      </c>
    </row>
    <row r="201" spans="2:11">
      <c r="B201" s="212" t="s">
        <v>230</v>
      </c>
      <c r="C201" s="217">
        <v>39824598.514866501</v>
      </c>
      <c r="D201" s="217">
        <v>402608272.57690704</v>
      </c>
      <c r="E201" s="218">
        <f t="shared" si="10"/>
        <v>442432871.09177351</v>
      </c>
      <c r="F201" s="219">
        <f t="shared" si="13"/>
        <v>2.0609004649247087E-2</v>
      </c>
      <c r="G201" s="103"/>
      <c r="H201" s="225">
        <v>1.109693</v>
      </c>
      <c r="I201" s="214">
        <f t="shared" si="11"/>
        <v>362810500.36082685</v>
      </c>
      <c r="J201" s="214">
        <f t="shared" si="12"/>
        <v>402635098.87569332</v>
      </c>
      <c r="K201" s="123">
        <f t="shared" si="14"/>
        <v>2.3870515565912687E-2</v>
      </c>
    </row>
    <row r="202" spans="2:11">
      <c r="B202" s="212" t="s">
        <v>231</v>
      </c>
      <c r="C202" s="217">
        <v>29359179.971676689</v>
      </c>
      <c r="D202" s="217">
        <v>401857429.48397624</v>
      </c>
      <c r="E202" s="218">
        <f t="shared" si="10"/>
        <v>431216609.45565295</v>
      </c>
      <c r="F202" s="219">
        <f t="shared" si="13"/>
        <v>-2.5351329815170964E-2</v>
      </c>
      <c r="G202" s="103"/>
      <c r="H202" s="226">
        <v>1.107113</v>
      </c>
      <c r="I202" s="214">
        <f t="shared" si="11"/>
        <v>362977789.51559258</v>
      </c>
      <c r="J202" s="214">
        <f t="shared" si="12"/>
        <v>392336969.48726928</v>
      </c>
      <c r="K202" s="123">
        <f t="shared" si="14"/>
        <v>-2.5576829782550603E-2</v>
      </c>
    </row>
    <row r="203" spans="2:11">
      <c r="B203" s="212" t="s">
        <v>232</v>
      </c>
      <c r="C203" s="217">
        <v>29734039.818777386</v>
      </c>
      <c r="D203" s="217">
        <v>401475807.3403275</v>
      </c>
      <c r="E203" s="218">
        <f t="shared" si="10"/>
        <v>431209847.15910488</v>
      </c>
      <c r="F203" s="219">
        <f t="shared" si="13"/>
        <v>-1.5681901855746361E-5</v>
      </c>
      <c r="G203" s="103"/>
      <c r="H203" s="225">
        <v>1.106134</v>
      </c>
      <c r="I203" s="214">
        <f t="shared" si="11"/>
        <v>362954042.94626826</v>
      </c>
      <c r="J203" s="214">
        <f t="shared" si="12"/>
        <v>392688082.76504564</v>
      </c>
      <c r="K203" s="123">
        <f t="shared" si="14"/>
        <v>8.9492784285716276E-4</v>
      </c>
    </row>
    <row r="204" spans="2:11">
      <c r="B204" s="212" t="s">
        <v>233</v>
      </c>
      <c r="C204" s="217">
        <v>27416848.176740415</v>
      </c>
      <c r="D204" s="217">
        <v>401553742.74000144</v>
      </c>
      <c r="E204" s="218">
        <f t="shared" si="10"/>
        <v>428970590.91674185</v>
      </c>
      <c r="F204" s="219">
        <f t="shared" si="13"/>
        <v>-5.1929617496346836E-3</v>
      </c>
      <c r="G204" s="103"/>
      <c r="H204" s="226">
        <v>1.1128420000000001</v>
      </c>
      <c r="I204" s="214">
        <f t="shared" si="11"/>
        <v>360836257.74368817</v>
      </c>
      <c r="J204" s="214">
        <f t="shared" si="12"/>
        <v>388253105.92042857</v>
      </c>
      <c r="K204" s="123">
        <f t="shared" si="14"/>
        <v>-1.1293892122696825E-2</v>
      </c>
    </row>
    <row r="205" spans="2:11">
      <c r="B205" s="212" t="s">
        <v>234</v>
      </c>
      <c r="C205" s="217">
        <v>29608338.3823209</v>
      </c>
      <c r="D205" s="217">
        <v>401652354.8930676</v>
      </c>
      <c r="E205" s="218">
        <f t="shared" si="10"/>
        <v>431260693.27538848</v>
      </c>
      <c r="F205" s="219">
        <f t="shared" si="13"/>
        <v>5.3385999113657601E-3</v>
      </c>
      <c r="G205" s="103"/>
      <c r="H205" s="225">
        <v>1.114827</v>
      </c>
      <c r="I205" s="214">
        <f t="shared" si="11"/>
        <v>360282227.55016482</v>
      </c>
      <c r="J205" s="214">
        <f t="shared" si="12"/>
        <v>389890565.9324857</v>
      </c>
      <c r="K205" s="123">
        <f t="shared" si="14"/>
        <v>4.2175065365548381E-3</v>
      </c>
    </row>
    <row r="206" spans="2:11">
      <c r="B206" s="212" t="s">
        <v>235</v>
      </c>
      <c r="C206" s="217">
        <v>34040325.454933435</v>
      </c>
      <c r="D206" s="217">
        <v>401772245.79117614</v>
      </c>
      <c r="E206" s="218">
        <f t="shared" si="10"/>
        <v>435812571.2461096</v>
      </c>
      <c r="F206" s="219">
        <f t="shared" si="13"/>
        <v>1.0554817635129332E-2</v>
      </c>
      <c r="G206" s="103"/>
      <c r="H206" s="226">
        <v>1.114641</v>
      </c>
      <c r="I206" s="214">
        <f t="shared" si="11"/>
        <v>360449907.89965212</v>
      </c>
      <c r="J206" s="214">
        <f t="shared" si="12"/>
        <v>394490233.35458553</v>
      </c>
      <c r="K206" s="123">
        <f t="shared" si="14"/>
        <v>1.1797329363686826E-2</v>
      </c>
    </row>
    <row r="207" spans="2:11">
      <c r="B207" s="212" t="s">
        <v>236</v>
      </c>
      <c r="C207" s="217">
        <v>33672850.508050375</v>
      </c>
      <c r="D207" s="217">
        <v>401821858.887555</v>
      </c>
      <c r="E207" s="218">
        <f t="shared" si="10"/>
        <v>435494709.39560539</v>
      </c>
      <c r="F207" s="219">
        <f t="shared" si="13"/>
        <v>-7.2935447822297661E-4</v>
      </c>
      <c r="G207" s="103"/>
      <c r="H207" s="225">
        <v>1.1180060000000001</v>
      </c>
      <c r="I207" s="214">
        <f t="shared" si="11"/>
        <v>359409393.94560939</v>
      </c>
      <c r="J207" s="214">
        <f t="shared" si="12"/>
        <v>393082244.45365977</v>
      </c>
      <c r="K207" s="123">
        <f t="shared" si="14"/>
        <v>-3.5691350048207005E-3</v>
      </c>
    </row>
    <row r="208" spans="2:11">
      <c r="B208" s="212" t="s">
        <v>237</v>
      </c>
      <c r="C208" s="217">
        <v>32314013.284751546</v>
      </c>
      <c r="D208" s="217">
        <v>401721154.74696672</v>
      </c>
      <c r="E208" s="218">
        <f t="shared" si="10"/>
        <v>434035168.03171825</v>
      </c>
      <c r="F208" s="219">
        <f t="shared" si="13"/>
        <v>-3.3514560163376839E-3</v>
      </c>
      <c r="G208" s="103"/>
      <c r="H208" s="226">
        <v>1.1187560000000001</v>
      </c>
      <c r="I208" s="214">
        <f t="shared" si="11"/>
        <v>359078436.00120729</v>
      </c>
      <c r="J208" s="214">
        <f t="shared" si="12"/>
        <v>391392449.28595883</v>
      </c>
      <c r="K208" s="123">
        <f t="shared" si="14"/>
        <v>-4.2988336195382004E-3</v>
      </c>
    </row>
    <row r="209" spans="2:11">
      <c r="B209" s="212" t="s">
        <v>238</v>
      </c>
      <c r="C209" s="217">
        <v>30692225.490536567</v>
      </c>
      <c r="D209" s="217">
        <v>400976702.17495263</v>
      </c>
      <c r="E209" s="218">
        <f t="shared" si="10"/>
        <v>431668927.6654892</v>
      </c>
      <c r="F209" s="219">
        <f t="shared" si="13"/>
        <v>-5.4517249764796105E-3</v>
      </c>
      <c r="G209" s="103"/>
      <c r="H209" s="225">
        <v>1.119132</v>
      </c>
      <c r="I209" s="214">
        <f t="shared" si="11"/>
        <v>358292589.41300279</v>
      </c>
      <c r="J209" s="214">
        <f t="shared" si="12"/>
        <v>388984814.90353936</v>
      </c>
      <c r="K209" s="123">
        <f t="shared" si="14"/>
        <v>-6.151458432097634E-3</v>
      </c>
    </row>
    <row r="210" spans="2:11">
      <c r="B210" s="212" t="s">
        <v>239</v>
      </c>
      <c r="C210" s="217">
        <v>28307778.136708967</v>
      </c>
      <c r="D210" s="217">
        <v>400877316.81627452</v>
      </c>
      <c r="E210" s="218">
        <f t="shared" si="10"/>
        <v>429185094.9529835</v>
      </c>
      <c r="F210" s="219">
        <f t="shared" si="13"/>
        <v>-5.7540224772223425E-3</v>
      </c>
      <c r="G210" s="103"/>
      <c r="H210" s="226">
        <v>1.123154</v>
      </c>
      <c r="I210" s="214">
        <f t="shared" si="11"/>
        <v>356921060.52800822</v>
      </c>
      <c r="J210" s="214">
        <f t="shared" si="12"/>
        <v>385228838.6647172</v>
      </c>
      <c r="K210" s="123">
        <f t="shared" si="14"/>
        <v>-9.6558428373446636E-3</v>
      </c>
    </row>
    <row r="211" spans="2:11">
      <c r="B211" s="212" t="s">
        <v>240</v>
      </c>
      <c r="C211" s="217">
        <v>28215119.24557808</v>
      </c>
      <c r="D211" s="217">
        <v>401513014.06038755</v>
      </c>
      <c r="E211" s="218">
        <f t="shared" ref="E211:E268" si="15">C211+D211</f>
        <v>429728133.30596566</v>
      </c>
      <c r="F211" s="219">
        <f t="shared" si="13"/>
        <v>1.2652777539761129E-3</v>
      </c>
      <c r="G211" s="103"/>
      <c r="H211" s="225">
        <v>1.130838</v>
      </c>
      <c r="I211" s="214">
        <f t="shared" ref="I211:I268" si="16">D211/H211</f>
        <v>355057942.92408597</v>
      </c>
      <c r="J211" s="214">
        <f t="shared" ref="J211:J268" si="17">C211+I211</f>
        <v>383273062.16966403</v>
      </c>
      <c r="K211" s="123">
        <f t="shared" si="14"/>
        <v>-5.0769212965267041E-3</v>
      </c>
    </row>
    <row r="212" spans="2:11">
      <c r="B212" s="212" t="s">
        <v>241</v>
      </c>
      <c r="C212" s="217">
        <v>40333228.535826325</v>
      </c>
      <c r="D212" s="217">
        <v>400876954.98304641</v>
      </c>
      <c r="E212" s="218">
        <f t="shared" si="15"/>
        <v>441210183.51887274</v>
      </c>
      <c r="F212" s="219">
        <f t="shared" ref="F212:F268" si="18">(E212/E211)-1</f>
        <v>2.6719335605453365E-2</v>
      </c>
      <c r="G212" s="103"/>
      <c r="H212" s="226">
        <v>1.1304540000000001</v>
      </c>
      <c r="I212" s="214">
        <f t="shared" si="16"/>
        <v>354615893.24558663</v>
      </c>
      <c r="J212" s="214">
        <f t="shared" si="17"/>
        <v>394949121.78141296</v>
      </c>
      <c r="K212" s="123">
        <f t="shared" ref="K212:K268" si="19">(J212/J211)-1</f>
        <v>3.0464075783599665E-2</v>
      </c>
    </row>
    <row r="213" spans="2:11">
      <c r="B213" s="212" t="s">
        <v>242</v>
      </c>
      <c r="C213" s="217">
        <v>32971731.08420388</v>
      </c>
      <c r="D213" s="217">
        <v>400200782.15426731</v>
      </c>
      <c r="E213" s="218">
        <f t="shared" si="15"/>
        <v>433172513.23847121</v>
      </c>
      <c r="F213" s="219">
        <f t="shared" si="18"/>
        <v>-1.8217327207402767E-2</v>
      </c>
      <c r="G213" s="103"/>
      <c r="H213" s="225">
        <v>1.1208880000000001</v>
      </c>
      <c r="I213" s="214">
        <f t="shared" si="16"/>
        <v>357039045.96558022</v>
      </c>
      <c r="J213" s="214">
        <f t="shared" si="17"/>
        <v>390010777.04978412</v>
      </c>
      <c r="K213" s="123">
        <f t="shared" si="19"/>
        <v>-1.2503749114201046E-2</v>
      </c>
    </row>
    <row r="214" spans="2:11">
      <c r="B214" s="212" t="s">
        <v>243</v>
      </c>
      <c r="C214" s="217">
        <v>24118746.537200961</v>
      </c>
      <c r="D214" s="217">
        <v>400976463.91538364</v>
      </c>
      <c r="E214" s="218">
        <f t="shared" si="15"/>
        <v>425095210.45258462</v>
      </c>
      <c r="F214" s="219">
        <f t="shared" si="18"/>
        <v>-1.8646849786241759E-2</v>
      </c>
      <c r="G214" s="103"/>
      <c r="H214" s="226">
        <v>1.1230279999999999</v>
      </c>
      <c r="I214" s="214">
        <f t="shared" si="16"/>
        <v>357049391.39129537</v>
      </c>
      <c r="J214" s="214">
        <f t="shared" si="17"/>
        <v>381168137.92849636</v>
      </c>
      <c r="K214" s="123">
        <f t="shared" si="19"/>
        <v>-2.267280711619668E-2</v>
      </c>
    </row>
    <row r="215" spans="2:11">
      <c r="B215" s="212" t="s">
        <v>244</v>
      </c>
      <c r="C215" s="217">
        <v>27431959.881200135</v>
      </c>
      <c r="D215" s="217">
        <v>399429200.54937863</v>
      </c>
      <c r="E215" s="218">
        <f t="shared" si="15"/>
        <v>426861160.43057877</v>
      </c>
      <c r="F215" s="219">
        <f t="shared" si="18"/>
        <v>4.1542457655874276E-3</v>
      </c>
      <c r="G215" s="103"/>
      <c r="H215" s="225">
        <v>1.118193</v>
      </c>
      <c r="I215" s="214">
        <f t="shared" si="16"/>
        <v>357209534.08703029</v>
      </c>
      <c r="J215" s="214">
        <f t="shared" si="17"/>
        <v>384641493.96823043</v>
      </c>
      <c r="K215" s="123">
        <f t="shared" si="19"/>
        <v>9.1123986873888896E-3</v>
      </c>
    </row>
    <row r="216" spans="2:11">
      <c r="B216" s="212" t="s">
        <v>245</v>
      </c>
      <c r="C216" s="217">
        <v>33688601.0963379</v>
      </c>
      <c r="D216" s="217">
        <v>400053630.20833683</v>
      </c>
      <c r="E216" s="218">
        <f t="shared" si="15"/>
        <v>433742231.30467474</v>
      </c>
      <c r="F216" s="219">
        <f t="shared" si="18"/>
        <v>1.6120161569993741E-2</v>
      </c>
      <c r="G216" s="103"/>
      <c r="H216" s="226">
        <v>1.12246</v>
      </c>
      <c r="I216" s="214">
        <f t="shared" si="16"/>
        <v>356407916.72606313</v>
      </c>
      <c r="J216" s="214">
        <f t="shared" si="17"/>
        <v>390096517.82240105</v>
      </c>
      <c r="K216" s="123">
        <f t="shared" si="19"/>
        <v>1.4182099278714722E-2</v>
      </c>
    </row>
    <row r="217" spans="2:11">
      <c r="B217" s="212" t="s">
        <v>246</v>
      </c>
      <c r="C217" s="217">
        <v>28490637.793281998</v>
      </c>
      <c r="D217" s="217">
        <v>399918991.80871558</v>
      </c>
      <c r="E217" s="218">
        <f t="shared" si="15"/>
        <v>428409629.60199755</v>
      </c>
      <c r="F217" s="219">
        <f t="shared" si="18"/>
        <v>-1.2294402799185589E-2</v>
      </c>
      <c r="G217" s="103"/>
      <c r="H217" s="225">
        <v>1.1120380000000001</v>
      </c>
      <c r="I217" s="214">
        <f t="shared" si="16"/>
        <v>359627091.70794123</v>
      </c>
      <c r="J217" s="214">
        <f t="shared" si="17"/>
        <v>388117729.50122321</v>
      </c>
      <c r="K217" s="123">
        <f t="shared" si="19"/>
        <v>-5.0725608426956947E-3</v>
      </c>
    </row>
    <row r="218" spans="2:11">
      <c r="B218" s="212" t="s">
        <v>247</v>
      </c>
      <c r="C218" s="217">
        <v>26872385.025506224</v>
      </c>
      <c r="D218" s="217">
        <v>400658809.81051129</v>
      </c>
      <c r="E218" s="218">
        <f t="shared" si="15"/>
        <v>427531194.83601749</v>
      </c>
      <c r="F218" s="219">
        <f t="shared" si="18"/>
        <v>-2.0504552308876489E-3</v>
      </c>
      <c r="G218" s="103"/>
      <c r="H218" s="226">
        <v>1.114579</v>
      </c>
      <c r="I218" s="214">
        <f t="shared" si="16"/>
        <v>359470983.9414804</v>
      </c>
      <c r="J218" s="214">
        <f t="shared" si="17"/>
        <v>386343368.9669866</v>
      </c>
      <c r="K218" s="123">
        <f t="shared" si="19"/>
        <v>-4.5717069831282542E-3</v>
      </c>
    </row>
    <row r="219" spans="2:11">
      <c r="B219" s="212" t="s">
        <v>248</v>
      </c>
      <c r="C219" s="217">
        <v>33166585.278129179</v>
      </c>
      <c r="D219" s="217">
        <v>399184710.21411896</v>
      </c>
      <c r="E219" s="218">
        <f t="shared" si="15"/>
        <v>432351295.49224812</v>
      </c>
      <c r="F219" s="219">
        <f t="shared" si="18"/>
        <v>1.1274266566862812E-2</v>
      </c>
      <c r="G219" s="103"/>
      <c r="H219" s="225">
        <v>1.1153249999999999</v>
      </c>
      <c r="I219" s="214">
        <f t="shared" si="16"/>
        <v>357908869.80397552</v>
      </c>
      <c r="J219" s="214">
        <f t="shared" si="17"/>
        <v>391075455.08210468</v>
      </c>
      <c r="K219" s="123">
        <f t="shared" si="19"/>
        <v>1.2248394809443397E-2</v>
      </c>
    </row>
    <row r="220" spans="2:11">
      <c r="B220" s="212" t="s">
        <v>249</v>
      </c>
      <c r="C220" s="217">
        <v>20949575.329339918</v>
      </c>
      <c r="D220" s="217">
        <v>398597579.37995231</v>
      </c>
      <c r="E220" s="218">
        <f t="shared" si="15"/>
        <v>419547154.70929223</v>
      </c>
      <c r="F220" s="219">
        <f t="shared" si="18"/>
        <v>-2.961513222338763E-2</v>
      </c>
      <c r="G220" s="103"/>
      <c r="H220" s="226">
        <v>1.121013</v>
      </c>
      <c r="I220" s="214">
        <f t="shared" si="16"/>
        <v>355569096.32622665</v>
      </c>
      <c r="J220" s="214">
        <f t="shared" si="17"/>
        <v>376518671.65556657</v>
      </c>
      <c r="K220" s="123">
        <f t="shared" si="19"/>
        <v>-3.7222441954282148E-2</v>
      </c>
    </row>
    <row r="221" spans="2:11">
      <c r="B221" s="212" t="s">
        <v>250</v>
      </c>
      <c r="C221" s="217">
        <v>25615666.713108003</v>
      </c>
      <c r="D221" s="217">
        <v>397924262.98010707</v>
      </c>
      <c r="E221" s="218">
        <f t="shared" si="15"/>
        <v>423539929.69321507</v>
      </c>
      <c r="F221" s="219">
        <f t="shared" si="18"/>
        <v>9.5168682211406175E-3</v>
      </c>
      <c r="G221" s="103"/>
      <c r="H221" s="225">
        <v>1.1178809999999999</v>
      </c>
      <c r="I221" s="214">
        <f t="shared" si="16"/>
        <v>355962989.78165573</v>
      </c>
      <c r="J221" s="214">
        <f t="shared" si="17"/>
        <v>381578656.49476373</v>
      </c>
      <c r="K221" s="123">
        <f t="shared" si="19"/>
        <v>1.3438868295556849E-2</v>
      </c>
    </row>
    <row r="222" spans="2:11">
      <c r="B222" s="212" t="s">
        <v>251</v>
      </c>
      <c r="C222" s="217">
        <v>19833139.094102398</v>
      </c>
      <c r="D222" s="217">
        <v>397911424.36191976</v>
      </c>
      <c r="E222" s="218">
        <f t="shared" si="15"/>
        <v>417744563.45602214</v>
      </c>
      <c r="F222" s="219">
        <f t="shared" si="18"/>
        <v>-1.3683163807933552E-2</v>
      </c>
      <c r="G222" s="103"/>
      <c r="H222" s="226">
        <v>1.123154</v>
      </c>
      <c r="I222" s="214">
        <f t="shared" si="16"/>
        <v>354280378.6140812</v>
      </c>
      <c r="J222" s="214">
        <f t="shared" si="17"/>
        <v>374113517.70818359</v>
      </c>
      <c r="K222" s="123">
        <f t="shared" si="19"/>
        <v>-1.9563826905718451E-2</v>
      </c>
    </row>
    <row r="223" spans="2:11">
      <c r="B223" s="212" t="s">
        <v>252</v>
      </c>
      <c r="C223" s="217">
        <v>32261805.295329116</v>
      </c>
      <c r="D223" s="217">
        <v>399632094.05329609</v>
      </c>
      <c r="E223" s="218">
        <f t="shared" si="15"/>
        <v>431893899.34862518</v>
      </c>
      <c r="F223" s="219">
        <f t="shared" si="18"/>
        <v>3.3870784039760737E-2</v>
      </c>
      <c r="G223" s="103"/>
      <c r="H223" s="225">
        <v>1.115138</v>
      </c>
      <c r="I223" s="214">
        <f t="shared" si="16"/>
        <v>358370079.80473816</v>
      </c>
      <c r="J223" s="214">
        <f t="shared" si="17"/>
        <v>390631885.10006726</v>
      </c>
      <c r="K223" s="123">
        <f t="shared" si="19"/>
        <v>4.4153356160651525E-2</v>
      </c>
    </row>
    <row r="224" spans="2:11">
      <c r="B224" s="212" t="s">
        <v>253</v>
      </c>
      <c r="C224" s="217">
        <v>28468235.434791964</v>
      </c>
      <c r="D224" s="217">
        <v>397349711.40815747</v>
      </c>
      <c r="E224" s="218">
        <f t="shared" si="15"/>
        <v>425817946.84294945</v>
      </c>
      <c r="F224" s="219">
        <f t="shared" si="18"/>
        <v>-1.4068160061624813E-2</v>
      </c>
      <c r="G224" s="103"/>
      <c r="H224" s="226">
        <v>1.108463</v>
      </c>
      <c r="I224" s="214">
        <f t="shared" si="16"/>
        <v>358469079.62481153</v>
      </c>
      <c r="J224" s="214">
        <f t="shared" si="17"/>
        <v>386937315.05960351</v>
      </c>
      <c r="K224" s="123">
        <f t="shared" si="19"/>
        <v>-9.4579325994275099E-3</v>
      </c>
    </row>
    <row r="225" spans="2:11">
      <c r="B225" s="212" t="s">
        <v>254</v>
      </c>
      <c r="C225" s="217">
        <v>24908181.770097863</v>
      </c>
      <c r="D225" s="217">
        <v>397230302.05786777</v>
      </c>
      <c r="E225" s="218">
        <f t="shared" si="15"/>
        <v>422138483.82796562</v>
      </c>
      <c r="F225" s="219">
        <f t="shared" si="18"/>
        <v>-8.6409298674789969E-3</v>
      </c>
      <c r="G225" s="103"/>
      <c r="H225" s="225">
        <v>1.106501</v>
      </c>
      <c r="I225" s="214">
        <f t="shared" si="16"/>
        <v>358996785.41444409</v>
      </c>
      <c r="J225" s="214">
        <f t="shared" si="17"/>
        <v>383904967.18454194</v>
      </c>
      <c r="K225" s="123">
        <f t="shared" si="19"/>
        <v>-7.8367936020707907E-3</v>
      </c>
    </row>
    <row r="226" spans="2:11">
      <c r="B226" s="212" t="s">
        <v>255</v>
      </c>
      <c r="C226" s="217">
        <v>29956634.827852741</v>
      </c>
      <c r="D226" s="217">
        <v>397322650.3176043</v>
      </c>
      <c r="E226" s="218">
        <f t="shared" si="15"/>
        <v>427279285.14545703</v>
      </c>
      <c r="F226" s="219">
        <f t="shared" si="18"/>
        <v>1.2177997302862398E-2</v>
      </c>
      <c r="G226" s="103"/>
      <c r="H226" s="226">
        <v>1.09511</v>
      </c>
      <c r="I226" s="214">
        <f t="shared" si="16"/>
        <v>362815288.25196034</v>
      </c>
      <c r="J226" s="214">
        <f t="shared" si="17"/>
        <v>392771923.07981306</v>
      </c>
      <c r="K226" s="123">
        <f t="shared" si="19"/>
        <v>2.3096746990014294E-2</v>
      </c>
    </row>
    <row r="227" spans="2:11">
      <c r="B227" s="212" t="s">
        <v>256</v>
      </c>
      <c r="C227" s="217">
        <v>28877982.246134236</v>
      </c>
      <c r="D227" s="217">
        <v>397329171.40219289</v>
      </c>
      <c r="E227" s="218">
        <f t="shared" si="15"/>
        <v>426207153.64832711</v>
      </c>
      <c r="F227" s="219">
        <f t="shared" si="18"/>
        <v>-2.5092054176343304E-3</v>
      </c>
      <c r="G227" s="103"/>
      <c r="H227" s="225">
        <v>1.0987199999999999</v>
      </c>
      <c r="I227" s="214">
        <f t="shared" si="16"/>
        <v>361629142.45867276</v>
      </c>
      <c r="J227" s="214">
        <f t="shared" si="17"/>
        <v>390507124.70480698</v>
      </c>
      <c r="K227" s="123">
        <f t="shared" si="19"/>
        <v>-5.766192138295656E-3</v>
      </c>
    </row>
    <row r="228" spans="2:11">
      <c r="B228" s="212" t="s">
        <v>257</v>
      </c>
      <c r="C228" s="217">
        <v>26335811.772843096</v>
      </c>
      <c r="D228" s="217">
        <v>395879293.93138933</v>
      </c>
      <c r="E228" s="218">
        <f t="shared" si="15"/>
        <v>422215105.70423245</v>
      </c>
      <c r="F228" s="219">
        <f t="shared" si="18"/>
        <v>-9.366449882229344E-3</v>
      </c>
      <c r="G228" s="103"/>
      <c r="H228" s="226">
        <v>1.0943909999999999</v>
      </c>
      <c r="I228" s="214">
        <f t="shared" si="16"/>
        <v>361734785.76796538</v>
      </c>
      <c r="J228" s="214">
        <f t="shared" si="17"/>
        <v>388070597.5408085</v>
      </c>
      <c r="K228" s="123">
        <f t="shared" si="19"/>
        <v>-6.2393923435848375E-3</v>
      </c>
    </row>
    <row r="229" spans="2:11">
      <c r="B229" s="212" t="s">
        <v>258</v>
      </c>
      <c r="C229" s="217">
        <v>26643581.450477652</v>
      </c>
      <c r="D229" s="217">
        <v>398161913.11266577</v>
      </c>
      <c r="E229" s="218">
        <f t="shared" si="15"/>
        <v>424805494.56314343</v>
      </c>
      <c r="F229" s="219">
        <f t="shared" si="18"/>
        <v>6.1352349167858033E-3</v>
      </c>
      <c r="G229" s="103"/>
      <c r="H229" s="225">
        <v>1.093434</v>
      </c>
      <c r="I229" s="214">
        <f t="shared" si="16"/>
        <v>364138954.07739812</v>
      </c>
      <c r="J229" s="214">
        <f t="shared" si="17"/>
        <v>390782535.52787578</v>
      </c>
      <c r="K229" s="123">
        <f t="shared" si="19"/>
        <v>6.9882593637671242E-3</v>
      </c>
    </row>
    <row r="230" spans="2:11">
      <c r="B230" s="212" t="s">
        <v>259</v>
      </c>
      <c r="C230" s="217">
        <v>24859431.224739611</v>
      </c>
      <c r="D230" s="217">
        <v>398430160.91113818</v>
      </c>
      <c r="E230" s="218">
        <f t="shared" si="15"/>
        <v>423289592.13587779</v>
      </c>
      <c r="F230" s="219">
        <f t="shared" si="18"/>
        <v>-3.5684623825888995E-3</v>
      </c>
      <c r="G230" s="103"/>
      <c r="H230" s="226">
        <v>1.094511</v>
      </c>
      <c r="I230" s="214">
        <f t="shared" si="16"/>
        <v>364025725.56250066</v>
      </c>
      <c r="J230" s="214">
        <f t="shared" si="17"/>
        <v>388885156.78724027</v>
      </c>
      <c r="K230" s="123">
        <f t="shared" si="19"/>
        <v>-4.8553314647813428E-3</v>
      </c>
    </row>
    <row r="231" spans="2:11">
      <c r="B231" s="212" t="s">
        <v>260</v>
      </c>
      <c r="C231" s="217">
        <v>28334662.960439757</v>
      </c>
      <c r="D231" s="217">
        <v>396896596.54319763</v>
      </c>
      <c r="E231" s="218">
        <f t="shared" si="15"/>
        <v>425231259.50363737</v>
      </c>
      <c r="F231" s="219">
        <f t="shared" si="18"/>
        <v>4.5870897934487953E-3</v>
      </c>
      <c r="G231" s="103"/>
      <c r="H231" s="225">
        <v>1.0935539999999999</v>
      </c>
      <c r="I231" s="214">
        <f t="shared" si="16"/>
        <v>362941927.4614675</v>
      </c>
      <c r="J231" s="214">
        <f t="shared" si="17"/>
        <v>391276590.42190725</v>
      </c>
      <c r="K231" s="123">
        <f t="shared" si="19"/>
        <v>6.1494597901954329E-3</v>
      </c>
    </row>
    <row r="232" spans="2:11">
      <c r="B232" s="212" t="s">
        <v>261</v>
      </c>
      <c r="C232" s="217">
        <v>17516182.826979391</v>
      </c>
      <c r="D232" s="217">
        <v>398436929.75225401</v>
      </c>
      <c r="E232" s="218">
        <f t="shared" si="15"/>
        <v>415953112.57923341</v>
      </c>
      <c r="F232" s="219">
        <f t="shared" si="18"/>
        <v>-2.1819061315562993E-2</v>
      </c>
      <c r="G232" s="103"/>
      <c r="H232" s="226">
        <v>1.0999289999999999</v>
      </c>
      <c r="I232" s="214">
        <f t="shared" si="16"/>
        <v>362238771.55003101</v>
      </c>
      <c r="J232" s="214">
        <f t="shared" si="17"/>
        <v>379754954.37701041</v>
      </c>
      <c r="K232" s="123">
        <f t="shared" si="19"/>
        <v>-2.9446269792100854E-2</v>
      </c>
    </row>
    <row r="233" spans="2:11">
      <c r="B233" s="212" t="s">
        <v>262</v>
      </c>
      <c r="C233" s="217">
        <v>29423614.621609956</v>
      </c>
      <c r="D233" s="217">
        <v>395941208.77775621</v>
      </c>
      <c r="E233" s="218">
        <f t="shared" si="15"/>
        <v>425364823.39936614</v>
      </c>
      <c r="F233" s="219">
        <f t="shared" si="18"/>
        <v>2.2626855132235502E-2</v>
      </c>
      <c r="G233" s="103"/>
      <c r="H233" s="225">
        <v>1.100171</v>
      </c>
      <c r="I233" s="214">
        <f t="shared" si="16"/>
        <v>359890606.80362982</v>
      </c>
      <c r="J233" s="214">
        <f t="shared" si="17"/>
        <v>389314221.4252398</v>
      </c>
      <c r="K233" s="123">
        <f t="shared" si="19"/>
        <v>2.5172198382273692E-2</v>
      </c>
    </row>
    <row r="234" spans="2:11">
      <c r="B234" s="212" t="s">
        <v>263</v>
      </c>
      <c r="C234" s="217">
        <v>35202893.938124336</v>
      </c>
      <c r="D234" s="217">
        <v>395983749.32160902</v>
      </c>
      <c r="E234" s="218">
        <f t="shared" si="15"/>
        <v>431186643.25973338</v>
      </c>
      <c r="F234" s="219">
        <f t="shared" si="18"/>
        <v>1.3686650940812006E-2</v>
      </c>
      <c r="G234" s="103"/>
      <c r="H234" s="226">
        <v>1.1024750000000001</v>
      </c>
      <c r="I234" s="214">
        <f t="shared" si="16"/>
        <v>359177078.22999066</v>
      </c>
      <c r="J234" s="214">
        <f t="shared" si="17"/>
        <v>394379972.16811502</v>
      </c>
      <c r="K234" s="123">
        <f t="shared" si="19"/>
        <v>1.3011984828938505E-2</v>
      </c>
    </row>
    <row r="235" spans="2:11">
      <c r="B235" s="212" t="s">
        <v>264</v>
      </c>
      <c r="C235" s="217">
        <v>31114152.731064998</v>
      </c>
      <c r="D235" s="217">
        <v>395263450.05820692</v>
      </c>
      <c r="E235" s="218">
        <f t="shared" si="15"/>
        <v>426377602.78927189</v>
      </c>
      <c r="F235" s="219">
        <f t="shared" si="18"/>
        <v>-1.1153036731624044E-2</v>
      </c>
      <c r="G235" s="103"/>
      <c r="H235" s="225">
        <v>1.1056440000000001</v>
      </c>
      <c r="I235" s="214">
        <f t="shared" si="16"/>
        <v>357496129.00554508</v>
      </c>
      <c r="J235" s="214">
        <f t="shared" si="17"/>
        <v>388610281.73661005</v>
      </c>
      <c r="K235" s="123">
        <f t="shared" si="19"/>
        <v>-1.4629775441653226E-2</v>
      </c>
    </row>
    <row r="236" spans="2:11">
      <c r="B236" s="212" t="s">
        <v>265</v>
      </c>
      <c r="C236" s="217">
        <v>28610455.427291203</v>
      </c>
      <c r="D236" s="217">
        <v>395884266.33322561</v>
      </c>
      <c r="E236" s="218">
        <f t="shared" si="15"/>
        <v>424494721.76051682</v>
      </c>
      <c r="F236" s="219">
        <f t="shared" si="18"/>
        <v>-4.4159942183586987E-3</v>
      </c>
      <c r="G236" s="103"/>
      <c r="H236" s="226">
        <v>1.105156</v>
      </c>
      <c r="I236" s="214">
        <f t="shared" si="16"/>
        <v>358215732.74110228</v>
      </c>
      <c r="J236" s="214">
        <f t="shared" si="17"/>
        <v>386826188.16839349</v>
      </c>
      <c r="K236" s="123">
        <f t="shared" si="19"/>
        <v>-4.5909582223194745E-3</v>
      </c>
    </row>
    <row r="237" spans="2:11">
      <c r="B237" s="212" t="s">
        <v>266</v>
      </c>
      <c r="C237" s="217">
        <v>29031553.82866621</v>
      </c>
      <c r="D237" s="217">
        <v>395292600.45007992</v>
      </c>
      <c r="E237" s="218">
        <f t="shared" si="15"/>
        <v>424324154.27874613</v>
      </c>
      <c r="F237" s="219">
        <f t="shared" si="18"/>
        <v>-4.0181296262831179E-4</v>
      </c>
      <c r="G237" s="103"/>
      <c r="H237" s="225">
        <v>1.1035090000000001</v>
      </c>
      <c r="I237" s="214">
        <f t="shared" si="16"/>
        <v>358214206.18235093</v>
      </c>
      <c r="J237" s="214">
        <f t="shared" si="17"/>
        <v>387245760.01101714</v>
      </c>
      <c r="K237" s="123">
        <f t="shared" si="19"/>
        <v>1.0846521136800291E-3</v>
      </c>
    </row>
    <row r="238" spans="2:11">
      <c r="B238" s="212" t="s">
        <v>267</v>
      </c>
      <c r="C238" s="217">
        <v>25710744.676524684</v>
      </c>
      <c r="D238" s="217">
        <v>395378579.7102915</v>
      </c>
      <c r="E238" s="218">
        <f t="shared" si="15"/>
        <v>421089324.3868162</v>
      </c>
      <c r="F238" s="219">
        <f t="shared" si="18"/>
        <v>-7.623487513757965E-3</v>
      </c>
      <c r="G238" s="103"/>
      <c r="H238" s="226">
        <v>1.103448</v>
      </c>
      <c r="I238" s="214">
        <f t="shared" si="16"/>
        <v>358311927.44043356</v>
      </c>
      <c r="J238" s="214">
        <f t="shared" si="17"/>
        <v>384022672.11695826</v>
      </c>
      <c r="K238" s="123">
        <f t="shared" si="19"/>
        <v>-8.3231069953282333E-3</v>
      </c>
    </row>
    <row r="239" spans="2:11">
      <c r="B239" s="212" t="s">
        <v>268</v>
      </c>
      <c r="C239" s="217">
        <v>25090422.042466428</v>
      </c>
      <c r="D239" s="217">
        <v>395491629.00720978</v>
      </c>
      <c r="E239" s="218">
        <f t="shared" si="15"/>
        <v>420582051.04967618</v>
      </c>
      <c r="F239" s="219">
        <f t="shared" si="18"/>
        <v>-1.2046691943062848E-3</v>
      </c>
      <c r="G239" s="103"/>
      <c r="H239" s="225">
        <v>1.101928</v>
      </c>
      <c r="I239" s="214">
        <f t="shared" si="16"/>
        <v>358908775.35302651</v>
      </c>
      <c r="J239" s="214">
        <f t="shared" si="17"/>
        <v>383999197.39549291</v>
      </c>
      <c r="K239" s="123">
        <f t="shared" si="19"/>
        <v>-6.1128478003547038E-5</v>
      </c>
    </row>
    <row r="240" spans="2:11">
      <c r="B240" s="212" t="s">
        <v>269</v>
      </c>
      <c r="C240" s="217">
        <v>26499940.829390641</v>
      </c>
      <c r="D240" s="217">
        <v>393846215.82710803</v>
      </c>
      <c r="E240" s="218">
        <f t="shared" si="15"/>
        <v>420346156.65649867</v>
      </c>
      <c r="F240" s="219">
        <f t="shared" si="18"/>
        <v>-5.6087603498244931E-4</v>
      </c>
      <c r="G240" s="103"/>
      <c r="H240" s="226">
        <v>1.10284</v>
      </c>
      <c r="I240" s="214">
        <f t="shared" si="16"/>
        <v>357119995.49083096</v>
      </c>
      <c r="J240" s="214">
        <f t="shared" si="17"/>
        <v>383619936.3202216</v>
      </c>
      <c r="K240" s="123">
        <f t="shared" si="19"/>
        <v>-9.87661114511873E-4</v>
      </c>
    </row>
    <row r="241" spans="2:11">
      <c r="B241" s="212" t="s">
        <v>270</v>
      </c>
      <c r="C241" s="217">
        <v>23638509.815003581</v>
      </c>
      <c r="D241" s="217">
        <v>393170137.14678276</v>
      </c>
      <c r="E241" s="218">
        <f t="shared" si="15"/>
        <v>416808646.96178633</v>
      </c>
      <c r="F241" s="219">
        <f t="shared" si="18"/>
        <v>-8.4157060524836513E-3</v>
      </c>
      <c r="G241" s="103"/>
      <c r="H241" s="225">
        <v>1.101261</v>
      </c>
      <c r="I241" s="214">
        <f t="shared" si="16"/>
        <v>357018124.81036079</v>
      </c>
      <c r="J241" s="214">
        <f t="shared" si="17"/>
        <v>380656634.62536436</v>
      </c>
      <c r="K241" s="123">
        <f t="shared" si="19"/>
        <v>-7.7245768905599421E-3</v>
      </c>
    </row>
    <row r="242" spans="2:11">
      <c r="B242" s="212" t="s">
        <v>271</v>
      </c>
      <c r="C242" s="217">
        <v>29615662.401451949</v>
      </c>
      <c r="D242" s="217">
        <v>391208681.61872864</v>
      </c>
      <c r="E242" s="218">
        <f t="shared" si="15"/>
        <v>420824344.02018058</v>
      </c>
      <c r="F242" s="219">
        <f t="shared" si="18"/>
        <v>9.6343899956625734E-3</v>
      </c>
      <c r="G242" s="103"/>
      <c r="H242" s="226">
        <v>1.1027180000000001</v>
      </c>
      <c r="I242" s="214">
        <f t="shared" si="16"/>
        <v>354767657.38722736</v>
      </c>
      <c r="J242" s="214">
        <f t="shared" si="17"/>
        <v>384383319.7886793</v>
      </c>
      <c r="K242" s="123">
        <f t="shared" si="19"/>
        <v>9.7901489802816322E-3</v>
      </c>
    </row>
    <row r="243" spans="2:11">
      <c r="B243" s="212" t="s">
        <v>272</v>
      </c>
      <c r="C243" s="217">
        <v>17796699.98889561</v>
      </c>
      <c r="D243" s="217">
        <v>394274367.77015424</v>
      </c>
      <c r="E243" s="218">
        <f t="shared" si="15"/>
        <v>412071067.75904983</v>
      </c>
      <c r="F243" s="219">
        <f t="shared" si="18"/>
        <v>-2.0800308692956682E-2</v>
      </c>
      <c r="G243" s="103"/>
      <c r="H243" s="225">
        <v>1.104911</v>
      </c>
      <c r="I243" s="214">
        <f t="shared" si="16"/>
        <v>356838123.40555418</v>
      </c>
      <c r="J243" s="214">
        <f t="shared" si="17"/>
        <v>374634823.39444977</v>
      </c>
      <c r="K243" s="123">
        <f t="shared" si="19"/>
        <v>-2.5361392891837586E-2</v>
      </c>
    </row>
    <row r="244" spans="2:11">
      <c r="B244" s="212" t="s">
        <v>273</v>
      </c>
      <c r="C244" s="217">
        <v>27706532.76319078</v>
      </c>
      <c r="D244" s="217">
        <v>393567200.56937647</v>
      </c>
      <c r="E244" s="218">
        <f t="shared" si="15"/>
        <v>421273733.33256727</v>
      </c>
      <c r="F244" s="219">
        <f t="shared" si="18"/>
        <v>2.2332714654207386E-2</v>
      </c>
      <c r="G244" s="103"/>
      <c r="H244" s="226">
        <v>1.105278</v>
      </c>
      <c r="I244" s="214">
        <f t="shared" si="16"/>
        <v>356079828.39554977</v>
      </c>
      <c r="J244" s="214">
        <f t="shared" si="17"/>
        <v>383786361.15874058</v>
      </c>
      <c r="K244" s="123">
        <f t="shared" si="19"/>
        <v>2.4427888687366561E-2</v>
      </c>
    </row>
    <row r="245" spans="2:11">
      <c r="B245" s="212" t="s">
        <v>274</v>
      </c>
      <c r="C245" s="217">
        <v>35139715.455577075</v>
      </c>
      <c r="D245" s="217">
        <v>391746731.98811007</v>
      </c>
      <c r="E245" s="218">
        <f t="shared" si="15"/>
        <v>426886447.44368714</v>
      </c>
      <c r="F245" s="219">
        <f t="shared" si="18"/>
        <v>1.3323199779676331E-2</v>
      </c>
      <c r="G245" s="103"/>
      <c r="H245" s="225">
        <v>1.0946910000000001</v>
      </c>
      <c r="I245" s="214">
        <f t="shared" si="16"/>
        <v>357860557.90000105</v>
      </c>
      <c r="J245" s="214">
        <f t="shared" si="17"/>
        <v>393000273.35557812</v>
      </c>
      <c r="K245" s="123">
        <f t="shared" si="19"/>
        <v>2.4007919846392056E-2</v>
      </c>
    </row>
    <row r="246" spans="2:11">
      <c r="B246" s="212" t="s">
        <v>275</v>
      </c>
      <c r="C246" s="217">
        <v>35066592.427566364</v>
      </c>
      <c r="D246" s="217">
        <v>391244986.67062086</v>
      </c>
      <c r="E246" s="218">
        <f t="shared" si="15"/>
        <v>426311579.09818721</v>
      </c>
      <c r="F246" s="219">
        <f t="shared" si="18"/>
        <v>-1.3466540082085476E-3</v>
      </c>
      <c r="G246" s="103"/>
      <c r="H246" s="226">
        <v>1.0877250000000001</v>
      </c>
      <c r="I246" s="214">
        <f t="shared" si="16"/>
        <v>359691086.13907087</v>
      </c>
      <c r="J246" s="214">
        <f t="shared" si="17"/>
        <v>394757678.56663722</v>
      </c>
      <c r="K246" s="123">
        <f t="shared" si="19"/>
        <v>4.4717658744961586E-3</v>
      </c>
    </row>
    <row r="247" spans="2:11">
      <c r="B247" s="212" t="s">
        <v>276</v>
      </c>
      <c r="C247" s="217">
        <v>30661008.2341583</v>
      </c>
      <c r="D247" s="217">
        <v>389787156.48639202</v>
      </c>
      <c r="E247" s="218">
        <f t="shared" si="15"/>
        <v>420448164.7205503</v>
      </c>
      <c r="F247" s="219">
        <f t="shared" si="18"/>
        <v>-1.3753823881678895E-2</v>
      </c>
      <c r="G247" s="103"/>
      <c r="H247" s="225">
        <v>1.0903339999999999</v>
      </c>
      <c r="I247" s="214">
        <f t="shared" si="16"/>
        <v>357493352.0246017</v>
      </c>
      <c r="J247" s="214">
        <f t="shared" si="17"/>
        <v>388154360.25875998</v>
      </c>
      <c r="K247" s="123">
        <f t="shared" si="19"/>
        <v>-1.6727523405887457E-2</v>
      </c>
    </row>
    <row r="248" spans="2:11">
      <c r="B248" s="212" t="s">
        <v>277</v>
      </c>
      <c r="C248" s="217">
        <v>33060633.148721494</v>
      </c>
      <c r="D248" s="217">
        <v>390797320.04378307</v>
      </c>
      <c r="E248" s="218">
        <f t="shared" si="15"/>
        <v>423857953.19250458</v>
      </c>
      <c r="F248" s="219">
        <f t="shared" si="18"/>
        <v>8.1098902506104853E-3</v>
      </c>
      <c r="G248" s="103"/>
      <c r="H248" s="226">
        <v>1.0980559999999999</v>
      </c>
      <c r="I248" s="214">
        <f t="shared" si="16"/>
        <v>355899262.0082975</v>
      </c>
      <c r="J248" s="214">
        <f t="shared" si="17"/>
        <v>388959895.15701902</v>
      </c>
      <c r="K248" s="123">
        <f t="shared" si="19"/>
        <v>2.0752952452267603E-3</v>
      </c>
    </row>
    <row r="249" spans="2:11">
      <c r="B249" s="212" t="s">
        <v>278</v>
      </c>
      <c r="C249" s="217">
        <v>24970189.510490913</v>
      </c>
      <c r="D249" s="217">
        <v>389199075.26533759</v>
      </c>
      <c r="E249" s="218">
        <f t="shared" si="15"/>
        <v>414169264.77582848</v>
      </c>
      <c r="F249" s="219">
        <f t="shared" si="18"/>
        <v>-2.2858338138286083E-2</v>
      </c>
      <c r="G249" s="103"/>
      <c r="H249" s="225">
        <v>1.093494</v>
      </c>
      <c r="I249" s="214">
        <f t="shared" si="16"/>
        <v>355922460.72254407</v>
      </c>
      <c r="J249" s="214">
        <f t="shared" si="17"/>
        <v>380892650.23303497</v>
      </c>
      <c r="K249" s="123">
        <f t="shared" si="19"/>
        <v>-2.0740557122804093E-2</v>
      </c>
    </row>
    <row r="250" spans="2:11">
      <c r="B250" s="212" t="s">
        <v>279</v>
      </c>
      <c r="C250" s="217">
        <v>27333524.636099014</v>
      </c>
      <c r="D250" s="217">
        <v>387368027.65648663</v>
      </c>
      <c r="E250" s="218">
        <f t="shared" si="15"/>
        <v>414701552.29258567</v>
      </c>
      <c r="F250" s="219">
        <f t="shared" si="18"/>
        <v>1.2851931855573095E-3</v>
      </c>
      <c r="G250" s="103"/>
      <c r="H250" s="226">
        <v>1.094511</v>
      </c>
      <c r="I250" s="214">
        <f t="shared" si="16"/>
        <v>353918807.26323134</v>
      </c>
      <c r="J250" s="214">
        <f t="shared" si="17"/>
        <v>381252331.89933038</v>
      </c>
      <c r="K250" s="123">
        <f t="shared" si="19"/>
        <v>9.443124357357835E-4</v>
      </c>
    </row>
    <row r="251" spans="2:11">
      <c r="B251" s="212" t="s">
        <v>280</v>
      </c>
      <c r="C251" s="217">
        <v>33592245.073269501</v>
      </c>
      <c r="D251" s="217">
        <v>388560657.7659725</v>
      </c>
      <c r="E251" s="218">
        <f t="shared" si="15"/>
        <v>422152902.83924198</v>
      </c>
      <c r="F251" s="219">
        <f t="shared" si="18"/>
        <v>1.7967983253168951E-2</v>
      </c>
      <c r="G251" s="103"/>
      <c r="H251" s="225">
        <v>1.094271</v>
      </c>
      <c r="I251" s="214">
        <f t="shared" si="16"/>
        <v>355086315.69873685</v>
      </c>
      <c r="J251" s="214">
        <f t="shared" si="17"/>
        <v>388678560.77200633</v>
      </c>
      <c r="K251" s="123">
        <f t="shared" si="19"/>
        <v>1.9478513969160005E-2</v>
      </c>
    </row>
    <row r="252" spans="2:11">
      <c r="B252" s="212" t="s">
        <v>281</v>
      </c>
      <c r="C252" s="217">
        <v>28504084.985927384</v>
      </c>
      <c r="D252" s="217">
        <v>389269209.56352079</v>
      </c>
      <c r="E252" s="218">
        <f t="shared" si="15"/>
        <v>417773294.54944819</v>
      </c>
      <c r="F252" s="219">
        <f t="shared" si="18"/>
        <v>-1.0374459728544339E-2</v>
      </c>
      <c r="G252" s="103"/>
      <c r="H252" s="226">
        <v>1.0983579999999999</v>
      </c>
      <c r="I252" s="214">
        <f t="shared" si="16"/>
        <v>354410137.28085089</v>
      </c>
      <c r="J252" s="214">
        <f t="shared" si="17"/>
        <v>382914222.26677829</v>
      </c>
      <c r="K252" s="123">
        <f t="shared" si="19"/>
        <v>-1.4830605767857996E-2</v>
      </c>
    </row>
    <row r="253" spans="2:11">
      <c r="B253" s="212" t="s">
        <v>282</v>
      </c>
      <c r="C253" s="217">
        <v>24576110.387833275</v>
      </c>
      <c r="D253" s="217">
        <v>389930428.90167558</v>
      </c>
      <c r="E253" s="218">
        <f t="shared" si="15"/>
        <v>414506539.28950888</v>
      </c>
      <c r="F253" s="219">
        <f t="shared" si="18"/>
        <v>-7.8194449060282611E-3</v>
      </c>
      <c r="G253" s="103"/>
      <c r="H253" s="225">
        <v>1.097394</v>
      </c>
      <c r="I253" s="214">
        <f t="shared" si="16"/>
        <v>355324002.95762104</v>
      </c>
      <c r="J253" s="214">
        <f t="shared" si="17"/>
        <v>379900113.34545434</v>
      </c>
      <c r="K253" s="123">
        <f t="shared" si="19"/>
        <v>-7.8714990095719584E-3</v>
      </c>
    </row>
    <row r="254" spans="2:11">
      <c r="B254" s="212" t="s">
        <v>283</v>
      </c>
      <c r="C254" s="217">
        <v>21089183.735244673</v>
      </c>
      <c r="D254" s="217">
        <v>390057412.14096683</v>
      </c>
      <c r="E254" s="218">
        <f t="shared" si="15"/>
        <v>411146595.87621152</v>
      </c>
      <c r="F254" s="219">
        <f t="shared" si="18"/>
        <v>-8.1058875911982353E-3</v>
      </c>
      <c r="G254" s="103"/>
      <c r="H254" s="226">
        <v>1.0996870000000001</v>
      </c>
      <c r="I254" s="214">
        <f t="shared" si="16"/>
        <v>354698575.26820523</v>
      </c>
      <c r="J254" s="214">
        <f t="shared" si="17"/>
        <v>375787759.00344992</v>
      </c>
      <c r="K254" s="123">
        <f t="shared" si="19"/>
        <v>-1.0824830521345308E-2</v>
      </c>
    </row>
    <row r="255" spans="2:11">
      <c r="B255" s="212" t="s">
        <v>284</v>
      </c>
      <c r="C255" s="217">
        <v>25944853.352269631</v>
      </c>
      <c r="D255" s="217">
        <v>390719905.53760421</v>
      </c>
      <c r="E255" s="218">
        <f t="shared" si="15"/>
        <v>416664758.88987386</v>
      </c>
      <c r="F255" s="219">
        <f t="shared" si="18"/>
        <v>1.3421400223203594E-2</v>
      </c>
      <c r="G255" s="103"/>
      <c r="H255" s="225">
        <v>1.096371</v>
      </c>
      <c r="I255" s="214">
        <f t="shared" si="16"/>
        <v>356375629.72534317</v>
      </c>
      <c r="J255" s="214">
        <f t="shared" si="17"/>
        <v>382320483.07761282</v>
      </c>
      <c r="K255" s="123">
        <f t="shared" si="19"/>
        <v>1.7384078958524452E-2</v>
      </c>
    </row>
    <row r="256" spans="2:11">
      <c r="B256" s="212" t="s">
        <v>285</v>
      </c>
      <c r="C256" s="217">
        <v>27427960.730205435</v>
      </c>
      <c r="D256" s="217">
        <v>388682860.06973767</v>
      </c>
      <c r="E256" s="218">
        <f t="shared" si="15"/>
        <v>416110820.79994309</v>
      </c>
      <c r="F256" s="219">
        <f t="shared" si="18"/>
        <v>-1.329457502973419E-3</v>
      </c>
      <c r="G256" s="103"/>
      <c r="H256" s="226">
        <v>1.09535</v>
      </c>
      <c r="I256" s="214">
        <f t="shared" si="16"/>
        <v>354848094.28012753</v>
      </c>
      <c r="J256" s="214">
        <f t="shared" si="17"/>
        <v>382276055.01033294</v>
      </c>
      <c r="K256" s="123">
        <f t="shared" si="19"/>
        <v>-1.1620634845987965E-4</v>
      </c>
    </row>
    <row r="257" spans="2:11">
      <c r="B257" s="212" t="s">
        <v>286</v>
      </c>
      <c r="C257" s="217">
        <v>26196123.695949972</v>
      </c>
      <c r="D257" s="217">
        <v>390688026.27654397</v>
      </c>
      <c r="E257" s="218">
        <f t="shared" si="15"/>
        <v>416884149.97249395</v>
      </c>
      <c r="F257" s="219">
        <f t="shared" si="18"/>
        <v>1.858469268028573E-3</v>
      </c>
      <c r="G257" s="103"/>
      <c r="H257" s="225">
        <v>1.0954699999999999</v>
      </c>
      <c r="I257" s="214">
        <f t="shared" si="16"/>
        <v>356639639.85918736</v>
      </c>
      <c r="J257" s="214">
        <f t="shared" si="17"/>
        <v>382835763.55513734</v>
      </c>
      <c r="K257" s="123">
        <f t="shared" si="19"/>
        <v>1.4641475380645641E-3</v>
      </c>
    </row>
    <row r="258" spans="2:11">
      <c r="B258" s="212" t="s">
        <v>287</v>
      </c>
      <c r="C258" s="217">
        <v>30274628.770676956</v>
      </c>
      <c r="D258" s="217">
        <v>390167350.33753437</v>
      </c>
      <c r="E258" s="218">
        <f t="shared" si="15"/>
        <v>420441979.10821134</v>
      </c>
      <c r="F258" s="219">
        <f t="shared" si="18"/>
        <v>8.5343353446085679E-3</v>
      </c>
      <c r="G258" s="103"/>
      <c r="H258" s="226">
        <v>1.0940319999999999</v>
      </c>
      <c r="I258" s="214">
        <f t="shared" si="16"/>
        <v>356632484.55030054</v>
      </c>
      <c r="J258" s="214">
        <f t="shared" si="17"/>
        <v>386907113.32097751</v>
      </c>
      <c r="K258" s="123">
        <f t="shared" si="19"/>
        <v>1.0634716380811149E-2</v>
      </c>
    </row>
    <row r="259" spans="2:11">
      <c r="B259" s="212" t="s">
        <v>288</v>
      </c>
      <c r="C259" s="217">
        <v>22940775.502404444</v>
      </c>
      <c r="D259" s="217">
        <v>390131884.9880811</v>
      </c>
      <c r="E259" s="218">
        <f t="shared" si="15"/>
        <v>413072660.49048555</v>
      </c>
      <c r="F259" s="219">
        <f t="shared" si="18"/>
        <v>-1.7527551918951279E-2</v>
      </c>
      <c r="G259" s="103"/>
      <c r="H259" s="225">
        <v>1.0978760000000001</v>
      </c>
      <c r="I259" s="214">
        <f t="shared" si="16"/>
        <v>355351501.43375123</v>
      </c>
      <c r="J259" s="214">
        <f t="shared" si="17"/>
        <v>378292276.93615568</v>
      </c>
      <c r="K259" s="123">
        <f t="shared" si="19"/>
        <v>-2.2265903334982018E-2</v>
      </c>
    </row>
    <row r="260" spans="2:11">
      <c r="B260" s="212" t="s">
        <v>289</v>
      </c>
      <c r="C260" s="217">
        <v>24546607.943187099</v>
      </c>
      <c r="D260" s="217">
        <v>388615070.36413455</v>
      </c>
      <c r="E260" s="218">
        <f t="shared" si="15"/>
        <v>413161678.30732167</v>
      </c>
      <c r="F260" s="219">
        <f t="shared" si="18"/>
        <v>2.1550159415162362E-4</v>
      </c>
      <c r="G260" s="103"/>
      <c r="H260" s="226">
        <v>1.0973329999999999</v>
      </c>
      <c r="I260" s="214">
        <f t="shared" si="16"/>
        <v>354145068.41964525</v>
      </c>
      <c r="J260" s="214">
        <f t="shared" si="17"/>
        <v>378691676.36283237</v>
      </c>
      <c r="K260" s="123">
        <f t="shared" si="19"/>
        <v>1.0557958780217369E-3</v>
      </c>
    </row>
    <row r="261" spans="2:11">
      <c r="B261" s="212" t="s">
        <v>290</v>
      </c>
      <c r="C261" s="217">
        <v>23034808.527877636</v>
      </c>
      <c r="D261" s="217">
        <v>389324481.80446512</v>
      </c>
      <c r="E261" s="218">
        <f t="shared" si="15"/>
        <v>412359290.33234274</v>
      </c>
      <c r="F261" s="219">
        <f t="shared" si="18"/>
        <v>-1.9420677596871938E-3</v>
      </c>
      <c r="G261" s="103"/>
      <c r="H261" s="225">
        <v>1.0966119999999999</v>
      </c>
      <c r="I261" s="214">
        <f t="shared" si="16"/>
        <v>355024823.55150694</v>
      </c>
      <c r="J261" s="214">
        <f t="shared" si="17"/>
        <v>378059632.07938457</v>
      </c>
      <c r="K261" s="123">
        <f t="shared" si="19"/>
        <v>-1.6690207968612647E-3</v>
      </c>
    </row>
    <row r="262" spans="2:11">
      <c r="B262" s="212" t="s">
        <v>291</v>
      </c>
      <c r="C262" s="217">
        <v>34636027.964948863</v>
      </c>
      <c r="D262" s="217">
        <v>387333991.98440492</v>
      </c>
      <c r="E262" s="218">
        <f t="shared" si="15"/>
        <v>421970019.94935381</v>
      </c>
      <c r="F262" s="219">
        <f t="shared" si="18"/>
        <v>2.3306688711354662E-2</v>
      </c>
      <c r="G262" s="103"/>
      <c r="H262" s="226">
        <v>1.106684</v>
      </c>
      <c r="I262" s="214">
        <f t="shared" si="16"/>
        <v>349995113.31545854</v>
      </c>
      <c r="J262" s="214">
        <f t="shared" si="17"/>
        <v>384631141.28040743</v>
      </c>
      <c r="K262" s="123">
        <f t="shared" si="19"/>
        <v>1.7382202815144687E-2</v>
      </c>
    </row>
    <row r="263" spans="2:11">
      <c r="B263" s="212" t="s">
        <v>292</v>
      </c>
      <c r="C263" s="217">
        <v>21555438.70980959</v>
      </c>
      <c r="D263" s="217">
        <v>386070545.08466446</v>
      </c>
      <c r="E263" s="218">
        <f t="shared" si="15"/>
        <v>407625983.79447407</v>
      </c>
      <c r="F263" s="219">
        <f t="shared" si="18"/>
        <v>-3.3993021960662895E-2</v>
      </c>
      <c r="G263" s="103"/>
      <c r="H263" s="225">
        <v>1.1050329999999999</v>
      </c>
      <c r="I263" s="214">
        <f t="shared" si="16"/>
        <v>349374674.86008519</v>
      </c>
      <c r="J263" s="214">
        <f t="shared" si="17"/>
        <v>370930113.56989479</v>
      </c>
      <c r="K263" s="123">
        <f t="shared" si="19"/>
        <v>-3.5621212741388963E-2</v>
      </c>
    </row>
    <row r="264" spans="2:11">
      <c r="B264" s="212" t="s">
        <v>293</v>
      </c>
      <c r="C264" s="217">
        <v>29252613.667953961</v>
      </c>
      <c r="D264" s="217">
        <v>382418755.38156331</v>
      </c>
      <c r="E264" s="218">
        <f t="shared" si="15"/>
        <v>411671369.04951727</v>
      </c>
      <c r="F264" s="219">
        <f t="shared" si="18"/>
        <v>9.9242575691222967E-3</v>
      </c>
      <c r="G264" s="103"/>
      <c r="H264" s="226">
        <v>1.1087089999999999</v>
      </c>
      <c r="I264" s="214">
        <f t="shared" si="16"/>
        <v>344922567.94304305</v>
      </c>
      <c r="J264" s="214">
        <f t="shared" si="17"/>
        <v>374175181.61099702</v>
      </c>
      <c r="K264" s="123">
        <f t="shared" si="19"/>
        <v>8.748462102122545E-3</v>
      </c>
    </row>
    <row r="265" spans="2:11">
      <c r="B265" s="212" t="s">
        <v>294</v>
      </c>
      <c r="C265" s="217">
        <v>22644756.55669919</v>
      </c>
      <c r="D265" s="217">
        <v>382874144.6835022</v>
      </c>
      <c r="E265" s="218">
        <f t="shared" si="15"/>
        <v>405518901.24020141</v>
      </c>
      <c r="F265" s="219">
        <f t="shared" si="18"/>
        <v>-1.4945095218841464E-2</v>
      </c>
      <c r="G265" s="103"/>
      <c r="H265" s="225">
        <v>1.1053390000000001</v>
      </c>
      <c r="I265" s="214">
        <f t="shared" si="16"/>
        <v>346386171.73871744</v>
      </c>
      <c r="J265" s="214">
        <f t="shared" si="17"/>
        <v>369030928.29541665</v>
      </c>
      <c r="K265" s="123">
        <f t="shared" si="19"/>
        <v>-1.3748248329651269E-2</v>
      </c>
    </row>
    <row r="266" spans="2:11">
      <c r="B266" s="212" t="s">
        <v>295</v>
      </c>
      <c r="C266" s="217">
        <v>48207161.138436534</v>
      </c>
      <c r="D266" s="217">
        <v>382961787.25887406</v>
      </c>
      <c r="E266" s="218">
        <f t="shared" si="15"/>
        <v>431168948.39731061</v>
      </c>
      <c r="F266" s="219">
        <f t="shared" si="18"/>
        <v>6.3252408404795624E-2</v>
      </c>
      <c r="G266" s="103"/>
      <c r="H266" s="226">
        <v>1.103936</v>
      </c>
      <c r="I266" s="214">
        <f t="shared" si="16"/>
        <v>346905787.34534794</v>
      </c>
      <c r="J266" s="214">
        <f t="shared" si="17"/>
        <v>395112948.4837845</v>
      </c>
      <c r="K266" s="123">
        <f t="shared" si="19"/>
        <v>7.0677057635366136E-2</v>
      </c>
    </row>
    <row r="267" spans="2:11">
      <c r="B267" s="212" t="s">
        <v>296</v>
      </c>
      <c r="C267" s="217">
        <v>23156414.521653675</v>
      </c>
      <c r="D267" s="217">
        <v>382384434.67741811</v>
      </c>
      <c r="E267" s="218">
        <f t="shared" si="15"/>
        <v>405540849.19907176</v>
      </c>
      <c r="F267" s="219">
        <f t="shared" si="18"/>
        <v>-5.9438647642648057E-2</v>
      </c>
      <c r="G267" s="103"/>
      <c r="H267" s="225">
        <v>1.103448</v>
      </c>
      <c r="I267" s="214">
        <f t="shared" si="16"/>
        <v>346535980.56040531</v>
      </c>
      <c r="J267" s="214">
        <f t="shared" si="17"/>
        <v>369692395.08205897</v>
      </c>
      <c r="K267" s="123">
        <f t="shared" si="19"/>
        <v>-6.4337434395088655E-2</v>
      </c>
    </row>
    <row r="268" spans="2:11">
      <c r="B268" s="213" t="s">
        <v>297</v>
      </c>
      <c r="C268" s="220">
        <v>37845898.952507675</v>
      </c>
      <c r="D268" s="217">
        <v>381395993.79073012</v>
      </c>
      <c r="E268" s="221">
        <f t="shared" si="15"/>
        <v>419241892.74323779</v>
      </c>
      <c r="F268" s="222">
        <f t="shared" si="18"/>
        <v>3.3784620146712907E-2</v>
      </c>
      <c r="G268" s="104"/>
      <c r="H268" s="227">
        <v>1.105156</v>
      </c>
      <c r="I268" s="228">
        <f t="shared" si="16"/>
        <v>345106024.6614325</v>
      </c>
      <c r="J268" s="228">
        <f t="shared" si="17"/>
        <v>382951923.61394018</v>
      </c>
      <c r="K268" s="124">
        <f t="shared" si="19"/>
        <v>3.5866381641250777E-2</v>
      </c>
    </row>
  </sheetData>
  <mergeCells count="6">
    <mergeCell ref="B2:E2"/>
    <mergeCell ref="I2:J2"/>
    <mergeCell ref="I8:J8"/>
    <mergeCell ref="B5:F5"/>
    <mergeCell ref="M22:R24"/>
    <mergeCell ref="M21:R2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Option_Portfolio</vt:lpstr>
      <vt:lpstr>Underlying_Assets</vt:lpstr>
      <vt:lpstr>FI_Portfolio</vt:lpstr>
      <vt:lpstr>TSIR</vt:lpstr>
      <vt:lpstr>Delta-Normal VaR</vt:lpstr>
      <vt:lpstr>Fixed Income VaR</vt:lpstr>
      <vt:lpstr>Total Fund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Plazzi</dc:creator>
  <cp:lastModifiedBy>Mori Edoardo</cp:lastModifiedBy>
  <dcterms:created xsi:type="dcterms:W3CDTF">2017-04-14T12:37:42Z</dcterms:created>
  <dcterms:modified xsi:type="dcterms:W3CDTF">2026-05-12T19:49:22Z</dcterms:modified>
</cp:coreProperties>
</file>